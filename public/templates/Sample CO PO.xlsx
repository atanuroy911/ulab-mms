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/>
  <xr:revisionPtr revIDLastSave="0" documentId="13_ncr:1_{92D07D0B-D900-4E81-B85D-169F7EBB31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4" l="1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AB76" i="4"/>
  <c r="AC76" i="4"/>
  <c r="AD76" i="4"/>
  <c r="AE76" i="4"/>
  <c r="AF76" i="4"/>
  <c r="AG76" i="4"/>
  <c r="D76" i="4"/>
  <c r="AV76" i="4"/>
  <c r="AW76" i="4"/>
  <c r="AX76" i="4"/>
  <c r="AY76" i="4"/>
  <c r="AZ76" i="4"/>
  <c r="BA76" i="4"/>
  <c r="BB76" i="4"/>
  <c r="BC76" i="4"/>
  <c r="BD76" i="4"/>
  <c r="BE76" i="4"/>
  <c r="BF76" i="4"/>
  <c r="AU76" i="4"/>
  <c r="AM76" i="4"/>
  <c r="AL76" i="4"/>
  <c r="AK76" i="4"/>
  <c r="AJ76" i="4"/>
  <c r="AI76" i="4"/>
  <c r="AH76" i="4"/>
  <c r="B35" i="5"/>
  <c r="B34" i="5"/>
  <c r="B4" i="5"/>
  <c r="D3" i="5"/>
  <c r="B3" i="5"/>
  <c r="D2" i="5"/>
  <c r="B2" i="5"/>
  <c r="B82" i="4"/>
  <c r="B80" i="4"/>
  <c r="AM74" i="4"/>
  <c r="AK74" i="4"/>
  <c r="AG74" i="4"/>
  <c r="AF74" i="4"/>
  <c r="AL74" i="4" s="1"/>
  <c r="AE74" i="4"/>
  <c r="AD74" i="4"/>
  <c r="AJ74" i="4" s="1"/>
  <c r="AC74" i="4"/>
  <c r="AI74" i="4" s="1"/>
  <c r="AB74" i="4"/>
  <c r="AH74" i="4" s="1"/>
  <c r="C74" i="4"/>
  <c r="B74" i="4"/>
  <c r="AL73" i="4"/>
  <c r="AK73" i="4"/>
  <c r="AJ73" i="4"/>
  <c r="AI73" i="4"/>
  <c r="AG73" i="4"/>
  <c r="AM73" i="4" s="1"/>
  <c r="AF73" i="4"/>
  <c r="AE73" i="4"/>
  <c r="AD73" i="4"/>
  <c r="AC73" i="4"/>
  <c r="AB73" i="4"/>
  <c r="AH73" i="4" s="1"/>
  <c r="C73" i="4"/>
  <c r="B73" i="4"/>
  <c r="AJ72" i="4"/>
  <c r="AI72" i="4"/>
  <c r="AH72" i="4"/>
  <c r="AG72" i="4"/>
  <c r="AM72" i="4" s="1"/>
  <c r="AF72" i="4"/>
  <c r="AL72" i="4" s="1"/>
  <c r="AE72" i="4"/>
  <c r="AK72" i="4" s="1"/>
  <c r="AD72" i="4"/>
  <c r="AC72" i="4"/>
  <c r="AB72" i="4"/>
  <c r="C72" i="4"/>
  <c r="B72" i="4"/>
  <c r="AM71" i="4"/>
  <c r="AK71" i="4"/>
  <c r="AG71" i="4"/>
  <c r="AF71" i="4"/>
  <c r="AL71" i="4" s="1"/>
  <c r="AE71" i="4"/>
  <c r="AD71" i="4"/>
  <c r="AJ71" i="4" s="1"/>
  <c r="AC71" i="4"/>
  <c r="AI71" i="4" s="1"/>
  <c r="AB71" i="4"/>
  <c r="AH71" i="4" s="1"/>
  <c r="C71" i="4"/>
  <c r="B71" i="4"/>
  <c r="AL70" i="4"/>
  <c r="AJ70" i="4"/>
  <c r="AI70" i="4"/>
  <c r="AG70" i="4"/>
  <c r="AM70" i="4" s="1"/>
  <c r="AF70" i="4"/>
  <c r="AE70" i="4"/>
  <c r="AK70" i="4" s="1"/>
  <c r="AD70" i="4"/>
  <c r="AC70" i="4"/>
  <c r="AB70" i="4"/>
  <c r="AH70" i="4" s="1"/>
  <c r="C70" i="4"/>
  <c r="B70" i="4"/>
  <c r="AI69" i="4"/>
  <c r="AG69" i="4"/>
  <c r="AM69" i="4" s="1"/>
  <c r="AF69" i="4"/>
  <c r="AL69" i="4" s="1"/>
  <c r="AE69" i="4"/>
  <c r="AK69" i="4" s="1"/>
  <c r="AD69" i="4"/>
  <c r="AJ69" i="4" s="1"/>
  <c r="AC69" i="4"/>
  <c r="AB69" i="4"/>
  <c r="AH69" i="4" s="1"/>
  <c r="C69" i="4"/>
  <c r="B69" i="4"/>
  <c r="AM68" i="4"/>
  <c r="AG68" i="4"/>
  <c r="AF68" i="4"/>
  <c r="AL68" i="4" s="1"/>
  <c r="AE68" i="4"/>
  <c r="AK68" i="4" s="1"/>
  <c r="AD68" i="4"/>
  <c r="AJ68" i="4" s="1"/>
  <c r="AC68" i="4"/>
  <c r="AI68" i="4" s="1"/>
  <c r="AB68" i="4"/>
  <c r="AH68" i="4" s="1"/>
  <c r="C68" i="4"/>
  <c r="B68" i="4"/>
  <c r="AJ67" i="4"/>
  <c r="AI67" i="4"/>
  <c r="AG67" i="4"/>
  <c r="AM67" i="4" s="1"/>
  <c r="AF67" i="4"/>
  <c r="AL67" i="4" s="1"/>
  <c r="AE67" i="4"/>
  <c r="AK67" i="4" s="1"/>
  <c r="AD67" i="4"/>
  <c r="AC67" i="4"/>
  <c r="AB67" i="4"/>
  <c r="AH67" i="4" s="1"/>
  <c r="C67" i="4"/>
  <c r="B67" i="4"/>
  <c r="AM66" i="4"/>
  <c r="AI66" i="4"/>
  <c r="AG66" i="4"/>
  <c r="AF66" i="4"/>
  <c r="AL66" i="4" s="1"/>
  <c r="AE66" i="4"/>
  <c r="AK66" i="4" s="1"/>
  <c r="AD66" i="4"/>
  <c r="AJ66" i="4" s="1"/>
  <c r="AC66" i="4"/>
  <c r="AB66" i="4"/>
  <c r="AH66" i="4" s="1"/>
  <c r="C66" i="4"/>
  <c r="B66" i="4"/>
  <c r="AM65" i="4"/>
  <c r="AG65" i="4"/>
  <c r="AF65" i="4"/>
  <c r="AL65" i="4" s="1"/>
  <c r="AE65" i="4"/>
  <c r="AK65" i="4" s="1"/>
  <c r="AD65" i="4"/>
  <c r="AJ65" i="4" s="1"/>
  <c r="AC65" i="4"/>
  <c r="AI65" i="4" s="1"/>
  <c r="AB65" i="4"/>
  <c r="AH65" i="4" s="1"/>
  <c r="C65" i="4"/>
  <c r="B65" i="4"/>
  <c r="AY64" i="4" a="1"/>
  <c r="AY64" i="4" s="1"/>
  <c r="AJ64" i="4"/>
  <c r="AI64" i="4"/>
  <c r="AG64" i="4"/>
  <c r="AM64" i="4" s="1"/>
  <c r="AF64" i="4"/>
  <c r="AL64" i="4" s="1"/>
  <c r="AE64" i="4"/>
  <c r="AK64" i="4" s="1"/>
  <c r="AD64" i="4"/>
  <c r="AC64" i="4"/>
  <c r="AB64" i="4"/>
  <c r="AH64" i="4" s="1"/>
  <c r="C64" i="4"/>
  <c r="B64" i="4"/>
  <c r="AM63" i="4"/>
  <c r="AG63" i="4"/>
  <c r="AF63" i="4"/>
  <c r="AL63" i="4" s="1"/>
  <c r="AE63" i="4"/>
  <c r="AK63" i="4" s="1"/>
  <c r="AD63" i="4"/>
  <c r="AJ63" i="4" s="1"/>
  <c r="AC63" i="4"/>
  <c r="AI63" i="4" s="1"/>
  <c r="AB63" i="4"/>
  <c r="AH63" i="4" s="1"/>
  <c r="C63" i="4"/>
  <c r="B63" i="4"/>
  <c r="AM62" i="4"/>
  <c r="AG62" i="4"/>
  <c r="AF62" i="4"/>
  <c r="AL62" i="4" s="1"/>
  <c r="AE62" i="4"/>
  <c r="AK62" i="4" s="1"/>
  <c r="AD62" i="4"/>
  <c r="AJ62" i="4" s="1"/>
  <c r="AC62" i="4"/>
  <c r="AI62" i="4" s="1"/>
  <c r="AB62" i="4"/>
  <c r="AH62" i="4" s="1"/>
  <c r="C62" i="4"/>
  <c r="B62" i="4"/>
  <c r="AM61" i="4"/>
  <c r="AK61" i="4"/>
  <c r="AJ61" i="4"/>
  <c r="AI61" i="4"/>
  <c r="AG61" i="4"/>
  <c r="AF61" i="4"/>
  <c r="AL61" i="4" s="1"/>
  <c r="AE61" i="4"/>
  <c r="AD61" i="4"/>
  <c r="AC61" i="4"/>
  <c r="AB61" i="4"/>
  <c r="AH61" i="4" s="1"/>
  <c r="C61" i="4"/>
  <c r="B61" i="4"/>
  <c r="AK60" i="4"/>
  <c r="AI60" i="4"/>
  <c r="AG60" i="4"/>
  <c r="AM60" i="4" s="1"/>
  <c r="AF60" i="4"/>
  <c r="AL60" i="4" s="1"/>
  <c r="AE60" i="4"/>
  <c r="AD60" i="4"/>
  <c r="AJ60" i="4" s="1"/>
  <c r="AC60" i="4"/>
  <c r="AB60" i="4"/>
  <c r="AH60" i="4" s="1"/>
  <c r="C60" i="4"/>
  <c r="B60" i="4"/>
  <c r="AG59" i="4"/>
  <c r="AM59" i="4" s="1"/>
  <c r="AF59" i="4"/>
  <c r="AL59" i="4" s="1"/>
  <c r="AE59" i="4"/>
  <c r="AK59" i="4" s="1"/>
  <c r="AD59" i="4"/>
  <c r="AJ59" i="4" s="1"/>
  <c r="AC59" i="4"/>
  <c r="AI59" i="4" s="1"/>
  <c r="AB59" i="4"/>
  <c r="AH59" i="4" s="1"/>
  <c r="C59" i="4"/>
  <c r="B59" i="4"/>
  <c r="AM58" i="4"/>
  <c r="AK58" i="4"/>
  <c r="AJ58" i="4"/>
  <c r="AG58" i="4"/>
  <c r="AF58" i="4"/>
  <c r="AL58" i="4" s="1"/>
  <c r="AE58" i="4"/>
  <c r="AD58" i="4"/>
  <c r="AC58" i="4"/>
  <c r="AI58" i="4" s="1"/>
  <c r="AB58" i="4"/>
  <c r="AH58" i="4" s="1"/>
  <c r="C58" i="4"/>
  <c r="B58" i="4"/>
  <c r="AK57" i="4"/>
  <c r="AI57" i="4"/>
  <c r="AG57" i="4"/>
  <c r="AM57" i="4" s="1"/>
  <c r="AF57" i="4"/>
  <c r="AL57" i="4" s="1"/>
  <c r="AE57" i="4"/>
  <c r="AD57" i="4"/>
  <c r="AJ57" i="4" s="1"/>
  <c r="AC57" i="4"/>
  <c r="AB57" i="4"/>
  <c r="AH57" i="4" s="1"/>
  <c r="C57" i="4"/>
  <c r="B57" i="4"/>
  <c r="AK56" i="4"/>
  <c r="AI56" i="4"/>
  <c r="AG56" i="4"/>
  <c r="AM56" i="4" s="1"/>
  <c r="AF56" i="4"/>
  <c r="AL56" i="4" s="1"/>
  <c r="AE56" i="4"/>
  <c r="AD56" i="4"/>
  <c r="AJ56" i="4" s="1"/>
  <c r="AC56" i="4"/>
  <c r="AB56" i="4"/>
  <c r="AH56" i="4" s="1"/>
  <c r="C56" i="4"/>
  <c r="B56" i="4"/>
  <c r="AH55" i="4"/>
  <c r="AG55" i="4"/>
  <c r="AM55" i="4" s="1"/>
  <c r="AF55" i="4"/>
  <c r="AL55" i="4" s="1"/>
  <c r="AE55" i="4"/>
  <c r="AK55" i="4" s="1"/>
  <c r="AD55" i="4"/>
  <c r="AJ55" i="4" s="1"/>
  <c r="AC55" i="4"/>
  <c r="AI55" i="4" s="1"/>
  <c r="AB55" i="4"/>
  <c r="C55" i="4"/>
  <c r="B55" i="4"/>
  <c r="AK54" i="4"/>
  <c r="AJ54" i="4"/>
  <c r="AI54" i="4"/>
  <c r="AH54" i="4"/>
  <c r="AG54" i="4"/>
  <c r="AM54" i="4" s="1"/>
  <c r="AF54" i="4"/>
  <c r="AL54" i="4" s="1"/>
  <c r="AE54" i="4"/>
  <c r="AD54" i="4"/>
  <c r="AC54" i="4"/>
  <c r="AB54" i="4"/>
  <c r="C54" i="4"/>
  <c r="B54" i="4"/>
  <c r="AM53" i="4"/>
  <c r="AL53" i="4"/>
  <c r="AK53" i="4"/>
  <c r="AJ53" i="4"/>
  <c r="AI53" i="4"/>
  <c r="AG53" i="4"/>
  <c r="AF53" i="4"/>
  <c r="AE53" i="4"/>
  <c r="AD53" i="4"/>
  <c r="AC53" i="4"/>
  <c r="AB53" i="4"/>
  <c r="AH53" i="4" s="1"/>
  <c r="C53" i="4"/>
  <c r="B53" i="4"/>
  <c r="AM52" i="4"/>
  <c r="AL52" i="4"/>
  <c r="AG52" i="4"/>
  <c r="AF52" i="4"/>
  <c r="AE52" i="4"/>
  <c r="AK52" i="4" s="1"/>
  <c r="AD52" i="4"/>
  <c r="AJ52" i="4" s="1"/>
  <c r="AC52" i="4"/>
  <c r="AI52" i="4" s="1"/>
  <c r="AB52" i="4"/>
  <c r="AH52" i="4" s="1"/>
  <c r="C52" i="4"/>
  <c r="B52" i="4"/>
  <c r="AH51" i="4"/>
  <c r="AG51" i="4"/>
  <c r="AM51" i="4" s="1"/>
  <c r="AF51" i="4"/>
  <c r="AL51" i="4" s="1"/>
  <c r="AE51" i="4"/>
  <c r="AK51" i="4" s="1"/>
  <c r="AD51" i="4"/>
  <c r="AJ51" i="4" s="1"/>
  <c r="AC51" i="4"/>
  <c r="AI51" i="4" s="1"/>
  <c r="AB51" i="4"/>
  <c r="C51" i="4"/>
  <c r="B51" i="4"/>
  <c r="AK50" i="4"/>
  <c r="AJ50" i="4"/>
  <c r="AI50" i="4"/>
  <c r="AH50" i="4"/>
  <c r="AG50" i="4"/>
  <c r="AM50" i="4" s="1"/>
  <c r="AF50" i="4"/>
  <c r="AL50" i="4" s="1"/>
  <c r="AE50" i="4"/>
  <c r="AD50" i="4"/>
  <c r="AC50" i="4"/>
  <c r="AB50" i="4"/>
  <c r="C50" i="4"/>
  <c r="B50" i="4"/>
  <c r="AM49" i="4"/>
  <c r="AL49" i="4"/>
  <c r="AK49" i="4"/>
  <c r="AJ49" i="4"/>
  <c r="AI49" i="4"/>
  <c r="AG49" i="4"/>
  <c r="AF49" i="4"/>
  <c r="AE49" i="4"/>
  <c r="AD49" i="4"/>
  <c r="AC49" i="4"/>
  <c r="AB49" i="4"/>
  <c r="AH49" i="4" s="1"/>
  <c r="C49" i="4"/>
  <c r="B49" i="4"/>
  <c r="BE48" i="4"/>
  <c r="AM48" i="4"/>
  <c r="AL48" i="4"/>
  <c r="AG48" i="4"/>
  <c r="AF48" i="4"/>
  <c r="AE48" i="4"/>
  <c r="AK48" i="4" s="1"/>
  <c r="AD48" i="4"/>
  <c r="AJ48" i="4" s="1"/>
  <c r="AC48" i="4"/>
  <c r="AI48" i="4" s="1"/>
  <c r="AB48" i="4"/>
  <c r="AH48" i="4" s="1"/>
  <c r="C48" i="4"/>
  <c r="B48" i="4"/>
  <c r="AH47" i="4"/>
  <c r="AG47" i="4"/>
  <c r="AM47" i="4" s="1"/>
  <c r="AF47" i="4"/>
  <c r="AL47" i="4" s="1"/>
  <c r="AE47" i="4"/>
  <c r="AK47" i="4" s="1"/>
  <c r="AD47" i="4"/>
  <c r="AJ47" i="4" s="1"/>
  <c r="AC47" i="4"/>
  <c r="AI47" i="4" s="1"/>
  <c r="AB47" i="4"/>
  <c r="C47" i="4"/>
  <c r="B47" i="4"/>
  <c r="AK46" i="4"/>
  <c r="AJ46" i="4"/>
  <c r="AI46" i="4"/>
  <c r="AH46" i="4"/>
  <c r="AG46" i="4"/>
  <c r="AM46" i="4" s="1"/>
  <c r="AF46" i="4"/>
  <c r="AL46" i="4" s="1"/>
  <c r="AE46" i="4"/>
  <c r="AD46" i="4"/>
  <c r="AC46" i="4"/>
  <c r="AB46" i="4"/>
  <c r="C46" i="4"/>
  <c r="B46" i="4"/>
  <c r="AW45" i="4" a="1"/>
  <c r="AW45" i="4" s="1"/>
  <c r="AM45" i="4"/>
  <c r="AL45" i="4"/>
  <c r="AK45" i="4"/>
  <c r="AJ45" i="4"/>
  <c r="AI45" i="4"/>
  <c r="AG45" i="4"/>
  <c r="AF45" i="4"/>
  <c r="AE45" i="4"/>
  <c r="AD45" i="4"/>
  <c r="AC45" i="4"/>
  <c r="AB45" i="4"/>
  <c r="AH45" i="4" s="1"/>
  <c r="C45" i="4"/>
  <c r="B45" i="4"/>
  <c r="AM44" i="4"/>
  <c r="AL44" i="4"/>
  <c r="AG44" i="4"/>
  <c r="AF44" i="4"/>
  <c r="AE44" i="4"/>
  <c r="AK44" i="4" s="1"/>
  <c r="AD44" i="4"/>
  <c r="AJ44" i="4" s="1"/>
  <c r="AC44" i="4"/>
  <c r="AI44" i="4" s="1"/>
  <c r="AB44" i="4"/>
  <c r="AH44" i="4" s="1"/>
  <c r="C44" i="4"/>
  <c r="B44" i="4"/>
  <c r="AL43" i="4"/>
  <c r="AH43" i="4"/>
  <c r="AG43" i="4"/>
  <c r="AM43" i="4" s="1"/>
  <c r="AF43" i="4"/>
  <c r="AE43" i="4"/>
  <c r="AK43" i="4" s="1"/>
  <c r="AD43" i="4"/>
  <c r="AJ43" i="4" s="1"/>
  <c r="AC43" i="4"/>
  <c r="AI43" i="4" s="1"/>
  <c r="AB43" i="4"/>
  <c r="C43" i="4"/>
  <c r="B43" i="4"/>
  <c r="AK42" i="4"/>
  <c r="AJ42" i="4"/>
  <c r="AH42" i="4"/>
  <c r="AG42" i="4"/>
  <c r="AM42" i="4" s="1"/>
  <c r="AF42" i="4"/>
  <c r="AL42" i="4" s="1"/>
  <c r="AE42" i="4"/>
  <c r="AD42" i="4"/>
  <c r="AC42" i="4"/>
  <c r="AI42" i="4" s="1"/>
  <c r="AB42" i="4"/>
  <c r="C42" i="4"/>
  <c r="B42" i="4"/>
  <c r="AM41" i="4"/>
  <c r="AG41" i="4"/>
  <c r="AF41" i="4"/>
  <c r="AL41" i="4" s="1"/>
  <c r="AE41" i="4"/>
  <c r="AK41" i="4" s="1"/>
  <c r="AD41" i="4"/>
  <c r="AJ41" i="4" s="1"/>
  <c r="AC41" i="4"/>
  <c r="AI41" i="4" s="1"/>
  <c r="AB41" i="4"/>
  <c r="AH41" i="4" s="1"/>
  <c r="C41" i="4"/>
  <c r="B41" i="4"/>
  <c r="AH40" i="4"/>
  <c r="AG40" i="4"/>
  <c r="AM40" i="4" s="1"/>
  <c r="AF40" i="4"/>
  <c r="AL40" i="4" s="1"/>
  <c r="AE40" i="4"/>
  <c r="AK40" i="4" s="1"/>
  <c r="AD40" i="4"/>
  <c r="AJ40" i="4" s="1"/>
  <c r="AC40" i="4"/>
  <c r="AI40" i="4" s="1"/>
  <c r="AB40" i="4"/>
  <c r="C40" i="4"/>
  <c r="B40" i="4"/>
  <c r="AL39" i="4"/>
  <c r="AK39" i="4"/>
  <c r="AJ39" i="4"/>
  <c r="AI39" i="4"/>
  <c r="AH39" i="4"/>
  <c r="AG39" i="4"/>
  <c r="AM39" i="4" s="1"/>
  <c r="AF39" i="4"/>
  <c r="AE39" i="4"/>
  <c r="AD39" i="4"/>
  <c r="AC39" i="4"/>
  <c r="AB39" i="4"/>
  <c r="C39" i="4"/>
  <c r="B39" i="4"/>
  <c r="AM38" i="4"/>
  <c r="AL38" i="4"/>
  <c r="AK38" i="4"/>
  <c r="AJ38" i="4"/>
  <c r="AG38" i="4"/>
  <c r="AF38" i="4"/>
  <c r="AE38" i="4"/>
  <c r="AD38" i="4"/>
  <c r="AC38" i="4"/>
  <c r="AI38" i="4" s="1"/>
  <c r="AB38" i="4"/>
  <c r="AH38" i="4" s="1"/>
  <c r="C38" i="4"/>
  <c r="B38" i="4"/>
  <c r="AM37" i="4"/>
  <c r="AJ37" i="4"/>
  <c r="AG37" i="4"/>
  <c r="AF37" i="4"/>
  <c r="AL37" i="4" s="1"/>
  <c r="AE37" i="4"/>
  <c r="AK37" i="4" s="1"/>
  <c r="AD37" i="4"/>
  <c r="AC37" i="4"/>
  <c r="AI37" i="4" s="1"/>
  <c r="AB37" i="4"/>
  <c r="AH37" i="4" s="1"/>
  <c r="C37" i="4"/>
  <c r="B37" i="4"/>
  <c r="AM36" i="4"/>
  <c r="AI36" i="4"/>
  <c r="AH36" i="4"/>
  <c r="AG36" i="4"/>
  <c r="AF36" i="4"/>
  <c r="AL36" i="4" s="1"/>
  <c r="AE36" i="4"/>
  <c r="AK36" i="4" s="1"/>
  <c r="AD36" i="4"/>
  <c r="AJ36" i="4" s="1"/>
  <c r="AC36" i="4"/>
  <c r="AB36" i="4"/>
  <c r="C36" i="4"/>
  <c r="B36" i="4"/>
  <c r="AL35" i="4"/>
  <c r="AI35" i="4"/>
  <c r="AH35" i="4"/>
  <c r="AG35" i="4"/>
  <c r="AM35" i="4" s="1"/>
  <c r="AF35" i="4"/>
  <c r="AE35" i="4"/>
  <c r="AK35" i="4" s="1"/>
  <c r="AD35" i="4"/>
  <c r="AJ35" i="4" s="1"/>
  <c r="AC35" i="4"/>
  <c r="AB35" i="4"/>
  <c r="C35" i="4"/>
  <c r="B35" i="4"/>
  <c r="AL34" i="4"/>
  <c r="AK34" i="4"/>
  <c r="AJ34" i="4"/>
  <c r="AI34" i="4"/>
  <c r="AH34" i="4"/>
  <c r="AG34" i="4"/>
  <c r="AM34" i="4" s="1"/>
  <c r="AF34" i="4"/>
  <c r="AE34" i="4"/>
  <c r="AD34" i="4"/>
  <c r="AC34" i="4"/>
  <c r="AB34" i="4"/>
  <c r="C34" i="4"/>
  <c r="B34" i="4"/>
  <c r="AM33" i="4"/>
  <c r="AL33" i="4"/>
  <c r="AG33" i="4"/>
  <c r="AF33" i="4"/>
  <c r="AE33" i="4"/>
  <c r="AK33" i="4" s="1"/>
  <c r="AD33" i="4"/>
  <c r="AJ33" i="4" s="1"/>
  <c r="AC33" i="4"/>
  <c r="AI33" i="4" s="1"/>
  <c r="AB33" i="4"/>
  <c r="AH33" i="4" s="1"/>
  <c r="C33" i="4"/>
  <c r="B33" i="4"/>
  <c r="AG32" i="4"/>
  <c r="AM32" i="4" s="1"/>
  <c r="AF32" i="4"/>
  <c r="AL32" i="4" s="1"/>
  <c r="AE32" i="4"/>
  <c r="AK32" i="4" s="1"/>
  <c r="AD32" i="4"/>
  <c r="AJ32" i="4" s="1"/>
  <c r="AC32" i="4"/>
  <c r="AI32" i="4" s="1"/>
  <c r="AB32" i="4"/>
  <c r="AH32" i="4" s="1"/>
  <c r="C32" i="4"/>
  <c r="B32" i="4"/>
  <c r="AJ31" i="4"/>
  <c r="AI31" i="4"/>
  <c r="AH31" i="4"/>
  <c r="AG31" i="4"/>
  <c r="AM31" i="4" s="1"/>
  <c r="AF31" i="4"/>
  <c r="AL31" i="4" s="1"/>
  <c r="AE31" i="4"/>
  <c r="AK31" i="4" s="1"/>
  <c r="AD31" i="4"/>
  <c r="AC31" i="4"/>
  <c r="AB31" i="4"/>
  <c r="C31" i="4"/>
  <c r="B31" i="4"/>
  <c r="AM30" i="4"/>
  <c r="AL30" i="4"/>
  <c r="AK30" i="4"/>
  <c r="AJ30" i="4"/>
  <c r="AG30" i="4"/>
  <c r="AF30" i="4"/>
  <c r="AE30" i="4"/>
  <c r="AD30" i="4"/>
  <c r="AC30" i="4"/>
  <c r="AI30" i="4" s="1"/>
  <c r="AB30" i="4"/>
  <c r="AH30" i="4" s="1"/>
  <c r="C30" i="4"/>
  <c r="B30" i="4"/>
  <c r="BD29" i="4" a="1"/>
  <c r="BD29" i="4" s="1"/>
  <c r="AM29" i="4"/>
  <c r="AG29" i="4"/>
  <c r="AF29" i="4"/>
  <c r="AL29" i="4" s="1"/>
  <c r="AE29" i="4"/>
  <c r="AK29" i="4" s="1"/>
  <c r="AD29" i="4"/>
  <c r="AJ29" i="4" s="1"/>
  <c r="AC29" i="4"/>
  <c r="AI29" i="4" s="1"/>
  <c r="AB29" i="4"/>
  <c r="AH29" i="4" s="1"/>
  <c r="C29" i="4"/>
  <c r="B29" i="4"/>
  <c r="AI28" i="4"/>
  <c r="AH28" i="4"/>
  <c r="AG28" i="4"/>
  <c r="AM28" i="4" s="1"/>
  <c r="AF28" i="4"/>
  <c r="AL28" i="4" s="1"/>
  <c r="AE28" i="4"/>
  <c r="AK28" i="4" s="1"/>
  <c r="AD28" i="4"/>
  <c r="AJ28" i="4" s="1"/>
  <c r="AC28" i="4"/>
  <c r="AB28" i="4"/>
  <c r="C28" i="4"/>
  <c r="B28" i="4"/>
  <c r="AL27" i="4"/>
  <c r="AK27" i="4"/>
  <c r="AJ27" i="4"/>
  <c r="AI27" i="4"/>
  <c r="AH27" i="4"/>
  <c r="AG27" i="4"/>
  <c r="AM27" i="4" s="1"/>
  <c r="AF27" i="4"/>
  <c r="AE27" i="4"/>
  <c r="AD27" i="4"/>
  <c r="AC27" i="4"/>
  <c r="AB27" i="4"/>
  <c r="C27" i="4"/>
  <c r="B27" i="4"/>
  <c r="AV26" i="4"/>
  <c r="AU26" i="4"/>
  <c r="AL26" i="4"/>
  <c r="AK26" i="4"/>
  <c r="AJ26" i="4"/>
  <c r="AI26" i="4"/>
  <c r="AH26" i="4"/>
  <c r="AG26" i="4"/>
  <c r="AM26" i="4" s="1"/>
  <c r="AF26" i="4"/>
  <c r="AE26" i="4"/>
  <c r="AD26" i="4"/>
  <c r="AC26" i="4"/>
  <c r="AB26" i="4"/>
  <c r="C26" i="4"/>
  <c r="B26" i="4"/>
  <c r="AY25" i="4"/>
  <c r="AM25" i="4"/>
  <c r="AL25" i="4"/>
  <c r="AG25" i="4"/>
  <c r="AF25" i="4"/>
  <c r="AE25" i="4"/>
  <c r="AK25" i="4" s="1"/>
  <c r="AD25" i="4"/>
  <c r="AJ25" i="4" s="1"/>
  <c r="AC25" i="4"/>
  <c r="AI25" i="4" s="1"/>
  <c r="AB25" i="4"/>
  <c r="AH25" i="4" s="1"/>
  <c r="C25" i="4"/>
  <c r="B25" i="4"/>
  <c r="BF24" i="4"/>
  <c r="AM24" i="4"/>
  <c r="AK24" i="4"/>
  <c r="AJ24" i="4"/>
  <c r="AI24" i="4"/>
  <c r="AH24" i="4"/>
  <c r="AG24" i="4"/>
  <c r="AF24" i="4"/>
  <c r="AL24" i="4" s="1"/>
  <c r="AE24" i="4"/>
  <c r="AD24" i="4"/>
  <c r="AC24" i="4"/>
  <c r="AB24" i="4"/>
  <c r="C24" i="4"/>
  <c r="B24" i="4"/>
  <c r="AX23" i="4" a="1"/>
  <c r="AX23" i="4" s="1"/>
  <c r="AW23" i="4" a="1"/>
  <c r="AW23" i="4" s="1"/>
  <c r="AV23" i="4"/>
  <c r="AK23" i="4"/>
  <c r="AJ23" i="4"/>
  <c r="AI23" i="4"/>
  <c r="AH23" i="4"/>
  <c r="AG23" i="4"/>
  <c r="AM23" i="4" s="1"/>
  <c r="AF23" i="4"/>
  <c r="AL23" i="4" s="1"/>
  <c r="AE23" i="4"/>
  <c r="AD23" i="4"/>
  <c r="AC23" i="4"/>
  <c r="AB23" i="4"/>
  <c r="C23" i="4"/>
  <c r="B23" i="4"/>
  <c r="BF22" i="4"/>
  <c r="BD22" i="4" a="1"/>
  <c r="BD22" i="4" s="1"/>
  <c r="AM22" i="4"/>
  <c r="AL22" i="4"/>
  <c r="AK22" i="4"/>
  <c r="AJ22" i="4"/>
  <c r="AI22" i="4"/>
  <c r="AH22" i="4"/>
  <c r="AG22" i="4"/>
  <c r="AF22" i="4"/>
  <c r="AE22" i="4"/>
  <c r="AD22" i="4"/>
  <c r="AC22" i="4"/>
  <c r="AB22" i="4"/>
  <c r="C22" i="4"/>
  <c r="B22" i="4"/>
  <c r="AZ21" i="4" a="1"/>
  <c r="AZ21" i="4" s="1"/>
  <c r="AY21" i="4"/>
  <c r="AX21" i="4" a="1"/>
  <c r="AX21" i="4" s="1"/>
  <c r="AM21" i="4"/>
  <c r="AL21" i="4"/>
  <c r="AK21" i="4"/>
  <c r="AJ21" i="4"/>
  <c r="AG21" i="4"/>
  <c r="AF21" i="4"/>
  <c r="AE21" i="4"/>
  <c r="AD21" i="4"/>
  <c r="AC21" i="4"/>
  <c r="AI21" i="4" s="1"/>
  <c r="AB21" i="4"/>
  <c r="AH21" i="4" s="1"/>
  <c r="C21" i="4"/>
  <c r="B21" i="4"/>
  <c r="AY20" i="4"/>
  <c r="AX20" i="4" a="1"/>
  <c r="AX20" i="4" s="1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H20" i="4" s="1"/>
  <c r="C20" i="4"/>
  <c r="B20" i="4"/>
  <c r="AJ19" i="4"/>
  <c r="AI19" i="4"/>
  <c r="AH19" i="4"/>
  <c r="AG19" i="4"/>
  <c r="AM19" i="4" s="1"/>
  <c r="AF19" i="4"/>
  <c r="AL19" i="4" s="1"/>
  <c r="AE19" i="4"/>
  <c r="AK19" i="4" s="1"/>
  <c r="AD19" i="4"/>
  <c r="AC19" i="4"/>
  <c r="AB19" i="4"/>
  <c r="C19" i="4"/>
  <c r="B19" i="4"/>
  <c r="AZ18" i="4" a="1"/>
  <c r="AZ18" i="4" s="1"/>
  <c r="AM18" i="4"/>
  <c r="AL18" i="4"/>
  <c r="AK18" i="4"/>
  <c r="AG18" i="4"/>
  <c r="AF18" i="4"/>
  <c r="AE18" i="4"/>
  <c r="AD18" i="4"/>
  <c r="AJ18" i="4" s="1"/>
  <c r="AC18" i="4"/>
  <c r="AI18" i="4" s="1"/>
  <c r="AB18" i="4"/>
  <c r="AH18" i="4" s="1"/>
  <c r="C18" i="4"/>
  <c r="B18" i="4"/>
  <c r="BF17" i="4"/>
  <c r="BE17" i="4"/>
  <c r="AY17" i="4"/>
  <c r="AX17" i="4" a="1"/>
  <c r="AX17" i="4" s="1"/>
  <c r="AM17" i="4"/>
  <c r="AG17" i="4"/>
  <c r="AF17" i="4"/>
  <c r="AL17" i="4" s="1"/>
  <c r="AE17" i="4"/>
  <c r="AK17" i="4" s="1"/>
  <c r="AD17" i="4"/>
  <c r="AJ17" i="4" s="1"/>
  <c r="AC17" i="4"/>
  <c r="AI17" i="4" s="1"/>
  <c r="AB17" i="4"/>
  <c r="AH17" i="4" s="1"/>
  <c r="C17" i="4"/>
  <c r="B17" i="4"/>
  <c r="AV16" i="4"/>
  <c r="AI16" i="4"/>
  <c r="AH16" i="4"/>
  <c r="AG16" i="4"/>
  <c r="AM16" i="4" s="1"/>
  <c r="AF16" i="4"/>
  <c r="AL16" i="4" s="1"/>
  <c r="AE16" i="4"/>
  <c r="AK16" i="4" s="1"/>
  <c r="AD16" i="4"/>
  <c r="AJ16" i="4" s="1"/>
  <c r="AC16" i="4"/>
  <c r="AB16" i="4"/>
  <c r="C16" i="4"/>
  <c r="B16" i="4"/>
  <c r="AY15" i="4"/>
  <c r="AW15" i="4" a="1"/>
  <c r="AW15" i="4"/>
  <c r="AV15" i="4"/>
  <c r="AU15" i="4"/>
  <c r="AL15" i="4"/>
  <c r="AK15" i="4"/>
  <c r="AJ15" i="4"/>
  <c r="AI15" i="4"/>
  <c r="AH15" i="4"/>
  <c r="AG15" i="4"/>
  <c r="AM15" i="4" s="1"/>
  <c r="AF15" i="4"/>
  <c r="AE15" i="4"/>
  <c r="AD15" i="4"/>
  <c r="AC15" i="4"/>
  <c r="AB15" i="4"/>
  <c r="C15" i="4"/>
  <c r="B15" i="4"/>
  <c r="AA14" i="4"/>
  <c r="Z14" i="4"/>
  <c r="Y14" i="4"/>
  <c r="X14" i="4"/>
  <c r="W14" i="4"/>
  <c r="V14" i="4"/>
  <c r="U14" i="4"/>
  <c r="T14" i="4"/>
  <c r="S14" i="4"/>
  <c r="R14" i="4"/>
  <c r="Q14" i="4"/>
  <c r="P14" i="4"/>
  <c r="AB14" i="4" s="1"/>
  <c r="O14" i="4"/>
  <c r="N14" i="4"/>
  <c r="M14" i="4"/>
  <c r="L14" i="4"/>
  <c r="K14" i="4"/>
  <c r="J14" i="4"/>
  <c r="I14" i="4"/>
  <c r="AG14" i="4" s="1"/>
  <c r="H14" i="4"/>
  <c r="AF14" i="4" s="1"/>
  <c r="G14" i="4"/>
  <c r="AE14" i="4" s="1"/>
  <c r="F14" i="4"/>
  <c r="AD14" i="4" s="1"/>
  <c r="E14" i="4"/>
  <c r="AC14" i="4" s="1"/>
  <c r="D14" i="4"/>
  <c r="V12" i="4"/>
  <c r="J12" i="4"/>
  <c r="D12" i="4"/>
  <c r="A11" i="4"/>
  <c r="BE9" i="4"/>
  <c r="BF48" i="4" s="1"/>
  <c r="BD9" i="4"/>
  <c r="BE29" i="4" s="1"/>
  <c r="BC9" i="4"/>
  <c r="BB9" i="4"/>
  <c r="BC22" i="4" s="1" a="1"/>
  <c r="BC22" i="4" s="1"/>
  <c r="BA9" i="4"/>
  <c r="BB15" i="4" s="1" a="1"/>
  <c r="BB15" i="4" s="1"/>
  <c r="AZ9" i="4"/>
  <c r="BA19" i="4" s="1" a="1"/>
  <c r="BA19" i="4" s="1"/>
  <c r="AY9" i="4"/>
  <c r="AX9" i="4"/>
  <c r="AY16" i="4" s="1"/>
  <c r="AW9" i="4"/>
  <c r="AX22" i="4" s="1" a="1"/>
  <c r="AX22" i="4" s="1"/>
  <c r="AV9" i="4"/>
  <c r="AW22" i="4" s="1" a="1"/>
  <c r="AW22" i="4" s="1"/>
  <c r="AU9" i="4"/>
  <c r="AV59" i="4" s="1" a="1"/>
  <c r="AV59" i="4" s="1"/>
  <c r="AT9" i="4"/>
  <c r="AU18" i="4" s="1"/>
  <c r="I7" i="4"/>
  <c r="H7" i="4"/>
  <c r="G7" i="4"/>
  <c r="F7" i="4"/>
  <c r="E7" i="4"/>
  <c r="D7" i="4"/>
  <c r="O53" i="3"/>
  <c r="E53" i="3"/>
  <c r="E52" i="3"/>
  <c r="O51" i="3"/>
  <c r="E51" i="3"/>
  <c r="X46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B83" i="1"/>
  <c r="C79" i="1"/>
  <c r="V74" i="1"/>
  <c r="U74" i="1"/>
  <c r="T74" i="1"/>
  <c r="S74" i="1"/>
  <c r="R74" i="1"/>
  <c r="Q74" i="1"/>
  <c r="P74" i="1"/>
  <c r="V73" i="1"/>
  <c r="U73" i="1"/>
  <c r="T73" i="1"/>
  <c r="S73" i="1"/>
  <c r="R73" i="1"/>
  <c r="Q73" i="1"/>
  <c r="P73" i="1"/>
  <c r="V72" i="1"/>
  <c r="U72" i="1"/>
  <c r="T72" i="1"/>
  <c r="S72" i="1"/>
  <c r="R72" i="1"/>
  <c r="Q72" i="1"/>
  <c r="P72" i="1"/>
  <c r="J69" i="1"/>
  <c r="I69" i="1"/>
  <c r="H69" i="1"/>
  <c r="G69" i="1"/>
  <c r="F69" i="1"/>
  <c r="E69" i="1"/>
  <c r="D69" i="1"/>
  <c r="K69" i="1" s="1"/>
  <c r="C69" i="1"/>
  <c r="B69" i="1"/>
  <c r="J68" i="1"/>
  <c r="I68" i="1"/>
  <c r="H68" i="1"/>
  <c r="G68" i="1"/>
  <c r="F68" i="1"/>
  <c r="E68" i="1"/>
  <c r="D68" i="1"/>
  <c r="K68" i="1" s="1"/>
  <c r="C68" i="1"/>
  <c r="B68" i="1"/>
  <c r="J67" i="1"/>
  <c r="I67" i="1"/>
  <c r="H67" i="1"/>
  <c r="G67" i="1"/>
  <c r="F67" i="1"/>
  <c r="E67" i="1"/>
  <c r="D67" i="1"/>
  <c r="K67" i="1" s="1"/>
  <c r="C67" i="1"/>
  <c r="B67" i="1"/>
  <c r="J66" i="1"/>
  <c r="I66" i="1"/>
  <c r="H66" i="1"/>
  <c r="G66" i="1"/>
  <c r="F66" i="1"/>
  <c r="E66" i="1"/>
  <c r="D66" i="1"/>
  <c r="K66" i="1" s="1"/>
  <c r="C66" i="1"/>
  <c r="B66" i="1"/>
  <c r="J65" i="1"/>
  <c r="I65" i="1"/>
  <c r="H65" i="1"/>
  <c r="G65" i="1"/>
  <c r="F65" i="1"/>
  <c r="E65" i="1"/>
  <c r="D65" i="1"/>
  <c r="K65" i="1" s="1"/>
  <c r="C65" i="1"/>
  <c r="B65" i="1"/>
  <c r="J64" i="1"/>
  <c r="I64" i="1"/>
  <c r="H64" i="1"/>
  <c r="G64" i="1"/>
  <c r="F64" i="1"/>
  <c r="E64" i="1"/>
  <c r="D64" i="1"/>
  <c r="K64" i="1" s="1"/>
  <c r="C64" i="1"/>
  <c r="B64" i="1"/>
  <c r="J63" i="1"/>
  <c r="I63" i="1"/>
  <c r="H63" i="1"/>
  <c r="G63" i="1"/>
  <c r="F63" i="1"/>
  <c r="E63" i="1"/>
  <c r="D63" i="1"/>
  <c r="K63" i="1" s="1"/>
  <c r="C63" i="1"/>
  <c r="B63" i="1"/>
  <c r="J62" i="1"/>
  <c r="I62" i="1"/>
  <c r="H62" i="1"/>
  <c r="G62" i="1"/>
  <c r="F62" i="1"/>
  <c r="E62" i="1"/>
  <c r="D62" i="1"/>
  <c r="K62" i="1" s="1"/>
  <c r="C62" i="1"/>
  <c r="B62" i="1"/>
  <c r="J61" i="1"/>
  <c r="I61" i="1"/>
  <c r="H61" i="1"/>
  <c r="G61" i="1"/>
  <c r="F61" i="1"/>
  <c r="E61" i="1"/>
  <c r="D61" i="1"/>
  <c r="K61" i="1" s="1"/>
  <c r="C61" i="1"/>
  <c r="B61" i="1"/>
  <c r="J60" i="1"/>
  <c r="I60" i="1"/>
  <c r="H60" i="1"/>
  <c r="G60" i="1"/>
  <c r="F60" i="1"/>
  <c r="E60" i="1"/>
  <c r="D60" i="1"/>
  <c r="K60" i="1" s="1"/>
  <c r="C60" i="1"/>
  <c r="B60" i="1"/>
  <c r="J59" i="1"/>
  <c r="I59" i="1"/>
  <c r="H59" i="1"/>
  <c r="G59" i="1"/>
  <c r="F59" i="1"/>
  <c r="E59" i="1"/>
  <c r="D59" i="1"/>
  <c r="K59" i="1" s="1"/>
  <c r="C59" i="1"/>
  <c r="B59" i="1"/>
  <c r="J58" i="1"/>
  <c r="I58" i="1"/>
  <c r="H58" i="1"/>
  <c r="G58" i="1"/>
  <c r="F58" i="1"/>
  <c r="E58" i="1"/>
  <c r="D58" i="1"/>
  <c r="K58" i="1" s="1"/>
  <c r="C58" i="1"/>
  <c r="B58" i="1"/>
  <c r="J57" i="1"/>
  <c r="I57" i="1"/>
  <c r="H57" i="1"/>
  <c r="G57" i="1"/>
  <c r="F57" i="1"/>
  <c r="E57" i="1"/>
  <c r="D57" i="1"/>
  <c r="K57" i="1" s="1"/>
  <c r="C57" i="1"/>
  <c r="B57" i="1"/>
  <c r="J56" i="1"/>
  <c r="I56" i="1"/>
  <c r="H56" i="1"/>
  <c r="G56" i="1"/>
  <c r="F56" i="1"/>
  <c r="E56" i="1"/>
  <c r="D56" i="1"/>
  <c r="K56" i="1" s="1"/>
  <c r="C56" i="1"/>
  <c r="B56" i="1"/>
  <c r="J55" i="1"/>
  <c r="I55" i="1"/>
  <c r="H55" i="1"/>
  <c r="G55" i="1"/>
  <c r="F55" i="1"/>
  <c r="E55" i="1"/>
  <c r="D55" i="1"/>
  <c r="K55" i="1" s="1"/>
  <c r="C55" i="1"/>
  <c r="B55" i="1"/>
  <c r="J54" i="1"/>
  <c r="I54" i="1"/>
  <c r="H54" i="1"/>
  <c r="G54" i="1"/>
  <c r="F54" i="1"/>
  <c r="E54" i="1"/>
  <c r="D54" i="1"/>
  <c r="K54" i="1" s="1"/>
  <c r="C54" i="1"/>
  <c r="B54" i="1"/>
  <c r="J53" i="1"/>
  <c r="I53" i="1"/>
  <c r="H53" i="1"/>
  <c r="G53" i="1"/>
  <c r="F53" i="1"/>
  <c r="E53" i="1"/>
  <c r="D53" i="1"/>
  <c r="K53" i="1" s="1"/>
  <c r="C53" i="1"/>
  <c r="B53" i="1"/>
  <c r="J52" i="1"/>
  <c r="I52" i="1"/>
  <c r="H52" i="1"/>
  <c r="G52" i="1"/>
  <c r="F52" i="1"/>
  <c r="E52" i="1"/>
  <c r="D52" i="1"/>
  <c r="K52" i="1" s="1"/>
  <c r="C52" i="1"/>
  <c r="B52" i="1"/>
  <c r="J51" i="1"/>
  <c r="I51" i="1"/>
  <c r="H51" i="1"/>
  <c r="G51" i="1"/>
  <c r="F51" i="1"/>
  <c r="E51" i="1"/>
  <c r="D51" i="1"/>
  <c r="K51" i="1" s="1"/>
  <c r="C51" i="1"/>
  <c r="B51" i="1"/>
  <c r="J50" i="1"/>
  <c r="I50" i="1"/>
  <c r="H50" i="1"/>
  <c r="G50" i="1"/>
  <c r="F50" i="1"/>
  <c r="E50" i="1"/>
  <c r="D50" i="1"/>
  <c r="K50" i="1" s="1"/>
  <c r="C50" i="1"/>
  <c r="B50" i="1"/>
  <c r="J49" i="1"/>
  <c r="I49" i="1"/>
  <c r="H49" i="1"/>
  <c r="G49" i="1"/>
  <c r="F49" i="1"/>
  <c r="E49" i="1"/>
  <c r="D49" i="1"/>
  <c r="K49" i="1" s="1"/>
  <c r="C49" i="1"/>
  <c r="B49" i="1"/>
  <c r="J48" i="1"/>
  <c r="I48" i="1"/>
  <c r="H48" i="1"/>
  <c r="G48" i="1"/>
  <c r="F48" i="1"/>
  <c r="E48" i="1"/>
  <c r="D48" i="1"/>
  <c r="K48" i="1" s="1"/>
  <c r="C48" i="1"/>
  <c r="B48" i="1"/>
  <c r="J47" i="1"/>
  <c r="I47" i="1"/>
  <c r="H47" i="1"/>
  <c r="G47" i="1"/>
  <c r="F47" i="1"/>
  <c r="E47" i="1"/>
  <c r="D47" i="1"/>
  <c r="K47" i="1" s="1"/>
  <c r="C47" i="1"/>
  <c r="B47" i="1"/>
  <c r="J46" i="1"/>
  <c r="I46" i="1"/>
  <c r="H46" i="1"/>
  <c r="G46" i="1"/>
  <c r="F46" i="1"/>
  <c r="E46" i="1"/>
  <c r="D46" i="1"/>
  <c r="K46" i="1" s="1"/>
  <c r="C46" i="1"/>
  <c r="B46" i="1"/>
  <c r="J45" i="1"/>
  <c r="I45" i="1"/>
  <c r="H45" i="1"/>
  <c r="G45" i="1"/>
  <c r="F45" i="1"/>
  <c r="E45" i="1"/>
  <c r="D45" i="1"/>
  <c r="K45" i="1" s="1"/>
  <c r="C45" i="1"/>
  <c r="B45" i="1"/>
  <c r="J44" i="1"/>
  <c r="I44" i="1"/>
  <c r="H44" i="1"/>
  <c r="G44" i="1"/>
  <c r="F44" i="1"/>
  <c r="E44" i="1"/>
  <c r="D44" i="1"/>
  <c r="K44" i="1" s="1"/>
  <c r="C44" i="1"/>
  <c r="B44" i="1"/>
  <c r="J43" i="1"/>
  <c r="I43" i="1"/>
  <c r="H43" i="1"/>
  <c r="G43" i="1"/>
  <c r="F43" i="1"/>
  <c r="E43" i="1"/>
  <c r="D43" i="1"/>
  <c r="K43" i="1" s="1"/>
  <c r="C43" i="1"/>
  <c r="B43" i="1"/>
  <c r="J42" i="1"/>
  <c r="I42" i="1"/>
  <c r="H42" i="1"/>
  <c r="G42" i="1"/>
  <c r="F42" i="1"/>
  <c r="E42" i="1"/>
  <c r="D42" i="1"/>
  <c r="K42" i="1" s="1"/>
  <c r="C42" i="1"/>
  <c r="B42" i="1"/>
  <c r="J41" i="1"/>
  <c r="I41" i="1"/>
  <c r="H41" i="1"/>
  <c r="G41" i="1"/>
  <c r="F41" i="1"/>
  <c r="E41" i="1"/>
  <c r="D41" i="1"/>
  <c r="K41" i="1" s="1"/>
  <c r="C41" i="1"/>
  <c r="B41" i="1"/>
  <c r="J40" i="1"/>
  <c r="I40" i="1"/>
  <c r="H40" i="1"/>
  <c r="G40" i="1"/>
  <c r="F40" i="1"/>
  <c r="E40" i="1"/>
  <c r="D40" i="1"/>
  <c r="K40" i="1" s="1"/>
  <c r="C40" i="1"/>
  <c r="B40" i="1"/>
  <c r="J39" i="1"/>
  <c r="I39" i="1"/>
  <c r="H39" i="1"/>
  <c r="G39" i="1"/>
  <c r="F39" i="1"/>
  <c r="E39" i="1"/>
  <c r="D39" i="1"/>
  <c r="K39" i="1" s="1"/>
  <c r="C39" i="1"/>
  <c r="B39" i="1"/>
  <c r="J38" i="1"/>
  <c r="I38" i="1"/>
  <c r="H38" i="1"/>
  <c r="G38" i="1"/>
  <c r="F38" i="1"/>
  <c r="E38" i="1"/>
  <c r="D38" i="1"/>
  <c r="K38" i="1" s="1"/>
  <c r="C38" i="1"/>
  <c r="B38" i="1"/>
  <c r="J37" i="1"/>
  <c r="I37" i="1"/>
  <c r="H37" i="1"/>
  <c r="G37" i="1"/>
  <c r="F37" i="1"/>
  <c r="E37" i="1"/>
  <c r="D37" i="1"/>
  <c r="K37" i="1" s="1"/>
  <c r="C37" i="1"/>
  <c r="B37" i="1"/>
  <c r="J36" i="1"/>
  <c r="I36" i="1"/>
  <c r="H36" i="1"/>
  <c r="G36" i="1"/>
  <c r="F36" i="1"/>
  <c r="E36" i="1"/>
  <c r="D36" i="1"/>
  <c r="K36" i="1" s="1"/>
  <c r="C36" i="1"/>
  <c r="B36" i="1"/>
  <c r="J35" i="1"/>
  <c r="I35" i="1"/>
  <c r="H35" i="1"/>
  <c r="G35" i="1"/>
  <c r="F35" i="1"/>
  <c r="E35" i="1"/>
  <c r="D35" i="1"/>
  <c r="K35" i="1" s="1"/>
  <c r="C35" i="1"/>
  <c r="B35" i="1"/>
  <c r="J34" i="1"/>
  <c r="I34" i="1"/>
  <c r="H34" i="1"/>
  <c r="G34" i="1"/>
  <c r="F34" i="1"/>
  <c r="E34" i="1"/>
  <c r="D34" i="1"/>
  <c r="K34" i="1" s="1"/>
  <c r="C34" i="1"/>
  <c r="B34" i="1"/>
  <c r="J33" i="1"/>
  <c r="I33" i="1"/>
  <c r="H33" i="1"/>
  <c r="G33" i="1"/>
  <c r="F33" i="1"/>
  <c r="E33" i="1"/>
  <c r="D33" i="1"/>
  <c r="K33" i="1" s="1"/>
  <c r="C33" i="1"/>
  <c r="B33" i="1"/>
  <c r="J32" i="1"/>
  <c r="I32" i="1"/>
  <c r="H32" i="1"/>
  <c r="G32" i="1"/>
  <c r="F32" i="1"/>
  <c r="E32" i="1"/>
  <c r="D32" i="1"/>
  <c r="K32" i="1" s="1"/>
  <c r="C32" i="1"/>
  <c r="B32" i="1"/>
  <c r="J31" i="1"/>
  <c r="I31" i="1"/>
  <c r="H31" i="1"/>
  <c r="G31" i="1"/>
  <c r="F31" i="1"/>
  <c r="E31" i="1"/>
  <c r="D31" i="1"/>
  <c r="K31" i="1" s="1"/>
  <c r="C31" i="1"/>
  <c r="B31" i="1"/>
  <c r="J30" i="1"/>
  <c r="I30" i="1"/>
  <c r="H30" i="1"/>
  <c r="G30" i="1"/>
  <c r="F30" i="1"/>
  <c r="E30" i="1"/>
  <c r="D30" i="1"/>
  <c r="K30" i="1" s="1"/>
  <c r="C30" i="1"/>
  <c r="B30" i="1"/>
  <c r="J29" i="1"/>
  <c r="I29" i="1"/>
  <c r="H29" i="1"/>
  <c r="G29" i="1"/>
  <c r="F29" i="1"/>
  <c r="E29" i="1"/>
  <c r="D29" i="1"/>
  <c r="K29" i="1" s="1"/>
  <c r="C29" i="1"/>
  <c r="B29" i="1"/>
  <c r="J28" i="1"/>
  <c r="I28" i="1"/>
  <c r="H28" i="1"/>
  <c r="G28" i="1"/>
  <c r="F28" i="1"/>
  <c r="E28" i="1"/>
  <c r="D28" i="1"/>
  <c r="K28" i="1" s="1"/>
  <c r="C28" i="1"/>
  <c r="B28" i="1"/>
  <c r="J27" i="1"/>
  <c r="I27" i="1"/>
  <c r="H27" i="1"/>
  <c r="G27" i="1"/>
  <c r="F27" i="1"/>
  <c r="E27" i="1"/>
  <c r="D27" i="1"/>
  <c r="K27" i="1" s="1"/>
  <c r="C27" i="1"/>
  <c r="B27" i="1"/>
  <c r="J26" i="1"/>
  <c r="I26" i="1"/>
  <c r="H26" i="1"/>
  <c r="G26" i="1"/>
  <c r="F26" i="1"/>
  <c r="E26" i="1"/>
  <c r="D26" i="1"/>
  <c r="K26" i="1" s="1"/>
  <c r="C26" i="1"/>
  <c r="B26" i="1"/>
  <c r="J25" i="1"/>
  <c r="I25" i="1"/>
  <c r="H25" i="1"/>
  <c r="G25" i="1"/>
  <c r="F25" i="1"/>
  <c r="E25" i="1"/>
  <c r="D25" i="1"/>
  <c r="K25" i="1" s="1"/>
  <c r="C25" i="1"/>
  <c r="B25" i="1"/>
  <c r="J24" i="1"/>
  <c r="I24" i="1"/>
  <c r="H24" i="1"/>
  <c r="G24" i="1"/>
  <c r="F24" i="1"/>
  <c r="E24" i="1"/>
  <c r="D24" i="1"/>
  <c r="K24" i="1" s="1"/>
  <c r="C24" i="1"/>
  <c r="B24" i="1"/>
  <c r="J23" i="1"/>
  <c r="I23" i="1"/>
  <c r="H23" i="1"/>
  <c r="G23" i="1"/>
  <c r="F23" i="1"/>
  <c r="E23" i="1"/>
  <c r="D23" i="1"/>
  <c r="K23" i="1" s="1"/>
  <c r="C23" i="1"/>
  <c r="B23" i="1"/>
  <c r="J22" i="1"/>
  <c r="I22" i="1"/>
  <c r="H22" i="1"/>
  <c r="G22" i="1"/>
  <c r="F22" i="1"/>
  <c r="E22" i="1"/>
  <c r="D22" i="1"/>
  <c r="K22" i="1" s="1"/>
  <c r="C22" i="1"/>
  <c r="B22" i="1"/>
  <c r="J21" i="1"/>
  <c r="I21" i="1"/>
  <c r="H21" i="1"/>
  <c r="G21" i="1"/>
  <c r="F21" i="1"/>
  <c r="E21" i="1"/>
  <c r="D21" i="1"/>
  <c r="K21" i="1" s="1"/>
  <c r="C21" i="1"/>
  <c r="B21" i="1"/>
  <c r="J20" i="1"/>
  <c r="I20" i="1"/>
  <c r="H20" i="1"/>
  <c r="G20" i="1"/>
  <c r="F20" i="1"/>
  <c r="E20" i="1"/>
  <c r="D20" i="1"/>
  <c r="K20" i="1" s="1"/>
  <c r="C20" i="1"/>
  <c r="B20" i="1"/>
  <c r="J19" i="1"/>
  <c r="I19" i="1"/>
  <c r="H19" i="1"/>
  <c r="G19" i="1"/>
  <c r="F19" i="1"/>
  <c r="E19" i="1"/>
  <c r="D19" i="1"/>
  <c r="K19" i="1" s="1"/>
  <c r="C19" i="1"/>
  <c r="B19" i="1"/>
  <c r="J18" i="1"/>
  <c r="I18" i="1"/>
  <c r="H18" i="1"/>
  <c r="G18" i="1"/>
  <c r="F18" i="1"/>
  <c r="E18" i="1"/>
  <c r="D18" i="1"/>
  <c r="K18" i="1" s="1"/>
  <c r="C18" i="1"/>
  <c r="B18" i="1"/>
  <c r="J17" i="1"/>
  <c r="I17" i="1"/>
  <c r="H17" i="1"/>
  <c r="G17" i="1"/>
  <c r="F17" i="1"/>
  <c r="E17" i="1"/>
  <c r="D17" i="1"/>
  <c r="K17" i="1" s="1"/>
  <c r="C17" i="1"/>
  <c r="B17" i="1"/>
  <c r="J16" i="1"/>
  <c r="I16" i="1"/>
  <c r="H16" i="1"/>
  <c r="G16" i="1"/>
  <c r="F16" i="1"/>
  <c r="E16" i="1"/>
  <c r="D16" i="1"/>
  <c r="K16" i="1" s="1"/>
  <c r="C16" i="1"/>
  <c r="B16" i="1"/>
  <c r="J15" i="1"/>
  <c r="I15" i="1"/>
  <c r="H15" i="1"/>
  <c r="G15" i="1"/>
  <c r="F15" i="1"/>
  <c r="E15" i="1"/>
  <c r="D15" i="1"/>
  <c r="K15" i="1" s="1"/>
  <c r="C15" i="1"/>
  <c r="B15" i="1"/>
  <c r="J14" i="1"/>
  <c r="I14" i="1"/>
  <c r="H14" i="1"/>
  <c r="G14" i="1"/>
  <c r="F14" i="1"/>
  <c r="E14" i="1"/>
  <c r="D14" i="1"/>
  <c r="K14" i="1" s="1"/>
  <c r="C14" i="1"/>
  <c r="B14" i="1"/>
  <c r="J13" i="1"/>
  <c r="I13" i="1"/>
  <c r="H13" i="1"/>
  <c r="G13" i="1"/>
  <c r="F13" i="1"/>
  <c r="E13" i="1"/>
  <c r="D13" i="1"/>
  <c r="K13" i="1" s="1"/>
  <c r="C13" i="1"/>
  <c r="B13" i="1"/>
  <c r="J12" i="1"/>
  <c r="I12" i="1"/>
  <c r="H12" i="1"/>
  <c r="G12" i="1"/>
  <c r="F12" i="1"/>
  <c r="E12" i="1"/>
  <c r="D12" i="1"/>
  <c r="K12" i="1" s="1"/>
  <c r="C12" i="1"/>
  <c r="B12" i="1"/>
  <c r="J11" i="1"/>
  <c r="I11" i="1"/>
  <c r="H11" i="1"/>
  <c r="G11" i="1"/>
  <c r="F11" i="1"/>
  <c r="E11" i="1"/>
  <c r="D11" i="1"/>
  <c r="K11" i="1" s="1"/>
  <c r="C11" i="1"/>
  <c r="B11" i="1"/>
  <c r="J10" i="1"/>
  <c r="I10" i="1"/>
  <c r="H10" i="1"/>
  <c r="G10" i="1"/>
  <c r="F10" i="1"/>
  <c r="E10" i="1"/>
  <c r="D10" i="1"/>
  <c r="K10" i="1" s="1"/>
  <c r="C10" i="1"/>
  <c r="B10" i="1"/>
  <c r="U9" i="1"/>
  <c r="T9" i="1"/>
  <c r="S9" i="1"/>
  <c r="R9" i="1"/>
  <c r="Q9" i="1"/>
  <c r="P9" i="1"/>
  <c r="J9" i="1"/>
  <c r="I9" i="1"/>
  <c r="H9" i="1"/>
  <c r="G9" i="1"/>
  <c r="F9" i="1"/>
  <c r="E9" i="1"/>
  <c r="D9" i="1"/>
  <c r="A7" i="1"/>
  <c r="M41" i="1" l="1"/>
  <c r="L41" i="1"/>
  <c r="M21" i="1"/>
  <c r="L21" i="1"/>
  <c r="M20" i="1"/>
  <c r="L20" i="1"/>
  <c r="M40" i="1"/>
  <c r="L40" i="1"/>
  <c r="M48" i="1"/>
  <c r="L48" i="1"/>
  <c r="M68" i="1"/>
  <c r="L68" i="1"/>
  <c r="M13" i="1"/>
  <c r="L13" i="1"/>
  <c r="M65" i="1"/>
  <c r="L65" i="1"/>
  <c r="M16" i="1"/>
  <c r="L16" i="1"/>
  <c r="M64" i="1"/>
  <c r="L64" i="1"/>
  <c r="M29" i="1"/>
  <c r="L29" i="1"/>
  <c r="M53" i="1"/>
  <c r="L53" i="1"/>
  <c r="M24" i="1"/>
  <c r="L24" i="1"/>
  <c r="M52" i="1"/>
  <c r="L52" i="1"/>
  <c r="M33" i="1"/>
  <c r="L33" i="1"/>
  <c r="M32" i="1"/>
  <c r="L32" i="1"/>
  <c r="M23" i="1"/>
  <c r="L23" i="1"/>
  <c r="M59" i="1"/>
  <c r="L59" i="1"/>
  <c r="M37" i="1"/>
  <c r="L37" i="1"/>
  <c r="M57" i="1"/>
  <c r="L57" i="1"/>
  <c r="M56" i="1"/>
  <c r="L56" i="1"/>
  <c r="M15" i="1"/>
  <c r="L15" i="1"/>
  <c r="M35" i="1"/>
  <c r="L35" i="1"/>
  <c r="M63" i="1"/>
  <c r="L63" i="1"/>
  <c r="M17" i="1"/>
  <c r="L17" i="1"/>
  <c r="M49" i="1"/>
  <c r="L49" i="1"/>
  <c r="M69" i="1"/>
  <c r="L69" i="1"/>
  <c r="M28" i="1"/>
  <c r="L28" i="1"/>
  <c r="M44" i="1"/>
  <c r="L44" i="1"/>
  <c r="M27" i="1"/>
  <c r="L27" i="1"/>
  <c r="M39" i="1"/>
  <c r="L39" i="1"/>
  <c r="M47" i="1"/>
  <c r="L47" i="1"/>
  <c r="M55" i="1"/>
  <c r="L55" i="1"/>
  <c r="M67" i="1"/>
  <c r="L67" i="1"/>
  <c r="M25" i="1"/>
  <c r="L25" i="1"/>
  <c r="M61" i="1"/>
  <c r="L61" i="1"/>
  <c r="M36" i="1"/>
  <c r="L36" i="1"/>
  <c r="M19" i="1"/>
  <c r="L19" i="1"/>
  <c r="M51" i="1"/>
  <c r="L51" i="1"/>
  <c r="M10" i="1"/>
  <c r="L10" i="1"/>
  <c r="M18" i="1"/>
  <c r="L18" i="1"/>
  <c r="M30" i="1"/>
  <c r="L30" i="1"/>
  <c r="M34" i="1"/>
  <c r="L34" i="1"/>
  <c r="M46" i="1"/>
  <c r="L46" i="1"/>
  <c r="M54" i="1"/>
  <c r="L54" i="1"/>
  <c r="M62" i="1"/>
  <c r="L62" i="1"/>
  <c r="M45" i="1"/>
  <c r="L45" i="1"/>
  <c r="M12" i="1"/>
  <c r="L12" i="1"/>
  <c r="M60" i="1"/>
  <c r="L60" i="1"/>
  <c r="M11" i="1"/>
  <c r="L11" i="1"/>
  <c r="M31" i="1"/>
  <c r="L31" i="1"/>
  <c r="M43" i="1"/>
  <c r="L43" i="1"/>
  <c r="M14" i="1"/>
  <c r="L14" i="1"/>
  <c r="M22" i="1"/>
  <c r="L22" i="1"/>
  <c r="M26" i="1"/>
  <c r="L26" i="1"/>
  <c r="M38" i="1"/>
  <c r="L38" i="1"/>
  <c r="M42" i="1"/>
  <c r="L42" i="1"/>
  <c r="M50" i="1"/>
  <c r="L50" i="1"/>
  <c r="M58" i="1"/>
  <c r="L58" i="1"/>
  <c r="M66" i="1"/>
  <c r="L66" i="1"/>
  <c r="AZ74" i="4" a="1"/>
  <c r="AZ74" i="4" s="1"/>
  <c r="AZ71" i="4" a="1"/>
  <c r="AZ71" i="4" s="1"/>
  <c r="AZ68" i="4" a="1"/>
  <c r="AZ68" i="4" s="1"/>
  <c r="AZ65" i="4" a="1"/>
  <c r="AZ65" i="4" s="1"/>
  <c r="AZ62" i="4" a="1"/>
  <c r="AZ62" i="4" s="1"/>
  <c r="AZ58" i="4" a="1"/>
  <c r="AZ58" i="4" s="1"/>
  <c r="AZ69" i="4" a="1"/>
  <c r="AZ69" i="4" s="1"/>
  <c r="AZ54" i="4" a="1"/>
  <c r="AZ54" i="4" s="1"/>
  <c r="AZ50" i="4" a="1"/>
  <c r="AZ50" i="4" s="1"/>
  <c r="AZ46" i="4" a="1"/>
  <c r="AZ46" i="4" s="1"/>
  <c r="AZ42" i="4" a="1"/>
  <c r="AZ42" i="4" s="1"/>
  <c r="AZ66" i="4" a="1"/>
  <c r="AZ66" i="4" s="1"/>
  <c r="AZ63" i="4" a="1"/>
  <c r="AZ63" i="4" s="1"/>
  <c r="AZ59" i="4" a="1"/>
  <c r="AZ59" i="4" s="1"/>
  <c r="AZ53" i="4" a="1"/>
  <c r="AZ53" i="4" s="1"/>
  <c r="AZ49" i="4" a="1"/>
  <c r="AZ49" i="4" s="1"/>
  <c r="AZ45" i="4" a="1"/>
  <c r="AZ45" i="4" s="1"/>
  <c r="AZ70" i="4" a="1"/>
  <c r="AZ70" i="4" s="1"/>
  <c r="AZ52" i="4" a="1"/>
  <c r="AZ52" i="4" s="1"/>
  <c r="AZ48" i="4" a="1"/>
  <c r="AZ48" i="4" s="1"/>
  <c r="AZ44" i="4" a="1"/>
  <c r="AZ44" i="4" s="1"/>
  <c r="AZ60" i="4" a="1"/>
  <c r="AZ60" i="4" s="1"/>
  <c r="AZ51" i="4" a="1"/>
  <c r="AZ51" i="4" s="1"/>
  <c r="AZ38" i="4" a="1"/>
  <c r="AZ38" i="4" s="1"/>
  <c r="AZ34" i="4" a="1"/>
  <c r="AZ34" i="4" s="1"/>
  <c r="AZ30" i="4" a="1"/>
  <c r="AZ30" i="4" s="1"/>
  <c r="AZ26" i="4" a="1"/>
  <c r="AZ26" i="4" s="1"/>
  <c r="AZ56" i="4" a="1"/>
  <c r="AZ56" i="4" s="1"/>
  <c r="AZ41" i="4" a="1"/>
  <c r="AZ41" i="4" s="1"/>
  <c r="AZ72" i="4" a="1"/>
  <c r="AZ72" i="4" s="1"/>
  <c r="AZ35" i="4" a="1"/>
  <c r="AZ35" i="4" s="1"/>
  <c r="AZ61" i="4" a="1"/>
  <c r="AZ61" i="4" s="1"/>
  <c r="AZ32" i="4" a="1"/>
  <c r="AZ32" i="4" s="1"/>
  <c r="AZ22" i="4" a="1"/>
  <c r="AZ22" i="4" s="1"/>
  <c r="AZ29" i="4" a="1"/>
  <c r="AZ29" i="4" s="1"/>
  <c r="AZ23" i="4" a="1"/>
  <c r="AZ23" i="4" s="1"/>
  <c r="AZ57" i="4" a="1"/>
  <c r="AZ57" i="4" s="1"/>
  <c r="AZ43" i="4" a="1"/>
  <c r="AZ43" i="4" s="1"/>
  <c r="AZ40" i="4" a="1"/>
  <c r="AZ40" i="4" s="1"/>
  <c r="AZ24" i="4" a="1"/>
  <c r="AZ24" i="4" s="1"/>
  <c r="AZ67" i="4" a="1"/>
  <c r="AZ67" i="4" s="1"/>
  <c r="AZ55" i="4" a="1"/>
  <c r="AZ55" i="4" s="1"/>
  <c r="AZ37" i="4" a="1"/>
  <c r="AZ37" i="4" s="1"/>
  <c r="AZ31" i="4" a="1"/>
  <c r="AZ31" i="4" s="1"/>
  <c r="AZ28" i="4" a="1"/>
  <c r="AZ28" i="4" s="1"/>
  <c r="AZ39" i="4" a="1"/>
  <c r="AZ39" i="4" s="1"/>
  <c r="AZ47" i="4" a="1"/>
  <c r="AZ47" i="4" s="1"/>
  <c r="AZ16" i="4" a="1"/>
  <c r="AZ16" i="4" s="1"/>
  <c r="AZ27" i="4" a="1"/>
  <c r="AZ27" i="4" s="1"/>
  <c r="BB35" i="4" a="1"/>
  <c r="BB35" i="4" s="1"/>
  <c r="BA74" i="4" a="1"/>
  <c r="BA74" i="4" s="1"/>
  <c r="BA69" i="4" a="1"/>
  <c r="BA69" i="4" s="1"/>
  <c r="BA66" i="4" a="1"/>
  <c r="BA66" i="4" s="1"/>
  <c r="BA71" i="4" a="1"/>
  <c r="BA71" i="4" s="1"/>
  <c r="BA63" i="4" a="1"/>
  <c r="BA63" i="4" s="1"/>
  <c r="BA53" i="4" a="1"/>
  <c r="BA53" i="4" s="1"/>
  <c r="BA49" i="4" a="1"/>
  <c r="BA49" i="4" s="1"/>
  <c r="BA45" i="4" a="1"/>
  <c r="BA45" i="4" s="1"/>
  <c r="BA59" i="4" a="1"/>
  <c r="BA59" i="4" s="1"/>
  <c r="BA68" i="4" a="1"/>
  <c r="BA68" i="4" s="1"/>
  <c r="BA65" i="4" a="1"/>
  <c r="BA65" i="4" s="1"/>
  <c r="BA52" i="4" a="1"/>
  <c r="BA52" i="4" s="1"/>
  <c r="BA48" i="4" a="1"/>
  <c r="BA48" i="4" s="1"/>
  <c r="BA44" i="4" a="1"/>
  <c r="BA44" i="4" s="1"/>
  <c r="BA70" i="4" a="1"/>
  <c r="BA70" i="4" s="1"/>
  <c r="BA60" i="4" a="1"/>
  <c r="BA60" i="4" s="1"/>
  <c r="BA56" i="4" a="1"/>
  <c r="BA56" i="4" s="1"/>
  <c r="BA62" i="4" a="1"/>
  <c r="BA62" i="4" s="1"/>
  <c r="BA46" i="4" a="1"/>
  <c r="BA46" i="4" s="1"/>
  <c r="BA38" i="4" a="1"/>
  <c r="BA38" i="4" s="1"/>
  <c r="BA34" i="4" a="1"/>
  <c r="BA34" i="4" s="1"/>
  <c r="BA30" i="4" a="1"/>
  <c r="BA30" i="4" s="1"/>
  <c r="BA26" i="4" a="1"/>
  <c r="BA26" i="4" s="1"/>
  <c r="BA22" i="4" a="1"/>
  <c r="BA22" i="4" s="1"/>
  <c r="BA58" i="4" a="1"/>
  <c r="BA58" i="4" s="1"/>
  <c r="BA55" i="4" a="1"/>
  <c r="BA55" i="4" s="1"/>
  <c r="BA50" i="4" a="1"/>
  <c r="BA50" i="4" s="1"/>
  <c r="BA73" i="4" a="1"/>
  <c r="BA73" i="4" s="1"/>
  <c r="BA67" i="4" a="1"/>
  <c r="BA67" i="4" s="1"/>
  <c r="BA64" i="4" a="1"/>
  <c r="BA64" i="4" s="1"/>
  <c r="BA72" i="4" a="1"/>
  <c r="BA72" i="4" s="1"/>
  <c r="BA32" i="4" a="1"/>
  <c r="BA32" i="4" s="1"/>
  <c r="BA18" i="4" a="1"/>
  <c r="BA18" i="4" s="1"/>
  <c r="BA61" i="4" a="1"/>
  <c r="BA61" i="4" s="1"/>
  <c r="BA51" i="4" a="1"/>
  <c r="BA51" i="4" s="1"/>
  <c r="BA29" i="4" a="1"/>
  <c r="BA29" i="4" s="1"/>
  <c r="BA23" i="4" a="1"/>
  <c r="BA23" i="4" s="1"/>
  <c r="BA54" i="4" a="1"/>
  <c r="BA54" i="4" s="1"/>
  <c r="BA43" i="4" a="1"/>
  <c r="BA43" i="4" s="1"/>
  <c r="BA40" i="4" a="1"/>
  <c r="BA40" i="4" s="1"/>
  <c r="BA24" i="4" a="1"/>
  <c r="BA24" i="4" s="1"/>
  <c r="BA57" i="4" a="1"/>
  <c r="BA57" i="4" s="1"/>
  <c r="BA37" i="4" a="1"/>
  <c r="BA37" i="4" s="1"/>
  <c r="BA21" i="4" a="1"/>
  <c r="BA21" i="4" s="1"/>
  <c r="BA31" i="4" a="1"/>
  <c r="BA31" i="4" s="1"/>
  <c r="BA42" i="4" a="1"/>
  <c r="BA42" i="4" s="1"/>
  <c r="BA28" i="4" a="1"/>
  <c r="BA28" i="4" s="1"/>
  <c r="BA39" i="4" a="1"/>
  <c r="BA39" i="4" s="1"/>
  <c r="BA36" i="4" a="1"/>
  <c r="BA36" i="4" s="1"/>
  <c r="BA25" i="4" a="1"/>
  <c r="BA25" i="4" s="1"/>
  <c r="BA33" i="4" a="1"/>
  <c r="BA33" i="4" s="1"/>
  <c r="BA35" i="4" a="1"/>
  <c r="BA35" i="4" s="1"/>
  <c r="AZ33" i="4" a="1"/>
  <c r="AZ33" i="4" s="1"/>
  <c r="BB72" i="4" a="1"/>
  <c r="BB72" i="4" s="1"/>
  <c r="BB69" i="4" a="1"/>
  <c r="BB69" i="4" s="1"/>
  <c r="BB66" i="4" a="1"/>
  <c r="BB66" i="4" s="1"/>
  <c r="BB63" i="4" a="1"/>
  <c r="BB63" i="4" s="1"/>
  <c r="BB53" i="4" a="1"/>
  <c r="BB53" i="4" s="1"/>
  <c r="BB49" i="4" a="1"/>
  <c r="BB49" i="4" s="1"/>
  <c r="BB45" i="4" a="1"/>
  <c r="BB45" i="4" s="1"/>
  <c r="BB71" i="4" a="1"/>
  <c r="BB71" i="4" s="1"/>
  <c r="BB74" i="4" a="1"/>
  <c r="BB74" i="4" s="1"/>
  <c r="BB59" i="4" a="1"/>
  <c r="BB59" i="4" s="1"/>
  <c r="BB68" i="4" a="1"/>
  <c r="BB68" i="4" s="1"/>
  <c r="BB52" i="4" a="1"/>
  <c r="BB52" i="4" s="1"/>
  <c r="BB48" i="4" a="1"/>
  <c r="BB48" i="4" s="1"/>
  <c r="BB44" i="4" a="1"/>
  <c r="BB44" i="4" s="1"/>
  <c r="BB65" i="4" a="1"/>
  <c r="BB65" i="4" s="1"/>
  <c r="BB70" i="4" a="1"/>
  <c r="BB70" i="4" s="1"/>
  <c r="BB62" i="4" a="1"/>
  <c r="BB62" i="4" s="1"/>
  <c r="BB67" i="4" a="1"/>
  <c r="BB67" i="4" s="1"/>
  <c r="BB57" i="4" a="1"/>
  <c r="BB57" i="4" s="1"/>
  <c r="BB60" i="4" a="1"/>
  <c r="BB60" i="4" s="1"/>
  <c r="BB58" i="4" a="1"/>
  <c r="BB58" i="4" s="1"/>
  <c r="BB50" i="4" a="1"/>
  <c r="BB50" i="4" s="1"/>
  <c r="BB55" i="4" a="1"/>
  <c r="BB55" i="4" s="1"/>
  <c r="BB37" i="4" a="1"/>
  <c r="BB37" i="4" s="1"/>
  <c r="BB33" i="4" a="1"/>
  <c r="BB33" i="4" s="1"/>
  <c r="BB29" i="4" a="1"/>
  <c r="BB29" i="4" s="1"/>
  <c r="BB25" i="4" a="1"/>
  <c r="BB25" i="4" s="1"/>
  <c r="BB54" i="4" a="1"/>
  <c r="BB54" i="4" s="1"/>
  <c r="BB42" i="4" a="1"/>
  <c r="BB42" i="4" s="1"/>
  <c r="BB41" i="4" a="1"/>
  <c r="BB41" i="4" s="1"/>
  <c r="BB73" i="4" a="1"/>
  <c r="BB73" i="4" s="1"/>
  <c r="BB64" i="4" a="1"/>
  <c r="BB64" i="4" s="1"/>
  <c r="BB61" i="4" a="1"/>
  <c r="BB61" i="4" s="1"/>
  <c r="BB51" i="4" a="1"/>
  <c r="BB51" i="4" s="1"/>
  <c r="BB40" i="4" a="1"/>
  <c r="BB40" i="4" s="1"/>
  <c r="BB24" i="4" a="1"/>
  <c r="BB24" i="4" s="1"/>
  <c r="BB43" i="4" a="1"/>
  <c r="BB43" i="4" s="1"/>
  <c r="BB26" i="4" a="1"/>
  <c r="BB26" i="4" s="1"/>
  <c r="BB21" i="4" a="1"/>
  <c r="BB21" i="4" s="1"/>
  <c r="BB31" i="4" a="1"/>
  <c r="BB31" i="4" s="1"/>
  <c r="BB34" i="4" a="1"/>
  <c r="BB34" i="4" s="1"/>
  <c r="BB28" i="4" a="1"/>
  <c r="BB28" i="4" s="1"/>
  <c r="BB39" i="4" a="1"/>
  <c r="BB39" i="4" s="1"/>
  <c r="BB20" i="4" a="1"/>
  <c r="BB20" i="4" s="1"/>
  <c r="BB36" i="4" a="1"/>
  <c r="BB36" i="4" s="1"/>
  <c r="BB46" i="4" a="1"/>
  <c r="BB46" i="4" s="1"/>
  <c r="BB27" i="4" a="1"/>
  <c r="BB27" i="4" s="1"/>
  <c r="BB56" i="4" a="1"/>
  <c r="BB56" i="4" s="1"/>
  <c r="BB47" i="4" a="1"/>
  <c r="BB47" i="4" s="1"/>
  <c r="BB30" i="4" a="1"/>
  <c r="BB30" i="4" s="1"/>
  <c r="BA16" i="4" a="1"/>
  <c r="BA16" i="4" s="1"/>
  <c r="BB19" i="4" a="1"/>
  <c r="BB19" i="4" s="1"/>
  <c r="BA27" i="4" a="1"/>
  <c r="BA27" i="4" s="1"/>
  <c r="AZ64" i="4" a="1"/>
  <c r="AZ64" i="4" s="1"/>
  <c r="AZ73" i="4" a="1"/>
  <c r="AZ73" i="4" s="1"/>
  <c r="BC72" i="4" a="1"/>
  <c r="BC72" i="4" s="1"/>
  <c r="BC73" i="4" a="1"/>
  <c r="BC73" i="4" s="1"/>
  <c r="BC71" i="4" a="1"/>
  <c r="BC71" i="4" s="1"/>
  <c r="BC66" i="4" a="1"/>
  <c r="BC66" i="4" s="1"/>
  <c r="BC74" i="4" a="1"/>
  <c r="BC74" i="4" s="1"/>
  <c r="BC63" i="4" a="1"/>
  <c r="BC63" i="4" s="1"/>
  <c r="BC59" i="4" a="1"/>
  <c r="BC59" i="4" s="1"/>
  <c r="BC52" i="4" a="1"/>
  <c r="BC52" i="4" s="1"/>
  <c r="BC48" i="4" a="1"/>
  <c r="BC48" i="4" s="1"/>
  <c r="BC44" i="4" a="1"/>
  <c r="BC44" i="4" s="1"/>
  <c r="BC68" i="4" a="1"/>
  <c r="BC68" i="4" s="1"/>
  <c r="BC65" i="4" a="1"/>
  <c r="BC65" i="4" s="1"/>
  <c r="BC70" i="4" a="1"/>
  <c r="BC70" i="4" s="1"/>
  <c r="BC62" i="4" a="1"/>
  <c r="BC62" i="4" s="1"/>
  <c r="BC51" i="4" a="1"/>
  <c r="BC51" i="4" s="1"/>
  <c r="BC47" i="4" a="1"/>
  <c r="BC47" i="4" s="1"/>
  <c r="BC43" i="4" a="1"/>
  <c r="BC43" i="4" s="1"/>
  <c r="BC60" i="4" a="1"/>
  <c r="BC60" i="4" s="1"/>
  <c r="BC56" i="4" a="1"/>
  <c r="BC56" i="4" s="1"/>
  <c r="BC67" i="4" a="1"/>
  <c r="BC67" i="4" s="1"/>
  <c r="BC64" i="4" a="1"/>
  <c r="BC64" i="4" s="1"/>
  <c r="BC54" i="4" a="1"/>
  <c r="BC54" i="4" s="1"/>
  <c r="BC50" i="4" a="1"/>
  <c r="BC50" i="4" s="1"/>
  <c r="BC46" i="4" a="1"/>
  <c r="BC46" i="4" s="1"/>
  <c r="BC55" i="4" a="1"/>
  <c r="BC55" i="4" s="1"/>
  <c r="BC42" i="4" a="1"/>
  <c r="BC42" i="4" s="1"/>
  <c r="BC41" i="4" a="1"/>
  <c r="BC41" i="4" s="1"/>
  <c r="BC45" i="4" a="1"/>
  <c r="BC45" i="4" s="1"/>
  <c r="BC40" i="4" a="1"/>
  <c r="BC40" i="4" s="1"/>
  <c r="BC36" i="4" a="1"/>
  <c r="BC36" i="4" s="1"/>
  <c r="BC32" i="4" a="1"/>
  <c r="BC32" i="4" s="1"/>
  <c r="BC28" i="4" a="1"/>
  <c r="BC28" i="4" s="1"/>
  <c r="BC61" i="4" a="1"/>
  <c r="BC61" i="4" s="1"/>
  <c r="BC31" i="4" a="1"/>
  <c r="BC31" i="4" s="1"/>
  <c r="BC29" i="4" a="1"/>
  <c r="BC29" i="4" s="1"/>
  <c r="BC53" i="4" a="1"/>
  <c r="BC53" i="4" s="1"/>
  <c r="BC34" i="4" a="1"/>
  <c r="BC34" i="4" s="1"/>
  <c r="BC57" i="4" a="1"/>
  <c r="BC57" i="4" s="1"/>
  <c r="BC39" i="4" a="1"/>
  <c r="BC39" i="4" s="1"/>
  <c r="BC37" i="4" a="1"/>
  <c r="BC37" i="4" s="1"/>
  <c r="BC20" i="4" a="1"/>
  <c r="BC20" i="4" s="1"/>
  <c r="BC27" i="4" a="1"/>
  <c r="BC27" i="4" s="1"/>
  <c r="BC25" i="4" a="1"/>
  <c r="BC25" i="4" s="1"/>
  <c r="BC69" i="4" a="1"/>
  <c r="BC69" i="4" s="1"/>
  <c r="BC30" i="4" a="1"/>
  <c r="BC30" i="4" s="1"/>
  <c r="BC35" i="4" a="1"/>
  <c r="BC35" i="4" s="1"/>
  <c r="BC33" i="4" a="1"/>
  <c r="BC33" i="4" s="1"/>
  <c r="BC38" i="4" a="1"/>
  <c r="BC38" i="4" s="1"/>
  <c r="BC58" i="4" a="1"/>
  <c r="BC58" i="4" s="1"/>
  <c r="BC15" i="4" a="1"/>
  <c r="BC15" i="4" s="1"/>
  <c r="AZ17" i="4" a="1"/>
  <c r="AZ17" i="4" s="1"/>
  <c r="BB18" i="4" a="1"/>
  <c r="BB18" i="4" s="1"/>
  <c r="BC21" i="4" a="1"/>
  <c r="BC21" i="4" s="1"/>
  <c r="AZ36" i="4" a="1"/>
  <c r="AZ36" i="4" s="1"/>
  <c r="AW39" i="4" a="1"/>
  <c r="AW39" i="4" s="1"/>
  <c r="BA47" i="4" a="1"/>
  <c r="BA47" i="4" s="1"/>
  <c r="BD73" i="4" a="1"/>
  <c r="BD73" i="4" s="1"/>
  <c r="BD70" i="4" a="1"/>
  <c r="BD70" i="4" s="1"/>
  <c r="BD67" i="4" a="1"/>
  <c r="BD67" i="4" s="1"/>
  <c r="BD64" i="4" a="1"/>
  <c r="BD64" i="4" s="1"/>
  <c r="BD61" i="4" a="1"/>
  <c r="BD61" i="4" s="1"/>
  <c r="BD74" i="4" a="1"/>
  <c r="BD74" i="4" s="1"/>
  <c r="BD63" i="4" a="1"/>
  <c r="BD63" i="4" s="1"/>
  <c r="BD59" i="4" a="1"/>
  <c r="BD59" i="4" s="1"/>
  <c r="BD68" i="4" a="1"/>
  <c r="BD68" i="4" s="1"/>
  <c r="BD65" i="4" a="1"/>
  <c r="BD65" i="4" s="1"/>
  <c r="BD51" i="4" a="1"/>
  <c r="BD51" i="4" s="1"/>
  <c r="BD47" i="4" a="1"/>
  <c r="BD47" i="4" s="1"/>
  <c r="BD43" i="4" a="1"/>
  <c r="BD43" i="4" s="1"/>
  <c r="BD62" i="4" a="1"/>
  <c r="BD62" i="4" s="1"/>
  <c r="BD56" i="4" a="1"/>
  <c r="BD56" i="4" s="1"/>
  <c r="BD60" i="4" a="1"/>
  <c r="BD60" i="4" s="1"/>
  <c r="BD55" i="4" a="1"/>
  <c r="BD55" i="4" s="1"/>
  <c r="BD57" i="4" a="1"/>
  <c r="BD57" i="4" s="1"/>
  <c r="BD54" i="4" a="1"/>
  <c r="BD54" i="4" s="1"/>
  <c r="BD50" i="4" a="1"/>
  <c r="BD50" i="4" s="1"/>
  <c r="BD46" i="4" a="1"/>
  <c r="BD46" i="4" s="1"/>
  <c r="BD42" i="4" a="1"/>
  <c r="BD42" i="4" s="1"/>
  <c r="BD71" i="4" a="1"/>
  <c r="BD71" i="4" s="1"/>
  <c r="BD45" i="4" a="1"/>
  <c r="BD45" i="4" s="1"/>
  <c r="BD40" i="4" a="1"/>
  <c r="BD40" i="4" s="1"/>
  <c r="BD36" i="4" a="1"/>
  <c r="BD36" i="4" s="1"/>
  <c r="BD32" i="4" a="1"/>
  <c r="BD32" i="4" s="1"/>
  <c r="BD28" i="4" a="1"/>
  <c r="BD28" i="4" s="1"/>
  <c r="BD24" i="4" a="1"/>
  <c r="BD24" i="4" s="1"/>
  <c r="BD49" i="4" a="1"/>
  <c r="BD49" i="4" s="1"/>
  <c r="BD39" i="4" a="1"/>
  <c r="BD39" i="4" s="1"/>
  <c r="BD37" i="4" a="1"/>
  <c r="BD37" i="4" s="1"/>
  <c r="BD20" i="4" a="1"/>
  <c r="BD20" i="4" s="1"/>
  <c r="BD52" i="4" a="1"/>
  <c r="BD52" i="4" s="1"/>
  <c r="BD27" i="4" a="1"/>
  <c r="BD27" i="4" s="1"/>
  <c r="BD25" i="4" a="1"/>
  <c r="BD25" i="4" s="1"/>
  <c r="BD19" i="4" a="1"/>
  <c r="BD19" i="4" s="1"/>
  <c r="BD30" i="4" a="1"/>
  <c r="BD30" i="4" s="1"/>
  <c r="BD69" i="4" a="1"/>
  <c r="BD69" i="4" s="1"/>
  <c r="BD35" i="4" a="1"/>
  <c r="BD35" i="4" s="1"/>
  <c r="BD33" i="4" a="1"/>
  <c r="BD33" i="4" s="1"/>
  <c r="BD44" i="4" a="1"/>
  <c r="BD44" i="4" s="1"/>
  <c r="BD38" i="4" a="1"/>
  <c r="BD38" i="4" s="1"/>
  <c r="BD66" i="4" a="1"/>
  <c r="BD66" i="4" s="1"/>
  <c r="BD41" i="4" a="1"/>
  <c r="BD41" i="4" s="1"/>
  <c r="BD72" i="4" a="1"/>
  <c r="BD72" i="4" s="1"/>
  <c r="BD53" i="4" a="1"/>
  <c r="BD53" i="4" s="1"/>
  <c r="BD48" i="4" a="1"/>
  <c r="BD48" i="4" s="1"/>
  <c r="BD34" i="4" a="1"/>
  <c r="BD34" i="4" s="1"/>
  <c r="AU16" i="4"/>
  <c r="BB16" i="4" a="1"/>
  <c r="BB16" i="4" s="1"/>
  <c r="BC19" i="4" a="1"/>
  <c r="BC19" i="4" s="1"/>
  <c r="BB23" i="4" a="1"/>
  <c r="BB23" i="4" s="1"/>
  <c r="BC26" i="4" a="1"/>
  <c r="BC26" i="4" s="1"/>
  <c r="AW37" i="4" a="1"/>
  <c r="AW37" i="4" s="1"/>
  <c r="AU46" i="4"/>
  <c r="BE73" i="4" a="1"/>
  <c r="BE73" i="4" s="1"/>
  <c r="BE74" i="4" a="1"/>
  <c r="BE74" i="4" s="1"/>
  <c r="BE68" i="4" a="1"/>
  <c r="BE68" i="4" s="1"/>
  <c r="BE65" i="4" a="1"/>
  <c r="BE65" i="4" s="1"/>
  <c r="BE51" i="4"/>
  <c r="BE47" i="4"/>
  <c r="BE43" i="4"/>
  <c r="BE62" i="4" a="1"/>
  <c r="BE62" i="4" s="1"/>
  <c r="BE56" i="4" a="1"/>
  <c r="BE56" i="4" s="1"/>
  <c r="BE70" i="4" a="1"/>
  <c r="BE70" i="4" s="1"/>
  <c r="BE60" i="4" a="1"/>
  <c r="BE60" i="4" s="1"/>
  <c r="BE55" i="4"/>
  <c r="BE57" i="4" a="1"/>
  <c r="BE57" i="4" s="1"/>
  <c r="BE54" i="4"/>
  <c r="BE50" i="4"/>
  <c r="BE46" i="4"/>
  <c r="BE42" i="4"/>
  <c r="BE67" i="4" a="1"/>
  <c r="BE67" i="4" s="1"/>
  <c r="BE64" i="4" a="1"/>
  <c r="BE64" i="4" s="1"/>
  <c r="BE61" i="4" a="1"/>
  <c r="BE61" i="4" s="1"/>
  <c r="BE58" i="4" a="1"/>
  <c r="BE58" i="4" s="1"/>
  <c r="BE53" i="4"/>
  <c r="BE49" i="4"/>
  <c r="BE45" i="4"/>
  <c r="BE39" i="4"/>
  <c r="BE35" i="4"/>
  <c r="BE31" i="4"/>
  <c r="BE27" i="4"/>
  <c r="BE72" i="4" a="1"/>
  <c r="BE72" i="4" s="1"/>
  <c r="BE63" i="4" a="1"/>
  <c r="BE63" i="4" s="1"/>
  <c r="BE28" i="4"/>
  <c r="BE52" i="4"/>
  <c r="BE25" i="4"/>
  <c r="BE19" i="4"/>
  <c r="BE71" i="4" a="1"/>
  <c r="BE71" i="4" s="1"/>
  <c r="BE36" i="4"/>
  <c r="BE30" i="4"/>
  <c r="BE69" i="4" a="1"/>
  <c r="BE69" i="4" s="1"/>
  <c r="BE33" i="4"/>
  <c r="BE44" i="4"/>
  <c r="BE38" i="4"/>
  <c r="BE23" i="4"/>
  <c r="BE22" i="4"/>
  <c r="BE66" i="4" a="1"/>
  <c r="BE66" i="4" s="1"/>
  <c r="BE41" i="4"/>
  <c r="BE59" i="4" a="1"/>
  <c r="BE59" i="4" s="1"/>
  <c r="BE32" i="4"/>
  <c r="BE37" i="4"/>
  <c r="BD15" i="4" a="1"/>
  <c r="BD15" i="4" s="1"/>
  <c r="BA17" i="4" a="1"/>
  <c r="BA17" i="4" s="1"/>
  <c r="BC18" i="4" a="1"/>
  <c r="BC18" i="4" s="1"/>
  <c r="BD21" i="4" a="1"/>
  <c r="BD21" i="4" s="1"/>
  <c r="AU22" i="4"/>
  <c r="AU24" i="4"/>
  <c r="AZ25" i="4" a="1"/>
  <c r="AZ25" i="4" s="1"/>
  <c r="AY30" i="4"/>
  <c r="AU40" i="4"/>
  <c r="BF74" i="4" a="1"/>
  <c r="BF74" i="4" s="1"/>
  <c r="BF71" i="4" a="1"/>
  <c r="BF71" i="4" s="1"/>
  <c r="BF68" i="4" a="1"/>
  <c r="BF68" i="4" s="1"/>
  <c r="BF65" i="4" a="1"/>
  <c r="BF65" i="4" s="1"/>
  <c r="BF62" i="4" a="1"/>
  <c r="BF62" i="4" s="1"/>
  <c r="BF51" i="4"/>
  <c r="BF47" i="4"/>
  <c r="BF43" i="4"/>
  <c r="BF56" i="4" a="1"/>
  <c r="BF56" i="4" s="1"/>
  <c r="BF70" i="4" a="1"/>
  <c r="BF70" i="4" s="1"/>
  <c r="BF60" i="4" a="1"/>
  <c r="BF60" i="4" s="1"/>
  <c r="BF55" i="4"/>
  <c r="BF57" i="4" a="1"/>
  <c r="BF57" i="4" s="1"/>
  <c r="BF54" i="4"/>
  <c r="BF50" i="4"/>
  <c r="BF46" i="4"/>
  <c r="BF42" i="4"/>
  <c r="BF67" i="4" a="1"/>
  <c r="BF67" i="4" s="1"/>
  <c r="BF64" i="4" a="1"/>
  <c r="BF64" i="4" s="1"/>
  <c r="BF72" i="4" a="1"/>
  <c r="BF72" i="4" s="1"/>
  <c r="BF49" i="4"/>
  <c r="BF39" i="4"/>
  <c r="BF35" i="4"/>
  <c r="BF31" i="4"/>
  <c r="BF27" i="4"/>
  <c r="BF73" i="4" a="1"/>
  <c r="BF73" i="4" s="1"/>
  <c r="BF61" i="4" a="1"/>
  <c r="BF61" i="4" s="1"/>
  <c r="BF28" i="4"/>
  <c r="BF52" i="4"/>
  <c r="BF25" i="4"/>
  <c r="BF19" i="4"/>
  <c r="BF36" i="4"/>
  <c r="BF30" i="4"/>
  <c r="BF69" i="4" a="1"/>
  <c r="BF69" i="4" s="1"/>
  <c r="BF33" i="4"/>
  <c r="BF44" i="4"/>
  <c r="BF38" i="4"/>
  <c r="BF18" i="4"/>
  <c r="BF45" i="4"/>
  <c r="BF66" i="4" a="1"/>
  <c r="BF66" i="4" s="1"/>
  <c r="BF41" i="4"/>
  <c r="BF59" i="4" a="1"/>
  <c r="BF59" i="4" s="1"/>
  <c r="BF32" i="4"/>
  <c r="BF26" i="4"/>
  <c r="BF29" i="4"/>
  <c r="BF63" i="4" a="1"/>
  <c r="BF63" i="4" s="1"/>
  <c r="AX15" i="4" a="1"/>
  <c r="AX15" i="4" s="1"/>
  <c r="BE15" i="4"/>
  <c r="BC16" i="4" a="1"/>
  <c r="BC16" i="4" s="1"/>
  <c r="AZ20" i="4" a="1"/>
  <c r="AZ20" i="4" s="1"/>
  <c r="BE21" i="4"/>
  <c r="AV22" i="4"/>
  <c r="BC23" i="4" a="1"/>
  <c r="BC23" i="4" s="1"/>
  <c r="AV24" i="4"/>
  <c r="BD26" i="4" a="1"/>
  <c r="BD26" i="4" s="1"/>
  <c r="AV28" i="4"/>
  <c r="BF37" i="4"/>
  <c r="BE40" i="4"/>
  <c r="BC49" i="4" a="1"/>
  <c r="BC49" i="4" s="1"/>
  <c r="AU74" i="4" a="1"/>
  <c r="AU74" i="4" s="1"/>
  <c r="AU53" i="4"/>
  <c r="AU49" i="4"/>
  <c r="AU45" i="4"/>
  <c r="AU73" i="4" a="1"/>
  <c r="AU73" i="4" s="1"/>
  <c r="AU67" i="4" a="1"/>
  <c r="AU67" i="4" s="1"/>
  <c r="AU60" i="4" a="1"/>
  <c r="AU60" i="4" s="1"/>
  <c r="AU72" i="4" a="1"/>
  <c r="AU72" i="4" s="1"/>
  <c r="AU64" i="4" a="1"/>
  <c r="AU64" i="4" s="1"/>
  <c r="AU57" i="4" a="1"/>
  <c r="AU57" i="4" s="1"/>
  <c r="AU56" i="4" a="1"/>
  <c r="AU56" i="4" s="1"/>
  <c r="AU52" i="4"/>
  <c r="AU48" i="4"/>
  <c r="AU44" i="4"/>
  <c r="AU61" i="4" a="1"/>
  <c r="AU61" i="4" s="1"/>
  <c r="AU69" i="4" a="1"/>
  <c r="AU69" i="4" s="1"/>
  <c r="AU58" i="4" a="1"/>
  <c r="AU58" i="4" s="1"/>
  <c r="AU66" i="4" a="1"/>
  <c r="AU66" i="4" s="1"/>
  <c r="AU71" i="4" a="1"/>
  <c r="AU71" i="4" s="1"/>
  <c r="AU63" i="4" a="1"/>
  <c r="AU63" i="4" s="1"/>
  <c r="AU55" i="4"/>
  <c r="AU43" i="4"/>
  <c r="AU47" i="4"/>
  <c r="AU41" i="4"/>
  <c r="AU37" i="4"/>
  <c r="AU33" i="4"/>
  <c r="AU29" i="4"/>
  <c r="AU25" i="4"/>
  <c r="AU68" i="4" a="1"/>
  <c r="AU68" i="4" s="1"/>
  <c r="AU65" i="4" a="1"/>
  <c r="AU65" i="4" s="1"/>
  <c r="AU62" i="4" a="1"/>
  <c r="AU62" i="4" s="1"/>
  <c r="AU34" i="4"/>
  <c r="AU28" i="4"/>
  <c r="AU50" i="4"/>
  <c r="AU39" i="4"/>
  <c r="AU21" i="4"/>
  <c r="AU51" i="4"/>
  <c r="AU36" i="4"/>
  <c r="AU70" i="4" a="1"/>
  <c r="AU70" i="4" s="1"/>
  <c r="AU27" i="4"/>
  <c r="AU20" i="4"/>
  <c r="AU54" i="4"/>
  <c r="AU30" i="4"/>
  <c r="AU35" i="4"/>
  <c r="AU38" i="4"/>
  <c r="AU32" i="4"/>
  <c r="AU59" i="4" a="1"/>
  <c r="AU59" i="4" s="1"/>
  <c r="AU31" i="4"/>
  <c r="BF15" i="4"/>
  <c r="AW16" i="4" a="1"/>
  <c r="AW16" i="4" s="1"/>
  <c r="AU17" i="4"/>
  <c r="BB17" i="4" a="1"/>
  <c r="BB17" i="4" s="1"/>
  <c r="AV18" i="4"/>
  <c r="BD18" i="4" a="1"/>
  <c r="BD18" i="4" s="1"/>
  <c r="AU19" i="4"/>
  <c r="BF21" i="4"/>
  <c r="BE26" i="4"/>
  <c r="AX28" i="4" a="1"/>
  <c r="AX28" i="4" s="1"/>
  <c r="AW34" i="4" a="1"/>
  <c r="AW34" i="4" s="1"/>
  <c r="BF40" i="4"/>
  <c r="BA41" i="4" a="1"/>
  <c r="BA41" i="4" s="1"/>
  <c r="AV72" i="4" a="1"/>
  <c r="AV72" i="4" s="1"/>
  <c r="AV69" i="4" a="1"/>
  <c r="AV69" i="4" s="1"/>
  <c r="AV66" i="4" a="1"/>
  <c r="AV66" i="4" s="1"/>
  <c r="AV63" i="4" a="1"/>
  <c r="AV63" i="4" s="1"/>
  <c r="AV73" i="4" a="1"/>
  <c r="AV73" i="4" s="1"/>
  <c r="AV67" i="4" a="1"/>
  <c r="AV67" i="4" s="1"/>
  <c r="AV60" i="4" a="1"/>
  <c r="AV60" i="4" s="1"/>
  <c r="AV64" i="4" a="1"/>
  <c r="AV64" i="4" s="1"/>
  <c r="AV57" i="4" a="1"/>
  <c r="AV57" i="4" s="1"/>
  <c r="AV56" i="4" a="1"/>
  <c r="AV56" i="4" s="1"/>
  <c r="AV52" i="4"/>
  <c r="AV48" i="4"/>
  <c r="AV44" i="4"/>
  <c r="AV61" i="4" a="1"/>
  <c r="AV61" i="4" s="1"/>
  <c r="AV58" i="4" a="1"/>
  <c r="AV58" i="4" s="1"/>
  <c r="AV74" i="4" a="1"/>
  <c r="AV74" i="4" s="1"/>
  <c r="AV51" i="4"/>
  <c r="AV47" i="4"/>
  <c r="AV43" i="4"/>
  <c r="AV71" i="4" a="1"/>
  <c r="AV71" i="4" s="1"/>
  <c r="AV53" i="4"/>
  <c r="AV41" i="4"/>
  <c r="AV37" i="4"/>
  <c r="AV33" i="4"/>
  <c r="AV29" i="4"/>
  <c r="AV25" i="4"/>
  <c r="AV68" i="4" a="1"/>
  <c r="AV68" i="4" s="1"/>
  <c r="AV46" i="4"/>
  <c r="AV65" i="4" a="1"/>
  <c r="AV65" i="4" s="1"/>
  <c r="AV62" i="4" a="1"/>
  <c r="AV62" i="4" s="1"/>
  <c r="AV70" i="4" a="1"/>
  <c r="AV70" i="4" s="1"/>
  <c r="AV50" i="4"/>
  <c r="AV39" i="4"/>
  <c r="AV21" i="4"/>
  <c r="AV36" i="4"/>
  <c r="AV49" i="4"/>
  <c r="AV27" i="4"/>
  <c r="AV20" i="4"/>
  <c r="AV54" i="4"/>
  <c r="AV30" i="4"/>
  <c r="AV35" i="4"/>
  <c r="AV55" i="4"/>
  <c r="AV38" i="4"/>
  <c r="AV32" i="4"/>
  <c r="AV40" i="4"/>
  <c r="AV45" i="4"/>
  <c r="AV34" i="4"/>
  <c r="BD16" i="4" a="1"/>
  <c r="BD16" i="4" s="1"/>
  <c r="AV17" i="4"/>
  <c r="BE18" i="4"/>
  <c r="AV19" i="4"/>
  <c r="BA20" i="4" a="1"/>
  <c r="BA20" i="4" s="1"/>
  <c r="BD23" i="4" a="1"/>
  <c r="BD23" i="4" s="1"/>
  <c r="AY28" i="4"/>
  <c r="BE34" i="4"/>
  <c r="AU42" i="4"/>
  <c r="AX59" i="4" a="1"/>
  <c r="AX59" i="4" s="1"/>
  <c r="AW72" i="4" a="1"/>
  <c r="AW72" i="4" s="1"/>
  <c r="AW73" i="4" a="1"/>
  <c r="AW73" i="4" s="1"/>
  <c r="AW64" i="4" a="1"/>
  <c r="AW64" i="4" s="1"/>
  <c r="AW57" i="4" a="1"/>
  <c r="AW57" i="4" s="1"/>
  <c r="AW56" i="4" a="1"/>
  <c r="AW56" i="4" s="1"/>
  <c r="AW52" i="4" a="1"/>
  <c r="AW52" i="4" s="1"/>
  <c r="AW48" i="4" a="1"/>
  <c r="AW48" i="4" s="1"/>
  <c r="AW44" i="4" a="1"/>
  <c r="AW44" i="4" s="1"/>
  <c r="AW61" i="4" a="1"/>
  <c r="AW61" i="4" s="1"/>
  <c r="AW58" i="4" a="1"/>
  <c r="AW58" i="4" s="1"/>
  <c r="AW51" i="4" a="1"/>
  <c r="AW51" i="4" s="1"/>
  <c r="AW47" i="4" a="1"/>
  <c r="AW47" i="4" s="1"/>
  <c r="AW43" i="4" a="1"/>
  <c r="AW43" i="4" s="1"/>
  <c r="AW74" i="4" a="1"/>
  <c r="AW74" i="4" s="1"/>
  <c r="AW69" i="4" a="1"/>
  <c r="AW69" i="4" s="1"/>
  <c r="AW55" i="4" a="1"/>
  <c r="AW55" i="4" s="1"/>
  <c r="AW71" i="4" a="1"/>
  <c r="AW71" i="4" s="1"/>
  <c r="AW66" i="4" a="1"/>
  <c r="AW66" i="4" s="1"/>
  <c r="AW63" i="4" a="1"/>
  <c r="AW63" i="4" s="1"/>
  <c r="AW68" i="4" a="1"/>
  <c r="AW68" i="4" s="1"/>
  <c r="AW59" i="4" a="1"/>
  <c r="AW59" i="4" s="1"/>
  <c r="AW46" i="4" a="1"/>
  <c r="AW46" i="4" s="1"/>
  <c r="AW40" i="4" a="1"/>
  <c r="AW40" i="4" s="1"/>
  <c r="AW36" i="4" a="1"/>
  <c r="AW36" i="4" s="1"/>
  <c r="AW32" i="4" a="1"/>
  <c r="AW32" i="4" s="1"/>
  <c r="AW28" i="4" a="1"/>
  <c r="AW28" i="4" s="1"/>
  <c r="AW24" i="4" a="1"/>
  <c r="AW24" i="4" s="1"/>
  <c r="AW65" i="4" a="1"/>
  <c r="AW65" i="4" s="1"/>
  <c r="AW62" i="4" a="1"/>
  <c r="AW62" i="4" s="1"/>
  <c r="AW60" i="4" a="1"/>
  <c r="AW60" i="4" s="1"/>
  <c r="AW49" i="4" a="1"/>
  <c r="AW49" i="4" s="1"/>
  <c r="AW27" i="4" a="1"/>
  <c r="AW27" i="4" s="1"/>
  <c r="AW20" i="4" a="1"/>
  <c r="AW20" i="4" s="1"/>
  <c r="AW70" i="4" a="1"/>
  <c r="AW70" i="4" s="1"/>
  <c r="AW30" i="4" a="1"/>
  <c r="AW30" i="4" s="1"/>
  <c r="AW25" i="4" a="1"/>
  <c r="AW25" i="4" s="1"/>
  <c r="AW54" i="4" a="1"/>
  <c r="AW54" i="4" s="1"/>
  <c r="AW35" i="4" a="1"/>
  <c r="AW35" i="4" s="1"/>
  <c r="AW33" i="4" a="1"/>
  <c r="AW33" i="4" s="1"/>
  <c r="AW38" i="4" a="1"/>
  <c r="AW38" i="4" s="1"/>
  <c r="AW19" i="4" a="1"/>
  <c r="AW19" i="4" s="1"/>
  <c r="AW53" i="4" a="1"/>
  <c r="AW53" i="4" s="1"/>
  <c r="AW41" i="4" a="1"/>
  <c r="AW41" i="4" s="1"/>
  <c r="AW67" i="4" a="1"/>
  <c r="AW67" i="4" s="1"/>
  <c r="AW42" i="4" a="1"/>
  <c r="AW42" i="4" s="1"/>
  <c r="AW26" i="4" a="1"/>
  <c r="AW26" i="4" s="1"/>
  <c r="AW31" i="4" a="1"/>
  <c r="AW31" i="4" s="1"/>
  <c r="AW29" i="4" a="1"/>
  <c r="AW29" i="4" s="1"/>
  <c r="AW50" i="4" a="1"/>
  <c r="AW50" i="4" s="1"/>
  <c r="AZ15" i="4" a="1"/>
  <c r="AZ15" i="4" s="1"/>
  <c r="AX16" i="4" a="1"/>
  <c r="AX16" i="4" s="1"/>
  <c r="BE16" i="4"/>
  <c r="BC17" i="4" a="1"/>
  <c r="BC17" i="4" s="1"/>
  <c r="AW18" i="4" a="1"/>
  <c r="AW18" i="4" s="1"/>
  <c r="BF23" i="4"/>
  <c r="AV31" i="4"/>
  <c r="BF34" i="4"/>
  <c r="AV42" i="4"/>
  <c r="BF53" i="4"/>
  <c r="BD58" i="4" a="1"/>
  <c r="BD58" i="4" s="1"/>
  <c r="AX73" i="4" a="1"/>
  <c r="AX73" i="4" s="1"/>
  <c r="AX70" i="4" a="1"/>
  <c r="AX70" i="4" s="1"/>
  <c r="AX67" i="4" a="1"/>
  <c r="AX67" i="4" s="1"/>
  <c r="AX64" i="4" a="1"/>
  <c r="AX64" i="4" s="1"/>
  <c r="AX72" i="4" a="1"/>
  <c r="AX72" i="4" s="1"/>
  <c r="AX61" i="4" a="1"/>
  <c r="AX61" i="4" s="1"/>
  <c r="AX51" i="4" a="1"/>
  <c r="AX51" i="4" s="1"/>
  <c r="AX47" i="4" a="1"/>
  <c r="AX47" i="4" s="1"/>
  <c r="AX43" i="4" a="1"/>
  <c r="AX43" i="4" s="1"/>
  <c r="AX58" i="4" a="1"/>
  <c r="AX58" i="4" s="1"/>
  <c r="AX55" i="4" a="1"/>
  <c r="AX55" i="4" s="1"/>
  <c r="AX74" i="4" a="1"/>
  <c r="AX74" i="4" s="1"/>
  <c r="AX69" i="4" a="1"/>
  <c r="AX69" i="4" s="1"/>
  <c r="AX71" i="4" a="1"/>
  <c r="AX71" i="4" s="1"/>
  <c r="AX66" i="4" a="1"/>
  <c r="AX66" i="4" s="1"/>
  <c r="AX54" i="4" a="1"/>
  <c r="AX54" i="4" s="1"/>
  <c r="AX50" i="4" a="1"/>
  <c r="AX50" i="4" s="1"/>
  <c r="AX46" i="4" a="1"/>
  <c r="AX46" i="4" s="1"/>
  <c r="AX42" i="4" a="1"/>
  <c r="AX42" i="4" s="1"/>
  <c r="AX63" i="4" a="1"/>
  <c r="AX63" i="4" s="1"/>
  <c r="AX68" i="4" a="1"/>
  <c r="AX68" i="4" s="1"/>
  <c r="AX65" i="4" a="1"/>
  <c r="AX65" i="4" s="1"/>
  <c r="AX53" i="4" a="1"/>
  <c r="AX53" i="4" s="1"/>
  <c r="AX49" i="4" a="1"/>
  <c r="AX49" i="4" s="1"/>
  <c r="AX45" i="4" a="1"/>
  <c r="AX45" i="4" s="1"/>
  <c r="AX48" i="4" a="1"/>
  <c r="AX48" i="4" s="1"/>
  <c r="AX62" i="4" a="1"/>
  <c r="AX62" i="4" s="1"/>
  <c r="AX52" i="4" a="1"/>
  <c r="AX52" i="4" s="1"/>
  <c r="AX39" i="4" a="1"/>
  <c r="AX39" i="4" s="1"/>
  <c r="AX35" i="4" a="1"/>
  <c r="AX35" i="4" s="1"/>
  <c r="AX31" i="4" a="1"/>
  <c r="AX31" i="4" s="1"/>
  <c r="AX27" i="4" a="1"/>
  <c r="AX27" i="4" s="1"/>
  <c r="AX60" i="4" a="1"/>
  <c r="AX60" i="4" s="1"/>
  <c r="AX36" i="4" a="1"/>
  <c r="AX36" i="4" s="1"/>
  <c r="AX30" i="4" a="1"/>
  <c r="AX30" i="4" s="1"/>
  <c r="AX25" i="4" a="1"/>
  <c r="AX25" i="4" s="1"/>
  <c r="AX33" i="4" a="1"/>
  <c r="AX33" i="4" s="1"/>
  <c r="AX38" i="4" a="1"/>
  <c r="AX38" i="4" s="1"/>
  <c r="AX19" i="4" a="1"/>
  <c r="AX19" i="4" s="1"/>
  <c r="AX41" i="4" a="1"/>
  <c r="AX41" i="4" s="1"/>
  <c r="AX32" i="4" a="1"/>
  <c r="AX32" i="4" s="1"/>
  <c r="AX26" i="4" a="1"/>
  <c r="AX26" i="4" s="1"/>
  <c r="AX57" i="4" a="1"/>
  <c r="AX57" i="4" s="1"/>
  <c r="AX29" i="4" a="1"/>
  <c r="AX29" i="4" s="1"/>
  <c r="AX40" i="4" a="1"/>
  <c r="AX40" i="4" s="1"/>
  <c r="AX34" i="4" a="1"/>
  <c r="AX34" i="4" s="1"/>
  <c r="AX24" i="4" a="1"/>
  <c r="AX24" i="4" s="1"/>
  <c r="AX37" i="4" a="1"/>
  <c r="AX37" i="4" s="1"/>
  <c r="BF16" i="4"/>
  <c r="AW17" i="4" a="1"/>
  <c r="AW17" i="4" s="1"/>
  <c r="AZ19" i="4" a="1"/>
  <c r="AZ19" i="4" s="1"/>
  <c r="BE20" i="4"/>
  <c r="AW21" i="4" a="1"/>
  <c r="AW21" i="4" s="1"/>
  <c r="BB22" i="4" a="1"/>
  <c r="BB22" i="4" s="1"/>
  <c r="BC24" i="4" a="1"/>
  <c r="BC24" i="4" s="1"/>
  <c r="BB38" i="4" a="1"/>
  <c r="BB38" i="4" s="1"/>
  <c r="AX44" i="4" a="1"/>
  <c r="AX44" i="4" s="1"/>
  <c r="AX56" i="4" a="1"/>
  <c r="AX56" i="4" s="1"/>
  <c r="BF58" i="4" a="1"/>
  <c r="BF58" i="4" s="1"/>
  <c r="AY73" i="4" a="1"/>
  <c r="AY73" i="4" s="1"/>
  <c r="AY74" i="4" a="1"/>
  <c r="AY74" i="4" s="1"/>
  <c r="AY72" i="4" a="1"/>
  <c r="AY72" i="4" s="1"/>
  <c r="AY61" i="4" a="1"/>
  <c r="AY61" i="4" s="1"/>
  <c r="AY51" i="4"/>
  <c r="AY47" i="4"/>
  <c r="AY43" i="4"/>
  <c r="AY58" i="4" a="1"/>
  <c r="AY58" i="4" s="1"/>
  <c r="AY55" i="4"/>
  <c r="AY69" i="4" a="1"/>
  <c r="AY69" i="4" s="1"/>
  <c r="AY71" i="4" a="1"/>
  <c r="AY71" i="4" s="1"/>
  <c r="AY66" i="4" a="1"/>
  <c r="AY66" i="4" s="1"/>
  <c r="AY54" i="4"/>
  <c r="AY50" i="4"/>
  <c r="AY46" i="4"/>
  <c r="AY42" i="4"/>
  <c r="AY63" i="4" a="1"/>
  <c r="AY63" i="4" s="1"/>
  <c r="AY68" i="4" a="1"/>
  <c r="AY68" i="4" s="1"/>
  <c r="AY59" i="4" a="1"/>
  <c r="AY59" i="4" s="1"/>
  <c r="AY65" i="4" a="1"/>
  <c r="AY65" i="4" s="1"/>
  <c r="AY62" i="4" a="1"/>
  <c r="AY62" i="4" s="1"/>
  <c r="AY52" i="4"/>
  <c r="AY39" i="4"/>
  <c r="AY35" i="4"/>
  <c r="AY31" i="4"/>
  <c r="AY27" i="4"/>
  <c r="AY60" i="4" a="1"/>
  <c r="AY60" i="4" s="1"/>
  <c r="AY70" i="4" a="1"/>
  <c r="AY70" i="4" s="1"/>
  <c r="AY67" i="4" a="1"/>
  <c r="AY67" i="4" s="1"/>
  <c r="AY33" i="4"/>
  <c r="AY38" i="4"/>
  <c r="AY19" i="4"/>
  <c r="AY48" i="4"/>
  <c r="AY41" i="4"/>
  <c r="AY53" i="4"/>
  <c r="AY32" i="4"/>
  <c r="AY26" i="4"/>
  <c r="AY23" i="4"/>
  <c r="AY22" i="4"/>
  <c r="AY18" i="4"/>
  <c r="AY57" i="4" a="1"/>
  <c r="AY57" i="4" s="1"/>
  <c r="AY29" i="4"/>
  <c r="AY40" i="4"/>
  <c r="AY34" i="4"/>
  <c r="AY24" i="4"/>
  <c r="AY45" i="4"/>
  <c r="AY37" i="4"/>
  <c r="AY49" i="4"/>
  <c r="AY36" i="4"/>
  <c r="BA15" i="4" a="1"/>
  <c r="BA15" i="4" s="1"/>
  <c r="BD17" i="4" a="1"/>
  <c r="BD17" i="4" s="1"/>
  <c r="AX18" i="4" a="1"/>
  <c r="AX18" i="4" s="1"/>
  <c r="BF20" i="4"/>
  <c r="AU23" i="4"/>
  <c r="BE24" i="4"/>
  <c r="BD31" i="4" a="1"/>
  <c r="BD31" i="4" s="1"/>
  <c r="BB32" i="4" a="1"/>
  <c r="BB32" i="4" s="1"/>
  <c r="AY44" i="4"/>
  <c r="AY56" i="4" a="1"/>
  <c r="AY56" i="4" s="1"/>
  <c r="BQ58" i="4" l="1"/>
  <c r="AR58" i="4"/>
  <c r="BO58" i="4"/>
  <c r="AP58" i="4"/>
  <c r="BM58" i="4"/>
  <c r="AN58" i="4"/>
  <c r="BK58" i="4"/>
  <c r="BI58" i="4"/>
  <c r="BG58" i="4"/>
  <c r="BR58" i="4"/>
  <c r="BP58" i="4"/>
  <c r="BN58" i="4"/>
  <c r="BL58" i="4"/>
  <c r="BJ58" i="4"/>
  <c r="BH58" i="4"/>
  <c r="AQ58" i="4"/>
  <c r="AS58" i="4"/>
  <c r="AO58" i="4"/>
  <c r="BM63" i="4"/>
  <c r="AN63" i="4"/>
  <c r="BK63" i="4"/>
  <c r="BJ63" i="4"/>
  <c r="BI63" i="4"/>
  <c r="BG63" i="4"/>
  <c r="BQ63" i="4"/>
  <c r="AR63" i="4"/>
  <c r="BO63" i="4"/>
  <c r="AP63" i="4"/>
  <c r="BR63" i="4"/>
  <c r="BP63" i="4"/>
  <c r="BN63" i="4"/>
  <c r="AS63" i="4"/>
  <c r="AQ63" i="4"/>
  <c r="AO63" i="4"/>
  <c r="BL63" i="4"/>
  <c r="BH63" i="4"/>
  <c r="BG19" i="4"/>
  <c r="AO19" i="4"/>
  <c r="BR19" i="4"/>
  <c r="AN19" i="4"/>
  <c r="BQ19" i="4"/>
  <c r="BP19" i="4"/>
  <c r="BO19" i="4"/>
  <c r="BN19" i="4"/>
  <c r="BM19" i="4"/>
  <c r="BL19" i="4"/>
  <c r="BK19" i="4"/>
  <c r="BJ19" i="4"/>
  <c r="BI19" i="4"/>
  <c r="AS19" i="4"/>
  <c r="BH19" i="4"/>
  <c r="AR19" i="4"/>
  <c r="AQ19" i="4"/>
  <c r="AP19" i="4"/>
  <c r="BI50" i="4"/>
  <c r="AQ50" i="4"/>
  <c r="BH50" i="4"/>
  <c r="AP50" i="4"/>
  <c r="BG50" i="4"/>
  <c r="AO50" i="4"/>
  <c r="BR50" i="4"/>
  <c r="AN50" i="4"/>
  <c r="BQ50" i="4"/>
  <c r="BP50" i="4"/>
  <c r="BN50" i="4"/>
  <c r="AS50" i="4"/>
  <c r="AR50" i="4"/>
  <c r="BO50" i="4"/>
  <c r="BM50" i="4"/>
  <c r="BL50" i="4"/>
  <c r="BK50" i="4"/>
  <c r="BJ50" i="4"/>
  <c r="BG23" i="4"/>
  <c r="AO23" i="4"/>
  <c r="BL23" i="4"/>
  <c r="AR23" i="4"/>
  <c r="BK23" i="4"/>
  <c r="AQ23" i="4"/>
  <c r="BJ23" i="4"/>
  <c r="AP23" i="4"/>
  <c r="BI23" i="4"/>
  <c r="AN23" i="4"/>
  <c r="BH23" i="4"/>
  <c r="BR23" i="4"/>
  <c r="BN23" i="4"/>
  <c r="BM23" i="4"/>
  <c r="AS23" i="4"/>
  <c r="BQ23" i="4"/>
  <c r="BP23" i="4"/>
  <c r="BO23" i="4"/>
  <c r="BJ30" i="4"/>
  <c r="AR30" i="4"/>
  <c r="BI30" i="4"/>
  <c r="AQ30" i="4"/>
  <c r="BH30" i="4"/>
  <c r="AP30" i="4"/>
  <c r="BK30" i="4"/>
  <c r="BG30" i="4"/>
  <c r="BR30" i="4"/>
  <c r="BQ30" i="4"/>
  <c r="AS30" i="4"/>
  <c r="BP30" i="4"/>
  <c r="AO30" i="4"/>
  <c r="BO30" i="4"/>
  <c r="AN30" i="4"/>
  <c r="BL30" i="4"/>
  <c r="BN30" i="4"/>
  <c r="BM30" i="4"/>
  <c r="BL49" i="4"/>
  <c r="BK49" i="4"/>
  <c r="AS49" i="4"/>
  <c r="BJ49" i="4"/>
  <c r="AR49" i="4"/>
  <c r="BI49" i="4"/>
  <c r="AQ49" i="4"/>
  <c r="BH49" i="4"/>
  <c r="AP49" i="4"/>
  <c r="BG49" i="4"/>
  <c r="AO49" i="4"/>
  <c r="BQ49" i="4"/>
  <c r="BM49" i="4"/>
  <c r="BR49" i="4"/>
  <c r="AN49" i="4"/>
  <c r="BP49" i="4"/>
  <c r="BO49" i="4"/>
  <c r="BN49" i="4"/>
  <c r="BP40" i="4"/>
  <c r="BO40" i="4"/>
  <c r="BN40" i="4"/>
  <c r="BR40" i="4"/>
  <c r="AQ40" i="4"/>
  <c r="BQ40" i="4"/>
  <c r="AP40" i="4"/>
  <c r="BM40" i="4"/>
  <c r="AO40" i="4"/>
  <c r="BL40" i="4"/>
  <c r="AN40" i="4"/>
  <c r="BK40" i="4"/>
  <c r="BJ40" i="4"/>
  <c r="BI40" i="4"/>
  <c r="BH40" i="4"/>
  <c r="BG40" i="4"/>
  <c r="AR40" i="4"/>
  <c r="AS40" i="4"/>
  <c r="BP28" i="4"/>
  <c r="BO28" i="4"/>
  <c r="BN28" i="4"/>
  <c r="AS28" i="4"/>
  <c r="AR28" i="4"/>
  <c r="BR28" i="4"/>
  <c r="AQ28" i="4"/>
  <c r="BQ28" i="4"/>
  <c r="AP28" i="4"/>
  <c r="BM28" i="4"/>
  <c r="AO28" i="4"/>
  <c r="BL28" i="4"/>
  <c r="AN28" i="4"/>
  <c r="BK28" i="4"/>
  <c r="BJ28" i="4"/>
  <c r="BH28" i="4"/>
  <c r="BG28" i="4"/>
  <c r="BI28" i="4"/>
  <c r="BJ34" i="4"/>
  <c r="AR34" i="4"/>
  <c r="BI34" i="4"/>
  <c r="AQ34" i="4"/>
  <c r="BH34" i="4"/>
  <c r="AP34" i="4"/>
  <c r="BR34" i="4"/>
  <c r="BQ34" i="4"/>
  <c r="AS34" i="4"/>
  <c r="BP34" i="4"/>
  <c r="AO34" i="4"/>
  <c r="BO34" i="4"/>
  <c r="AN34" i="4"/>
  <c r="BN34" i="4"/>
  <c r="BM34" i="4"/>
  <c r="BL34" i="4"/>
  <c r="BK34" i="4"/>
  <c r="BG34" i="4"/>
  <c r="BL53" i="4"/>
  <c r="BK53" i="4"/>
  <c r="AS53" i="4"/>
  <c r="BJ53" i="4"/>
  <c r="AR53" i="4"/>
  <c r="BI53" i="4"/>
  <c r="AQ53" i="4"/>
  <c r="BH53" i="4"/>
  <c r="AP53" i="4"/>
  <c r="BG53" i="4"/>
  <c r="AO53" i="4"/>
  <c r="BQ53" i="4"/>
  <c r="BO53" i="4"/>
  <c r="BN53" i="4"/>
  <c r="AN53" i="4"/>
  <c r="BM53" i="4"/>
  <c r="BR53" i="4"/>
  <c r="BP53" i="4"/>
  <c r="BM66" i="4"/>
  <c r="AN66" i="4"/>
  <c r="BK66" i="4"/>
  <c r="BJ66" i="4"/>
  <c r="BI66" i="4"/>
  <c r="BG66" i="4"/>
  <c r="BQ66" i="4"/>
  <c r="AR66" i="4"/>
  <c r="BO66" i="4"/>
  <c r="AP66" i="4"/>
  <c r="BR66" i="4"/>
  <c r="BP66" i="4"/>
  <c r="BN66" i="4"/>
  <c r="BL66" i="4"/>
  <c r="AS66" i="4"/>
  <c r="BH66" i="4"/>
  <c r="AQ66" i="4"/>
  <c r="AO66" i="4"/>
  <c r="BI68" i="4"/>
  <c r="BG68" i="4"/>
  <c r="BR68" i="4"/>
  <c r="AS68" i="4"/>
  <c r="BQ68" i="4"/>
  <c r="AR68" i="4"/>
  <c r="BO68" i="4"/>
  <c r="AP68" i="4"/>
  <c r="BM68" i="4"/>
  <c r="AN68" i="4"/>
  <c r="BK68" i="4"/>
  <c r="BP68" i="4"/>
  <c r="BJ68" i="4"/>
  <c r="BH68" i="4"/>
  <c r="AQ68" i="4"/>
  <c r="BN68" i="4"/>
  <c r="BL68" i="4"/>
  <c r="AO68" i="4"/>
  <c r="BQ55" i="4"/>
  <c r="BM55" i="4"/>
  <c r="BK55" i="4"/>
  <c r="AS55" i="4"/>
  <c r="BG55" i="4"/>
  <c r="BI55" i="4"/>
  <c r="AN55" i="4"/>
  <c r="BH55" i="4"/>
  <c r="BP55" i="4"/>
  <c r="BO55" i="4"/>
  <c r="BN55" i="4"/>
  <c r="BL55" i="4"/>
  <c r="BJ55" i="4"/>
  <c r="AR55" i="4"/>
  <c r="AQ55" i="4"/>
  <c r="BR55" i="4"/>
  <c r="AP55" i="4"/>
  <c r="AO55" i="4"/>
  <c r="BO48" i="4"/>
  <c r="BN48" i="4"/>
  <c r="BM48" i="4"/>
  <c r="BL48" i="4"/>
  <c r="BK48" i="4"/>
  <c r="AS48" i="4"/>
  <c r="BJ48" i="4"/>
  <c r="AR48" i="4"/>
  <c r="BH48" i="4"/>
  <c r="AP48" i="4"/>
  <c r="BR48" i="4"/>
  <c r="BQ48" i="4"/>
  <c r="AQ48" i="4"/>
  <c r="AO48" i="4"/>
  <c r="AN48" i="4"/>
  <c r="BP48" i="4"/>
  <c r="BI48" i="4"/>
  <c r="BG48" i="4"/>
  <c r="BQ67" i="4"/>
  <c r="AR67" i="4"/>
  <c r="BO67" i="4"/>
  <c r="AP67" i="4"/>
  <c r="BN67" i="4"/>
  <c r="AO67" i="4"/>
  <c r="BM67" i="4"/>
  <c r="AN67" i="4"/>
  <c r="BK67" i="4"/>
  <c r="BI67" i="4"/>
  <c r="BG67" i="4"/>
  <c r="BP67" i="4"/>
  <c r="BL67" i="4"/>
  <c r="BJ67" i="4"/>
  <c r="AS67" i="4"/>
  <c r="BH67" i="4"/>
  <c r="AQ67" i="4"/>
  <c r="BR67" i="4"/>
  <c r="BJ15" i="4"/>
  <c r="AR15" i="4"/>
  <c r="H83" i="1"/>
  <c r="BI15" i="4"/>
  <c r="AQ15" i="4"/>
  <c r="H73" i="1"/>
  <c r="C24" i="3" s="1"/>
  <c r="BH15" i="4"/>
  <c r="AP15" i="4"/>
  <c r="H82" i="1"/>
  <c r="BG15" i="4"/>
  <c r="AO15" i="4"/>
  <c r="H81" i="1"/>
  <c r="K24" i="3" s="1"/>
  <c r="BR15" i="4"/>
  <c r="AN15" i="4"/>
  <c r="H80" i="1"/>
  <c r="J24" i="3" s="1"/>
  <c r="BQ15" i="4"/>
  <c r="H79" i="1"/>
  <c r="I24" i="3" s="1"/>
  <c r="BP15" i="4"/>
  <c r="H74" i="1"/>
  <c r="D24" i="3" s="1"/>
  <c r="BO15" i="4"/>
  <c r="H78" i="1"/>
  <c r="H24" i="3" s="1"/>
  <c r="BN15" i="4"/>
  <c r="H77" i="1"/>
  <c r="G24" i="3" s="1"/>
  <c r="BM15" i="4"/>
  <c r="H76" i="1"/>
  <c r="F24" i="3" s="1"/>
  <c r="BL15" i="4"/>
  <c r="H75" i="1"/>
  <c r="E24" i="3" s="1"/>
  <c r="H72" i="1"/>
  <c r="BK15" i="4"/>
  <c r="AS15" i="4"/>
  <c r="BM72" i="4"/>
  <c r="AN72" i="4"/>
  <c r="BL72" i="4"/>
  <c r="BK72" i="4"/>
  <c r="BJ72" i="4"/>
  <c r="BI72" i="4"/>
  <c r="BG72" i="4"/>
  <c r="BQ72" i="4"/>
  <c r="AR72" i="4"/>
  <c r="BO72" i="4"/>
  <c r="AP72" i="4"/>
  <c r="BR72" i="4"/>
  <c r="AS72" i="4"/>
  <c r="BP72" i="4"/>
  <c r="AQ72" i="4"/>
  <c r="BN72" i="4"/>
  <c r="AO72" i="4"/>
  <c r="BH72" i="4"/>
  <c r="BM33" i="4"/>
  <c r="BL33" i="4"/>
  <c r="BK33" i="4"/>
  <c r="AS33" i="4"/>
  <c r="BI33" i="4"/>
  <c r="BH33" i="4"/>
  <c r="BG33" i="4"/>
  <c r="AR33" i="4"/>
  <c r="BR33" i="4"/>
  <c r="AQ33" i="4"/>
  <c r="BQ33" i="4"/>
  <c r="AP33" i="4"/>
  <c r="BP33" i="4"/>
  <c r="AO33" i="4"/>
  <c r="BJ33" i="4"/>
  <c r="BO33" i="4"/>
  <c r="BN33" i="4"/>
  <c r="AN33" i="4"/>
  <c r="BP20" i="4"/>
  <c r="BO20" i="4"/>
  <c r="BN20" i="4"/>
  <c r="BM20" i="4"/>
  <c r="BL20" i="4"/>
  <c r="AP20" i="4"/>
  <c r="AO20" i="4"/>
  <c r="AN20" i="4"/>
  <c r="BR20" i="4"/>
  <c r="BQ20" i="4"/>
  <c r="BK20" i="4"/>
  <c r="BJ20" i="4"/>
  <c r="BI20" i="4"/>
  <c r="AS20" i="4"/>
  <c r="BH20" i="4"/>
  <c r="AR20" i="4"/>
  <c r="BG20" i="4"/>
  <c r="AQ20" i="4"/>
  <c r="BM37" i="4"/>
  <c r="BL37" i="4"/>
  <c r="BK37" i="4"/>
  <c r="AS37" i="4"/>
  <c r="AR37" i="4"/>
  <c r="BR37" i="4"/>
  <c r="AQ37" i="4"/>
  <c r="BQ37" i="4"/>
  <c r="AP37" i="4"/>
  <c r="BP37" i="4"/>
  <c r="AO37" i="4"/>
  <c r="BO37" i="4"/>
  <c r="AN37" i="4"/>
  <c r="BN37" i="4"/>
  <c r="BJ37" i="4"/>
  <c r="BI37" i="4"/>
  <c r="BH37" i="4"/>
  <c r="BG37" i="4"/>
  <c r="BM69" i="4"/>
  <c r="AN69" i="4"/>
  <c r="BK69" i="4"/>
  <c r="BJ69" i="4"/>
  <c r="BI69" i="4"/>
  <c r="BG69" i="4"/>
  <c r="BQ69" i="4"/>
  <c r="AR69" i="4"/>
  <c r="BO69" i="4"/>
  <c r="AP69" i="4"/>
  <c r="BR69" i="4"/>
  <c r="BP69" i="4"/>
  <c r="BN69" i="4"/>
  <c r="BL69" i="4"/>
  <c r="AS69" i="4"/>
  <c r="BH69" i="4"/>
  <c r="AQ69" i="4"/>
  <c r="AO69" i="4"/>
  <c r="BL45" i="4"/>
  <c r="BK45" i="4"/>
  <c r="AS45" i="4"/>
  <c r="BJ45" i="4"/>
  <c r="AR45" i="4"/>
  <c r="BI45" i="4"/>
  <c r="AQ45" i="4"/>
  <c r="BH45" i="4"/>
  <c r="AP45" i="4"/>
  <c r="BG45" i="4"/>
  <c r="AO45" i="4"/>
  <c r="BQ45" i="4"/>
  <c r="BR45" i="4"/>
  <c r="AN45" i="4"/>
  <c r="BP45" i="4"/>
  <c r="BO45" i="4"/>
  <c r="BN45" i="4"/>
  <c r="BM45" i="4"/>
  <c r="BM17" i="4"/>
  <c r="BL17" i="4"/>
  <c r="BR17" i="4"/>
  <c r="BQ17" i="4"/>
  <c r="BP17" i="4"/>
  <c r="BO17" i="4"/>
  <c r="BN17" i="4"/>
  <c r="BK17" i="4"/>
  <c r="AS17" i="4"/>
  <c r="BJ17" i="4"/>
  <c r="AR17" i="4"/>
  <c r="BI17" i="4"/>
  <c r="AQ17" i="4"/>
  <c r="BH17" i="4"/>
  <c r="AP17" i="4"/>
  <c r="BG17" i="4"/>
  <c r="AO17" i="4"/>
  <c r="AN17" i="4"/>
  <c r="BG27" i="4"/>
  <c r="AO27" i="4"/>
  <c r="BR27" i="4"/>
  <c r="AN27" i="4"/>
  <c r="BQ27" i="4"/>
  <c r="BJ27" i="4"/>
  <c r="BI27" i="4"/>
  <c r="BH27" i="4"/>
  <c r="AS27" i="4"/>
  <c r="BP27" i="4"/>
  <c r="AR27" i="4"/>
  <c r="BO27" i="4"/>
  <c r="AQ27" i="4"/>
  <c r="AP27" i="4"/>
  <c r="BN27" i="4"/>
  <c r="BM27" i="4"/>
  <c r="BL27" i="4"/>
  <c r="BK27" i="4"/>
  <c r="BR47" i="4"/>
  <c r="AN47" i="4"/>
  <c r="BQ47" i="4"/>
  <c r="BP47" i="4"/>
  <c r="BO47" i="4"/>
  <c r="BN47" i="4"/>
  <c r="BM47" i="4"/>
  <c r="BK47" i="4"/>
  <c r="AS47" i="4"/>
  <c r="AR47" i="4"/>
  <c r="AQ47" i="4"/>
  <c r="AP47" i="4"/>
  <c r="AO47" i="4"/>
  <c r="BL47" i="4"/>
  <c r="BJ47" i="4"/>
  <c r="BI47" i="4"/>
  <c r="BH47" i="4"/>
  <c r="BG47" i="4"/>
  <c r="BP36" i="4"/>
  <c r="BO36" i="4"/>
  <c r="BN36" i="4"/>
  <c r="BH36" i="4"/>
  <c r="BG36" i="4"/>
  <c r="AS36" i="4"/>
  <c r="AR36" i="4"/>
  <c r="BR36" i="4"/>
  <c r="AQ36" i="4"/>
  <c r="BQ36" i="4"/>
  <c r="AP36" i="4"/>
  <c r="BM36" i="4"/>
  <c r="AO36" i="4"/>
  <c r="BL36" i="4"/>
  <c r="AN36" i="4"/>
  <c r="BI36" i="4"/>
  <c r="BK36" i="4"/>
  <c r="BJ36" i="4"/>
  <c r="BI59" i="4"/>
  <c r="BG59" i="4"/>
  <c r="BQ59" i="4"/>
  <c r="AR59" i="4"/>
  <c r="BO59" i="4"/>
  <c r="AP59" i="4"/>
  <c r="BM59" i="4"/>
  <c r="AN59" i="4"/>
  <c r="BK59" i="4"/>
  <c r="AO59" i="4"/>
  <c r="BR59" i="4"/>
  <c r="BP59" i="4"/>
  <c r="BL59" i="4"/>
  <c r="AQ59" i="4"/>
  <c r="BN59" i="4"/>
  <c r="BJ59" i="4"/>
  <c r="AS59" i="4"/>
  <c r="BH59" i="4"/>
  <c r="BI56" i="4"/>
  <c r="BG56" i="4"/>
  <c r="BQ56" i="4"/>
  <c r="AR56" i="4"/>
  <c r="BO56" i="4"/>
  <c r="AP56" i="4"/>
  <c r="BK56" i="4"/>
  <c r="BH56" i="4"/>
  <c r="AS56" i="4"/>
  <c r="AQ56" i="4"/>
  <c r="AO56" i="4"/>
  <c r="BP56" i="4"/>
  <c r="BM56" i="4"/>
  <c r="BL56" i="4"/>
  <c r="BJ56" i="4"/>
  <c r="AN56" i="4"/>
  <c r="BR56" i="4"/>
  <c r="BN56" i="4"/>
  <c r="BM60" i="4"/>
  <c r="AN60" i="4"/>
  <c r="BK60" i="4"/>
  <c r="BI60" i="4"/>
  <c r="BG60" i="4"/>
  <c r="BQ60" i="4"/>
  <c r="AR60" i="4"/>
  <c r="BO60" i="4"/>
  <c r="AP60" i="4"/>
  <c r="BJ60" i="4"/>
  <c r="BH60" i="4"/>
  <c r="AS60" i="4"/>
  <c r="AQ60" i="4"/>
  <c r="AO60" i="4"/>
  <c r="BR60" i="4"/>
  <c r="BP60" i="4"/>
  <c r="BN60" i="4"/>
  <c r="BL60" i="4"/>
  <c r="BI74" i="4"/>
  <c r="BH74" i="4"/>
  <c r="BG74" i="4"/>
  <c r="BR74" i="4"/>
  <c r="AS74" i="4"/>
  <c r="BQ74" i="4"/>
  <c r="AR74" i="4"/>
  <c r="BP74" i="4"/>
  <c r="AQ74" i="4"/>
  <c r="BO74" i="4"/>
  <c r="AP74" i="4"/>
  <c r="BM74" i="4"/>
  <c r="AN74" i="4"/>
  <c r="BK74" i="4"/>
  <c r="AO74" i="4"/>
  <c r="BN74" i="4"/>
  <c r="BL74" i="4"/>
  <c r="BJ74" i="4"/>
  <c r="BQ61" i="4"/>
  <c r="AR61" i="4"/>
  <c r="BO61" i="4"/>
  <c r="AP61" i="4"/>
  <c r="BN61" i="4"/>
  <c r="BM61" i="4"/>
  <c r="AN61" i="4"/>
  <c r="BK61" i="4"/>
  <c r="BI61" i="4"/>
  <c r="BG61" i="4"/>
  <c r="BR61" i="4"/>
  <c r="BP61" i="4"/>
  <c r="BL61" i="4"/>
  <c r="BJ61" i="4"/>
  <c r="BH61" i="4"/>
  <c r="AS61" i="4"/>
  <c r="AO61" i="4"/>
  <c r="AQ61" i="4"/>
  <c r="BJ38" i="4"/>
  <c r="AR38" i="4"/>
  <c r="BI38" i="4"/>
  <c r="AQ38" i="4"/>
  <c r="BH38" i="4"/>
  <c r="AP38" i="4"/>
  <c r="BM38" i="4"/>
  <c r="BL38" i="4"/>
  <c r="BK38" i="4"/>
  <c r="BG38" i="4"/>
  <c r="BR38" i="4"/>
  <c r="BQ38" i="4"/>
  <c r="AS38" i="4"/>
  <c r="BN38" i="4"/>
  <c r="AO38" i="4"/>
  <c r="AN38" i="4"/>
  <c r="BP38" i="4"/>
  <c r="BO38" i="4"/>
  <c r="BM21" i="4"/>
  <c r="BL21" i="4"/>
  <c r="BK21" i="4"/>
  <c r="AS21" i="4"/>
  <c r="BJ21" i="4"/>
  <c r="AR21" i="4"/>
  <c r="BI21" i="4"/>
  <c r="AQ21" i="4"/>
  <c r="BG21" i="4"/>
  <c r="AO21" i="4"/>
  <c r="BP21" i="4"/>
  <c r="BO21" i="4"/>
  <c r="BN21" i="4"/>
  <c r="BH21" i="4"/>
  <c r="AP21" i="4"/>
  <c r="AN21" i="4"/>
  <c r="BR21" i="4"/>
  <c r="BQ21" i="4"/>
  <c r="BM25" i="4"/>
  <c r="BL25" i="4"/>
  <c r="BK25" i="4"/>
  <c r="BG25" i="4"/>
  <c r="BR25" i="4"/>
  <c r="AS25" i="4"/>
  <c r="BQ25" i="4"/>
  <c r="AR25" i="4"/>
  <c r="BP25" i="4"/>
  <c r="AQ25" i="4"/>
  <c r="BO25" i="4"/>
  <c r="AP25" i="4"/>
  <c r="BN25" i="4"/>
  <c r="BJ25" i="4"/>
  <c r="BI25" i="4"/>
  <c r="BH25" i="4"/>
  <c r="AO25" i="4"/>
  <c r="AN25" i="4"/>
  <c r="BP32" i="4"/>
  <c r="BO32" i="4"/>
  <c r="BN32" i="4"/>
  <c r="BM32" i="4"/>
  <c r="AO32" i="4"/>
  <c r="BL32" i="4"/>
  <c r="AN32" i="4"/>
  <c r="BK32" i="4"/>
  <c r="BJ32" i="4"/>
  <c r="BI32" i="4"/>
  <c r="BH32" i="4"/>
  <c r="BG32" i="4"/>
  <c r="AS32" i="4"/>
  <c r="BQ32" i="4"/>
  <c r="AP32" i="4"/>
  <c r="AR32" i="4"/>
  <c r="AQ32" i="4"/>
  <c r="BR32" i="4"/>
  <c r="BQ64" i="4"/>
  <c r="AR64" i="4"/>
  <c r="BO64" i="4"/>
  <c r="AP64" i="4"/>
  <c r="BN64" i="4"/>
  <c r="AO64" i="4"/>
  <c r="BM64" i="4"/>
  <c r="AN64" i="4"/>
  <c r="BK64" i="4"/>
  <c r="BI64" i="4"/>
  <c r="BG64" i="4"/>
  <c r="BR64" i="4"/>
  <c r="BP64" i="4"/>
  <c r="BL64" i="4"/>
  <c r="BJ64" i="4"/>
  <c r="AS64" i="4"/>
  <c r="BH64" i="4"/>
  <c r="AQ64" i="4"/>
  <c r="BR43" i="4"/>
  <c r="AN43" i="4"/>
  <c r="BQ43" i="4"/>
  <c r="BP43" i="4"/>
  <c r="BO43" i="4"/>
  <c r="BN43" i="4"/>
  <c r="BM43" i="4"/>
  <c r="BK43" i="4"/>
  <c r="BL43" i="4"/>
  <c r="AS43" i="4"/>
  <c r="BJ43" i="4"/>
  <c r="AR43" i="4"/>
  <c r="BG43" i="4"/>
  <c r="AQ43" i="4"/>
  <c r="AP43" i="4"/>
  <c r="BH43" i="4"/>
  <c r="BI43" i="4"/>
  <c r="AO43" i="4"/>
  <c r="BG16" i="4"/>
  <c r="AO16" i="4"/>
  <c r="BR16" i="4"/>
  <c r="AN16" i="4"/>
  <c r="BQ16" i="4"/>
  <c r="BP16" i="4"/>
  <c r="BO16" i="4"/>
  <c r="BN16" i="4"/>
  <c r="BM16" i="4"/>
  <c r="BL16" i="4"/>
  <c r="BK16" i="4"/>
  <c r="AS16" i="4"/>
  <c r="BJ16" i="4"/>
  <c r="AR16" i="4"/>
  <c r="BI16" i="4"/>
  <c r="AQ16" i="4"/>
  <c r="BH16" i="4"/>
  <c r="AP16" i="4"/>
  <c r="BR51" i="4"/>
  <c r="AN51" i="4"/>
  <c r="BQ51" i="4"/>
  <c r="BP51" i="4"/>
  <c r="BO51" i="4"/>
  <c r="BN51" i="4"/>
  <c r="BM51" i="4"/>
  <c r="BK51" i="4"/>
  <c r="AS51" i="4"/>
  <c r="AR51" i="4"/>
  <c r="AQ51" i="4"/>
  <c r="AP51" i="4"/>
  <c r="AO51" i="4"/>
  <c r="BL51" i="4"/>
  <c r="BJ51" i="4"/>
  <c r="BG51" i="4"/>
  <c r="BI51" i="4"/>
  <c r="BH51" i="4"/>
  <c r="BP24" i="4"/>
  <c r="BO24" i="4"/>
  <c r="BN24" i="4"/>
  <c r="AR24" i="4"/>
  <c r="BM24" i="4"/>
  <c r="AQ24" i="4"/>
  <c r="BL24" i="4"/>
  <c r="AP24" i="4"/>
  <c r="BK24" i="4"/>
  <c r="AO24" i="4"/>
  <c r="BJ24" i="4"/>
  <c r="AN24" i="4"/>
  <c r="BI24" i="4"/>
  <c r="BH24" i="4"/>
  <c r="BG24" i="4"/>
  <c r="AS24" i="4"/>
  <c r="BR24" i="4"/>
  <c r="BQ24" i="4"/>
  <c r="BO52" i="4"/>
  <c r="BN52" i="4"/>
  <c r="BM52" i="4"/>
  <c r="BL52" i="4"/>
  <c r="BK52" i="4"/>
  <c r="AS52" i="4"/>
  <c r="BJ52" i="4"/>
  <c r="AR52" i="4"/>
  <c r="BH52" i="4"/>
  <c r="AP52" i="4"/>
  <c r="BG52" i="4"/>
  <c r="AQ52" i="4"/>
  <c r="AO52" i="4"/>
  <c r="BR52" i="4"/>
  <c r="AN52" i="4"/>
  <c r="BI52" i="4"/>
  <c r="BQ52" i="4"/>
  <c r="BP52" i="4"/>
  <c r="BI54" i="4"/>
  <c r="AQ54" i="4"/>
  <c r="BH54" i="4"/>
  <c r="AP54" i="4"/>
  <c r="BG54" i="4"/>
  <c r="AO54" i="4"/>
  <c r="BR54" i="4"/>
  <c r="AN54" i="4"/>
  <c r="BQ54" i="4"/>
  <c r="BP54" i="4"/>
  <c r="BN54" i="4"/>
  <c r="BJ54" i="4"/>
  <c r="AS54" i="4"/>
  <c r="AR54" i="4"/>
  <c r="BO54" i="4"/>
  <c r="BK54" i="4"/>
  <c r="BL54" i="4"/>
  <c r="BM54" i="4"/>
  <c r="BI62" i="4"/>
  <c r="BG62" i="4"/>
  <c r="BR62" i="4"/>
  <c r="AS62" i="4"/>
  <c r="BQ62" i="4"/>
  <c r="AR62" i="4"/>
  <c r="BO62" i="4"/>
  <c r="AP62" i="4"/>
  <c r="BM62" i="4"/>
  <c r="AN62" i="4"/>
  <c r="BK62" i="4"/>
  <c r="BJ62" i="4"/>
  <c r="AQ62" i="4"/>
  <c r="BH62" i="4"/>
  <c r="AO62" i="4"/>
  <c r="BP62" i="4"/>
  <c r="BN62" i="4"/>
  <c r="BL62" i="4"/>
  <c r="BM57" i="4"/>
  <c r="AN57" i="4"/>
  <c r="BK57" i="4"/>
  <c r="BI57" i="4"/>
  <c r="BG57" i="4"/>
  <c r="BQ57" i="4"/>
  <c r="BO57" i="4"/>
  <c r="AP57" i="4"/>
  <c r="BL57" i="4"/>
  <c r="BJ57" i="4"/>
  <c r="BH57" i="4"/>
  <c r="AS57" i="4"/>
  <c r="AR57" i="4"/>
  <c r="AQ57" i="4"/>
  <c r="BP57" i="4"/>
  <c r="BR57" i="4"/>
  <c r="BN57" i="4"/>
  <c r="AO57" i="4"/>
  <c r="BQ70" i="4"/>
  <c r="AR70" i="4"/>
  <c r="BO70" i="4"/>
  <c r="AP70" i="4"/>
  <c r="BN70" i="4"/>
  <c r="AO70" i="4"/>
  <c r="BM70" i="4"/>
  <c r="AN70" i="4"/>
  <c r="BK70" i="4"/>
  <c r="BI70" i="4"/>
  <c r="BG70" i="4"/>
  <c r="BJ70" i="4"/>
  <c r="AS70" i="4"/>
  <c r="BH70" i="4"/>
  <c r="AQ70" i="4"/>
  <c r="BR70" i="4"/>
  <c r="BP70" i="4"/>
  <c r="BL70" i="4"/>
  <c r="BJ26" i="4"/>
  <c r="AR26" i="4"/>
  <c r="BI26" i="4"/>
  <c r="AQ26" i="4"/>
  <c r="BH26" i="4"/>
  <c r="AP26" i="4"/>
  <c r="BP26" i="4"/>
  <c r="AO26" i="4"/>
  <c r="BO26" i="4"/>
  <c r="AN26" i="4"/>
  <c r="BN26" i="4"/>
  <c r="BM26" i="4"/>
  <c r="BL26" i="4"/>
  <c r="BK26" i="4"/>
  <c r="BG26" i="4"/>
  <c r="BR26" i="4"/>
  <c r="BQ26" i="4"/>
  <c r="AS26" i="4"/>
  <c r="BQ73" i="4"/>
  <c r="AR73" i="4"/>
  <c r="BP73" i="4"/>
  <c r="AQ73" i="4"/>
  <c r="BO73" i="4"/>
  <c r="AP73" i="4"/>
  <c r="BN73" i="4"/>
  <c r="AO73" i="4"/>
  <c r="BM73" i="4"/>
  <c r="AN73" i="4"/>
  <c r="BL73" i="4"/>
  <c r="BK73" i="4"/>
  <c r="BI73" i="4"/>
  <c r="BG73" i="4"/>
  <c r="AS73" i="4"/>
  <c r="BR73" i="4"/>
  <c r="BJ73" i="4"/>
  <c r="BH73" i="4"/>
  <c r="BI71" i="4"/>
  <c r="BG71" i="4"/>
  <c r="BR71" i="4"/>
  <c r="AS71" i="4"/>
  <c r="BQ71" i="4"/>
  <c r="AR71" i="4"/>
  <c r="BO71" i="4"/>
  <c r="AP71" i="4"/>
  <c r="BM71" i="4"/>
  <c r="AN71" i="4"/>
  <c r="BK71" i="4"/>
  <c r="BP71" i="4"/>
  <c r="BN71" i="4"/>
  <c r="BL71" i="4"/>
  <c r="AQ71" i="4"/>
  <c r="AO71" i="4"/>
  <c r="BJ71" i="4"/>
  <c r="BH71" i="4"/>
  <c r="BG35" i="4"/>
  <c r="AO35" i="4"/>
  <c r="BR35" i="4"/>
  <c r="AN35" i="4"/>
  <c r="BQ35" i="4"/>
  <c r="BL35" i="4"/>
  <c r="BK35" i="4"/>
  <c r="BJ35" i="4"/>
  <c r="BI35" i="4"/>
  <c r="BH35" i="4"/>
  <c r="AS35" i="4"/>
  <c r="BP35" i="4"/>
  <c r="AR35" i="4"/>
  <c r="BM35" i="4"/>
  <c r="AQ35" i="4"/>
  <c r="AP35" i="4"/>
  <c r="BO35" i="4"/>
  <c r="BN35" i="4"/>
  <c r="BG31" i="4"/>
  <c r="AO31" i="4"/>
  <c r="BR31" i="4"/>
  <c r="AN31" i="4"/>
  <c r="BQ31" i="4"/>
  <c r="AS31" i="4"/>
  <c r="BP31" i="4"/>
  <c r="AR31" i="4"/>
  <c r="BO31" i="4"/>
  <c r="AQ31" i="4"/>
  <c r="BN31" i="4"/>
  <c r="AP31" i="4"/>
  <c r="BM31" i="4"/>
  <c r="BL31" i="4"/>
  <c r="BK31" i="4"/>
  <c r="BJ31" i="4"/>
  <c r="BI31" i="4"/>
  <c r="BH31" i="4"/>
  <c r="BI65" i="4"/>
  <c r="BG65" i="4"/>
  <c r="BR65" i="4"/>
  <c r="AS65" i="4"/>
  <c r="BQ65" i="4"/>
  <c r="AR65" i="4"/>
  <c r="BO65" i="4"/>
  <c r="AP65" i="4"/>
  <c r="BM65" i="4"/>
  <c r="AN65" i="4"/>
  <c r="BK65" i="4"/>
  <c r="BH65" i="4"/>
  <c r="AO65" i="4"/>
  <c r="BL65" i="4"/>
  <c r="BJ65" i="4"/>
  <c r="AQ65" i="4"/>
  <c r="BP65" i="4"/>
  <c r="BN65" i="4"/>
  <c r="BG39" i="4"/>
  <c r="AO39" i="4"/>
  <c r="BR39" i="4"/>
  <c r="AN39" i="4"/>
  <c r="BQ39" i="4"/>
  <c r="AS39" i="4"/>
  <c r="BP39" i="4"/>
  <c r="AR39" i="4"/>
  <c r="BO39" i="4"/>
  <c r="AQ39" i="4"/>
  <c r="BN39" i="4"/>
  <c r="AP39" i="4"/>
  <c r="BM39" i="4"/>
  <c r="BL39" i="4"/>
  <c r="BK39" i="4"/>
  <c r="BH39" i="4"/>
  <c r="BJ39" i="4"/>
  <c r="BI39" i="4"/>
  <c r="BL41" i="4"/>
  <c r="BK41" i="4"/>
  <c r="BI41" i="4"/>
  <c r="BH41" i="4"/>
  <c r="BG41" i="4"/>
  <c r="BR41" i="4"/>
  <c r="BQ41" i="4"/>
  <c r="AS41" i="4"/>
  <c r="BP41" i="4"/>
  <c r="BO41" i="4"/>
  <c r="BN41" i="4"/>
  <c r="BM41" i="4"/>
  <c r="BJ41" i="4"/>
  <c r="AR41" i="4"/>
  <c r="AQ41" i="4"/>
  <c r="AN41" i="4"/>
  <c r="AP41" i="4"/>
  <c r="AO41" i="4"/>
  <c r="BO44" i="4"/>
  <c r="BN44" i="4"/>
  <c r="BM44" i="4"/>
  <c r="BL44" i="4"/>
  <c r="BK44" i="4"/>
  <c r="AS44" i="4"/>
  <c r="BJ44" i="4"/>
  <c r="AR44" i="4"/>
  <c r="BH44" i="4"/>
  <c r="AP44" i="4"/>
  <c r="BQ44" i="4"/>
  <c r="AQ44" i="4"/>
  <c r="BP44" i="4"/>
  <c r="AO44" i="4"/>
  <c r="BI44" i="4"/>
  <c r="AN44" i="4"/>
  <c r="BR44" i="4"/>
  <c r="BG44" i="4"/>
  <c r="BJ22" i="4"/>
  <c r="BL22" i="4"/>
  <c r="AR22" i="4"/>
  <c r="BK22" i="4"/>
  <c r="AQ22" i="4"/>
  <c r="BI22" i="4"/>
  <c r="AP22" i="4"/>
  <c r="BH22" i="4"/>
  <c r="AO22" i="4"/>
  <c r="BG22" i="4"/>
  <c r="AN22" i="4"/>
  <c r="BR22" i="4"/>
  <c r="BQ22" i="4"/>
  <c r="BP22" i="4"/>
  <c r="BO22" i="4"/>
  <c r="BN22" i="4"/>
  <c r="BM22" i="4"/>
  <c r="AS22" i="4"/>
  <c r="BI42" i="4"/>
  <c r="AQ42" i="4"/>
  <c r="BH42" i="4"/>
  <c r="AP42" i="4"/>
  <c r="BR42" i="4"/>
  <c r="AN42" i="4"/>
  <c r="BQ42" i="4"/>
  <c r="BP42" i="4"/>
  <c r="AO42" i="4"/>
  <c r="BK42" i="4"/>
  <c r="AR42" i="4"/>
  <c r="BJ42" i="4"/>
  <c r="BG42" i="4"/>
  <c r="BO42" i="4"/>
  <c r="BL42" i="4"/>
  <c r="AS42" i="4"/>
  <c r="BN42" i="4"/>
  <c r="BM42" i="4"/>
  <c r="BM29" i="4"/>
  <c r="BL29" i="4"/>
  <c r="BK29" i="4"/>
  <c r="AS29" i="4"/>
  <c r="BQ29" i="4"/>
  <c r="AP29" i="4"/>
  <c r="BP29" i="4"/>
  <c r="AO29" i="4"/>
  <c r="BO29" i="4"/>
  <c r="AN29" i="4"/>
  <c r="BN29" i="4"/>
  <c r="BJ29" i="4"/>
  <c r="BI29" i="4"/>
  <c r="BH29" i="4"/>
  <c r="BG29" i="4"/>
  <c r="AR29" i="4"/>
  <c r="AQ29" i="4"/>
  <c r="BR29" i="4"/>
  <c r="BJ18" i="4"/>
  <c r="AR18" i="4"/>
  <c r="BI18" i="4"/>
  <c r="AQ18" i="4"/>
  <c r="BH18" i="4"/>
  <c r="BG18" i="4"/>
  <c r="BR18" i="4"/>
  <c r="BM18" i="4"/>
  <c r="BL18" i="4"/>
  <c r="BK18" i="4"/>
  <c r="AS18" i="4"/>
  <c r="AP18" i="4"/>
  <c r="BQ18" i="4"/>
  <c r="AO18" i="4"/>
  <c r="BP18" i="4"/>
  <c r="AN18" i="4"/>
  <c r="BO18" i="4"/>
  <c r="BN18" i="4"/>
  <c r="BI46" i="4"/>
  <c r="AQ46" i="4"/>
  <c r="BH46" i="4"/>
  <c r="AP46" i="4"/>
  <c r="BG46" i="4"/>
  <c r="AO46" i="4"/>
  <c r="BR46" i="4"/>
  <c r="AN46" i="4"/>
  <c r="BQ46" i="4"/>
  <c r="BP46" i="4"/>
  <c r="BN46" i="4"/>
  <c r="BO46" i="4"/>
  <c r="BM46" i="4"/>
  <c r="BL46" i="4"/>
  <c r="BK46" i="4"/>
  <c r="BJ46" i="4"/>
  <c r="AR46" i="4"/>
  <c r="AS46" i="4"/>
  <c r="BM76" i="4" l="1"/>
  <c r="BN76" i="4"/>
  <c r="BG76" i="4"/>
  <c r="K60" i="3"/>
  <c r="J60" i="3"/>
  <c r="I60" i="3"/>
  <c r="H60" i="3"/>
  <c r="M60" i="3"/>
  <c r="L60" i="3"/>
  <c r="L24" i="3"/>
  <c r="L25" i="3" s="1"/>
  <c r="AO76" i="4"/>
  <c r="BO76" i="4"/>
  <c r="AP76" i="4"/>
  <c r="BH76" i="4"/>
  <c r="AS76" i="4"/>
  <c r="BP76" i="4"/>
  <c r="C25" i="3"/>
  <c r="BK76" i="4"/>
  <c r="I25" i="3"/>
  <c r="AQ76" i="4"/>
  <c r="B24" i="3"/>
  <c r="H84" i="1"/>
  <c r="K25" i="3" s="1"/>
  <c r="BQ76" i="4"/>
  <c r="BI76" i="4"/>
  <c r="M24" i="3"/>
  <c r="M25" i="3" s="1"/>
  <c r="G31" i="3"/>
  <c r="G25" i="3"/>
  <c r="BL76" i="4"/>
  <c r="AN76" i="4"/>
  <c r="AR76" i="4"/>
  <c r="F25" i="3"/>
  <c r="BR76" i="4"/>
  <c r="BJ76" i="4"/>
  <c r="H25" i="3" l="1"/>
  <c r="B25" i="3"/>
  <c r="N25" i="3" s="1"/>
  <c r="N24" i="3"/>
  <c r="D10" i="5"/>
  <c r="K59" i="3"/>
  <c r="D7" i="5"/>
  <c r="H59" i="3"/>
  <c r="D12" i="5"/>
  <c r="M59" i="3"/>
  <c r="J25" i="3"/>
  <c r="E25" i="3"/>
  <c r="D25" i="3"/>
  <c r="D9" i="5"/>
  <c r="J59" i="3"/>
  <c r="D11" i="5"/>
  <c r="L59" i="3"/>
  <c r="D4" i="5"/>
  <c r="G33" i="3"/>
  <c r="H33" i="3" s="1"/>
  <c r="O52" i="3"/>
  <c r="O3" i="3"/>
  <c r="G30" i="3"/>
  <c r="H31" i="3" s="1"/>
  <c r="D8" i="5"/>
  <c r="I59" i="3"/>
  <c r="H32" i="3" l="1"/>
  <c r="H30" i="3"/>
</calcChain>
</file>

<file path=xl/sharedStrings.xml><?xml version="1.0" encoding="utf-8"?>
<sst xmlns="http://schemas.openxmlformats.org/spreadsheetml/2006/main" count="313" uniqueCount="164">
  <si>
    <t>Course Code</t>
  </si>
  <si>
    <t>CSE</t>
  </si>
  <si>
    <t>Section</t>
  </si>
  <si>
    <t>W (Withdrawn)</t>
  </si>
  <si>
    <t>Course Title</t>
  </si>
  <si>
    <t>Operating Systems</t>
  </si>
  <si>
    <t>Semester</t>
  </si>
  <si>
    <t>Spring 2025</t>
  </si>
  <si>
    <t>Credit</t>
  </si>
  <si>
    <t>Instructor</t>
  </si>
  <si>
    <t>Rubaiya Hafiz</t>
  </si>
  <si>
    <t>Attendance</t>
  </si>
  <si>
    <t>Performance</t>
  </si>
  <si>
    <t>Quiz</t>
  </si>
  <si>
    <t>Assignment</t>
  </si>
  <si>
    <t>Mid</t>
  </si>
  <si>
    <t>Project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</si>
  <si>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</si>
  <si>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</si>
  <si>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</si>
  <si>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</si>
  <si>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</si>
  <si>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</si>
  <si>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</si>
  <si>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</si>
  <si>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</si>
  <si>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</si>
  <si>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</si>
  <si>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</si>
  <si>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95% and above</t>
  </si>
  <si>
    <t>A+</t>
  </si>
  <si>
    <t>MAX</t>
  </si>
  <si>
    <t>90% to 94%</t>
  </si>
  <si>
    <t>A</t>
  </si>
  <si>
    <t>AVG</t>
  </si>
  <si>
    <t>85% to 89%</t>
  </si>
  <si>
    <t>A-</t>
  </si>
  <si>
    <t>MIN</t>
  </si>
  <si>
    <t xml:space="preserve">Assignment </t>
  </si>
  <si>
    <t>80% to 84%</t>
  </si>
  <si>
    <t>B+</t>
  </si>
  <si>
    <t>Midterm Exam</t>
  </si>
  <si>
    <t>75% to 79%</t>
  </si>
  <si>
    <t>B</t>
  </si>
  <si>
    <t>70% to 74%</t>
  </si>
  <si>
    <t>B-</t>
  </si>
  <si>
    <t>Final Exam</t>
  </si>
  <si>
    <t>65% to 69%</t>
  </si>
  <si>
    <t>C+</t>
  </si>
  <si>
    <t>Total</t>
  </si>
  <si>
    <t>60% to 64%</t>
  </si>
  <si>
    <t>C</t>
  </si>
  <si>
    <t>50% to 59%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</si>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</sst>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4">
    <font>
      <sz val="11"/>
      <color theme="1"/>
      <name val="Arimo"/>
      <family val="2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11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6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65">
    <xf numFmtId="0" fontId="0" fillId="0" borderId="0" xfId="0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/>
    </xf>
    <xf numFmtId="1" fontId="2" fillId="0" borderId="1" xfId="0" applyNumberFormat="1" applyFont="1" applyBorder="1"/>
    <xf numFmtId="1" fontId="1" fillId="2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/>
    <xf numFmtId="1" fontId="1" fillId="2" borderId="1" xfId="0" applyNumberFormat="1" applyFont="1" applyFill="1" applyBorder="1"/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1" fontId="2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vertical="center" wrapText="1"/>
    </xf>
    <xf numFmtId="1" fontId="6" fillId="0" borderId="1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1" fontId="2" fillId="0" borderId="0" xfId="0" applyNumberFormat="1" applyFont="1" applyAlignment="1">
      <alignment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/>
    </xf>
    <xf numFmtId="2" fontId="7" fillId="0" borderId="1" xfId="0" applyNumberFormat="1" applyFont="1" applyBorder="1" applyAlignment="1">
      <alignment horizontal="left" vertical="top"/>
    </xf>
    <xf numFmtId="2" fontId="1" fillId="3" borderId="4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top" readingOrder="1"/>
    </xf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 readingOrder="1"/>
    </xf>
    <xf numFmtId="0" fontId="7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1" fontId="2" fillId="0" borderId="1" xfId="0" applyNumberFormat="1" applyFont="1" applyBorder="1" applyAlignment="1">
      <alignment horizontal="left" vertic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 wrapText="1"/>
    </xf>
    <xf numFmtId="1" fontId="1" fillId="0" borderId="5" xfId="0" applyNumberFormat="1" applyFont="1" applyBorder="1" applyAlignment="1">
      <alignment horizontal="center" wrapText="1"/>
    </xf>
    <xf numFmtId="1" fontId="1" fillId="2" borderId="5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4" borderId="1" xfId="0" applyNumberFormat="1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7" xfId="0" applyNumberFormat="1" applyFont="1" applyBorder="1"/>
    <xf numFmtId="1" fontId="1" fillId="0" borderId="8" xfId="0" applyNumberFormat="1" applyFont="1" applyBorder="1" applyAlignment="1">
      <alignment horizontal="center" vertical="top" wrapText="1"/>
    </xf>
    <xf numFmtId="1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top" wrapText="1"/>
    </xf>
    <xf numFmtId="1" fontId="1" fillId="0" borderId="9" xfId="0" applyNumberFormat="1" applyFont="1" applyBorder="1" applyAlignment="1">
      <alignment horizontal="center" vertical="center"/>
    </xf>
    <xf numFmtId="9" fontId="1" fillId="0" borderId="9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/>
    </xf>
    <xf numFmtId="9" fontId="1" fillId="0" borderId="10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1" fontId="8" fillId="8" borderId="1" xfId="0" applyNumberFormat="1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1" fontId="13" fillId="0" borderId="20" xfId="0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1" fontId="7" fillId="0" borderId="0" xfId="0" applyNumberFormat="1" applyFont="1"/>
    <xf numFmtId="1" fontId="16" fillId="0" borderId="24" xfId="0" applyNumberFormat="1" applyFont="1" applyBorder="1" applyAlignment="1">
      <alignment horizontal="center"/>
    </xf>
    <xf numFmtId="1" fontId="7" fillId="0" borderId="24" xfId="0" applyNumberFormat="1" applyFont="1" applyBorder="1" applyAlignment="1">
      <alignment horizontal="center" vertical="center"/>
    </xf>
    <xf numFmtId="1" fontId="7" fillId="0" borderId="25" xfId="0" applyNumberFormat="1" applyFont="1" applyBorder="1" applyAlignment="1">
      <alignment horizontal="center" vertical="center"/>
    </xf>
    <xf numFmtId="1" fontId="7" fillId="0" borderId="26" xfId="0" applyNumberFormat="1" applyFont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1" fontId="4" fillId="0" borderId="0" xfId="0" applyNumberFormat="1" applyFont="1"/>
    <xf numFmtId="1" fontId="7" fillId="0" borderId="27" xfId="0" applyNumberFormat="1" applyFont="1" applyBorder="1" applyAlignment="1">
      <alignment horizontal="center"/>
    </xf>
    <xf numFmtId="1" fontId="7" fillId="0" borderId="29" xfId="0" applyNumberFormat="1" applyFont="1" applyBorder="1" applyAlignment="1">
      <alignment horizontal="center" vertical="center"/>
    </xf>
    <xf numFmtId="1" fontId="7" fillId="2" borderId="30" xfId="0" applyNumberFormat="1" applyFont="1" applyFill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/>
    </xf>
    <xf numFmtId="1" fontId="7" fillId="0" borderId="9" xfId="0" applyNumberFormat="1" applyFont="1" applyBorder="1" applyAlignment="1">
      <alignment horizontal="center" vertical="center"/>
    </xf>
    <xf numFmtId="1" fontId="7" fillId="0" borderId="32" xfId="0" applyNumberFormat="1" applyFont="1" applyBorder="1" applyAlignment="1">
      <alignment horizontal="center"/>
    </xf>
    <xf numFmtId="1" fontId="7" fillId="0" borderId="35" xfId="0" applyNumberFormat="1" applyFont="1" applyBorder="1" applyAlignment="1">
      <alignment horizontal="center" vertical="center"/>
    </xf>
    <xf numFmtId="1" fontId="7" fillId="0" borderId="10" xfId="0" applyNumberFormat="1" applyFont="1" applyBorder="1" applyAlignment="1">
      <alignment horizontal="center" vertical="center"/>
    </xf>
    <xf numFmtId="1" fontId="16" fillId="0" borderId="0" xfId="0" applyNumberFormat="1" applyFont="1" applyAlignment="1">
      <alignment horizontal="center"/>
    </xf>
    <xf numFmtId="1" fontId="16" fillId="0" borderId="36" xfId="0" applyNumberFormat="1" applyFont="1" applyBorder="1"/>
    <xf numFmtId="1" fontId="16" fillId="0" borderId="34" xfId="0" applyNumberFormat="1" applyFont="1" applyBorder="1"/>
    <xf numFmtId="1" fontId="7" fillId="0" borderId="6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11" xfId="0" applyNumberFormat="1" applyFont="1" applyBorder="1" applyAlignment="1">
      <alignment horizontal="center" vertical="center"/>
    </xf>
    <xf numFmtId="1" fontId="7" fillId="0" borderId="42" xfId="0" applyNumberFormat="1" applyFont="1" applyBorder="1" applyAlignment="1">
      <alignment horizontal="center" vertical="center"/>
    </xf>
    <xf numFmtId="1" fontId="7" fillId="0" borderId="43" xfId="0" applyNumberFormat="1" applyFont="1" applyBorder="1" applyAlignment="1">
      <alignment horizontal="center" vertical="center"/>
    </xf>
    <xf numFmtId="1" fontId="7" fillId="0" borderId="18" xfId="0" applyNumberFormat="1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7" fillId="0" borderId="44" xfId="0" applyNumberFormat="1" applyFont="1" applyBorder="1" applyAlignment="1">
      <alignment horizontal="center" vertical="center"/>
    </xf>
    <xf numFmtId="1" fontId="7" fillId="0" borderId="45" xfId="0" applyNumberFormat="1" applyFont="1" applyBorder="1" applyAlignment="1">
      <alignment horizontal="center"/>
    </xf>
    <xf numFmtId="1" fontId="7" fillId="0" borderId="46" xfId="0" applyNumberFormat="1" applyFont="1" applyBorder="1" applyAlignment="1">
      <alignment horizontal="center"/>
    </xf>
    <xf numFmtId="1" fontId="7" fillId="0" borderId="40" xfId="0" applyNumberFormat="1" applyFont="1" applyBorder="1" applyAlignment="1">
      <alignment horizontal="center"/>
    </xf>
    <xf numFmtId="1" fontId="7" fillId="0" borderId="47" xfId="0" applyNumberFormat="1" applyFont="1" applyBorder="1" applyAlignment="1">
      <alignment horizontal="center" vertical="center"/>
    </xf>
    <xf numFmtId="1" fontId="7" fillId="0" borderId="48" xfId="0" applyNumberFormat="1" applyFont="1" applyBorder="1" applyAlignment="1">
      <alignment horizontal="center" vertical="center"/>
    </xf>
    <xf numFmtId="1" fontId="7" fillId="0" borderId="49" xfId="0" applyNumberFormat="1" applyFont="1" applyBorder="1" applyAlignment="1">
      <alignment horizontal="center" vertical="center"/>
    </xf>
    <xf numFmtId="1" fontId="7" fillId="0" borderId="50" xfId="0" applyNumberFormat="1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 wrapText="1"/>
    </xf>
    <xf numFmtId="1" fontId="12" fillId="0" borderId="25" xfId="0" applyNumberFormat="1" applyFont="1" applyBorder="1" applyAlignment="1">
      <alignment horizontal="center" vertical="center"/>
    </xf>
    <xf numFmtId="1" fontId="12" fillId="0" borderId="26" xfId="0" applyNumberFormat="1" applyFont="1" applyBorder="1" applyAlignment="1">
      <alignment horizontal="left" vertical="center"/>
    </xf>
    <xf numFmtId="1" fontId="7" fillId="6" borderId="47" xfId="0" applyNumberFormat="1" applyFont="1" applyFill="1" applyBorder="1" applyAlignment="1">
      <alignment horizontal="center" vertical="center"/>
    </xf>
    <xf numFmtId="1" fontId="7" fillId="6" borderId="48" xfId="0" applyNumberFormat="1" applyFont="1" applyFill="1" applyBorder="1" applyAlignment="1">
      <alignment horizontal="center" vertical="center"/>
    </xf>
    <xf numFmtId="1" fontId="7" fillId="6" borderId="25" xfId="0" applyNumberFormat="1" applyFont="1" applyFill="1" applyBorder="1" applyAlignment="1">
      <alignment horizontal="center" vertical="center"/>
    </xf>
    <xf numFmtId="1" fontId="5" fillId="6" borderId="45" xfId="0" applyNumberFormat="1" applyFont="1" applyFill="1" applyBorder="1"/>
    <xf numFmtId="1" fontId="7" fillId="6" borderId="24" xfId="0" applyNumberFormat="1" applyFont="1" applyFill="1" applyBorder="1" applyAlignment="1">
      <alignment horizontal="center" vertical="center"/>
    </xf>
    <xf numFmtId="9" fontId="7" fillId="6" borderId="24" xfId="0" applyNumberFormat="1" applyFont="1" applyFill="1" applyBorder="1" applyAlignment="1">
      <alignment horizontal="center" vertical="center"/>
    </xf>
    <xf numFmtId="9" fontId="7" fillId="6" borderId="25" xfId="0" applyNumberFormat="1" applyFont="1" applyFill="1" applyBorder="1" applyAlignment="1">
      <alignment horizontal="center" vertical="center"/>
    </xf>
    <xf numFmtId="9" fontId="7" fillId="6" borderId="26" xfId="0" applyNumberFormat="1" applyFont="1" applyFill="1" applyBorder="1" applyAlignment="1">
      <alignment horizontal="center" vertical="center"/>
    </xf>
    <xf numFmtId="9" fontId="7" fillId="6" borderId="51" xfId="0" applyNumberFormat="1" applyFont="1" applyFill="1" applyBorder="1" applyAlignment="1">
      <alignment horizontal="center" vertical="center"/>
    </xf>
    <xf numFmtId="9" fontId="7" fillId="6" borderId="47" xfId="0" applyNumberFormat="1" applyFont="1" applyFill="1" applyBorder="1" applyAlignment="1">
      <alignment horizontal="center" vertical="center"/>
    </xf>
    <xf numFmtId="9" fontId="7" fillId="6" borderId="48" xfId="0" applyNumberFormat="1" applyFont="1" applyFill="1" applyBorder="1" applyAlignment="1">
      <alignment horizontal="center" vertical="center"/>
    </xf>
    <xf numFmtId="9" fontId="7" fillId="6" borderId="49" xfId="0" applyNumberFormat="1" applyFont="1" applyFill="1" applyBorder="1" applyAlignment="1">
      <alignment horizontal="center" vertical="center"/>
    </xf>
    <xf numFmtId="1" fontId="7" fillId="0" borderId="28" xfId="0" applyNumberFormat="1" applyFont="1" applyBorder="1" applyAlignment="1">
      <alignment horizontal="center"/>
    </xf>
    <xf numFmtId="2" fontId="7" fillId="0" borderId="17" xfId="0" applyNumberFormat="1" applyFont="1" applyBorder="1" applyAlignment="1">
      <alignment horizontal="center" vertical="center"/>
    </xf>
    <xf numFmtId="2" fontId="7" fillId="0" borderId="19" xfId="0" applyNumberFormat="1" applyFont="1" applyBorder="1" applyAlignment="1">
      <alignment horizontal="center" vertical="center"/>
    </xf>
    <xf numFmtId="9" fontId="7" fillId="0" borderId="52" xfId="0" applyNumberFormat="1" applyFont="1" applyBorder="1" applyAlignment="1">
      <alignment horizontal="center" vertical="center"/>
    </xf>
    <xf numFmtId="1" fontId="7" fillId="0" borderId="28" xfId="0" applyNumberFormat="1" applyFont="1" applyBorder="1" applyAlignment="1">
      <alignment horizontal="center" vertical="center"/>
    </xf>
    <xf numFmtId="9" fontId="7" fillId="0" borderId="31" xfId="0" applyNumberFormat="1" applyFont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wrapText="1"/>
    </xf>
    <xf numFmtId="2" fontId="7" fillId="0" borderId="4" xfId="0" applyNumberFormat="1" applyFont="1" applyBorder="1" applyAlignment="1">
      <alignment horizontal="center"/>
    </xf>
    <xf numFmtId="9" fontId="7" fillId="0" borderId="53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0" borderId="33" xfId="0" applyNumberFormat="1" applyFont="1" applyBorder="1" applyAlignment="1">
      <alignment horizontal="center"/>
    </xf>
    <xf numFmtId="1" fontId="5" fillId="0" borderId="39" xfId="0" applyNumberFormat="1" applyFont="1" applyBorder="1"/>
    <xf numFmtId="9" fontId="7" fillId="0" borderId="54" xfId="0" applyNumberFormat="1" applyFont="1" applyBorder="1" applyAlignment="1">
      <alignment horizontal="center"/>
    </xf>
    <xf numFmtId="1" fontId="5" fillId="0" borderId="0" xfId="0" applyNumberFormat="1" applyFont="1"/>
    <xf numFmtId="1" fontId="16" fillId="6" borderId="37" xfId="0" applyNumberFormat="1" applyFont="1" applyFill="1" applyBorder="1" applyAlignment="1">
      <alignment horizontal="center" vertical="center" readingOrder="1"/>
    </xf>
    <xf numFmtId="1" fontId="16" fillId="6" borderId="37" xfId="0" applyNumberFormat="1" applyFont="1" applyFill="1" applyBorder="1" applyAlignment="1">
      <alignment horizontal="center" vertical="center"/>
    </xf>
    <xf numFmtId="0" fontId="5" fillId="0" borderId="34" xfId="0" applyFont="1" applyBorder="1"/>
    <xf numFmtId="2" fontId="7" fillId="6" borderId="24" xfId="0" applyNumberFormat="1" applyFont="1" applyFill="1" applyBorder="1" applyAlignment="1">
      <alignment horizontal="center" vertical="center"/>
    </xf>
    <xf numFmtId="1" fontId="7" fillId="6" borderId="26" xfId="0" applyNumberFormat="1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Font="1" applyAlignment="1">
      <alignment vertical="top"/>
    </xf>
    <xf numFmtId="0" fontId="13" fillId="0" borderId="0" xfId="0" applyFont="1"/>
    <xf numFmtId="0" fontId="14" fillId="0" borderId="0" xfId="0" applyFont="1"/>
    <xf numFmtId="0" fontId="9" fillId="12" borderId="28" xfId="0" applyFont="1" applyFill="1" applyBorder="1" applyAlignment="1">
      <alignment horizontal="center" vertical="center"/>
    </xf>
    <xf numFmtId="1" fontId="9" fillId="12" borderId="55" xfId="0" applyNumberFormat="1" applyFont="1" applyFill="1" applyBorder="1" applyAlignment="1">
      <alignment horizontal="center" vertical="center"/>
    </xf>
    <xf numFmtId="0" fontId="9" fillId="12" borderId="55" xfId="0" applyFont="1" applyFill="1" applyBorder="1" applyAlignment="1">
      <alignment horizontal="center" vertical="center"/>
    </xf>
    <xf numFmtId="1" fontId="9" fillId="12" borderId="52" xfId="0" applyNumberFormat="1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 wrapText="1"/>
    </xf>
    <xf numFmtId="1" fontId="9" fillId="12" borderId="54" xfId="0" applyNumberFormat="1" applyFont="1" applyFill="1" applyBorder="1" applyAlignment="1">
      <alignment horizontal="center" vertical="center" wrapText="1"/>
    </xf>
    <xf numFmtId="164" fontId="9" fillId="12" borderId="56" xfId="0" applyNumberFormat="1" applyFont="1" applyFill="1" applyBorder="1" applyAlignment="1">
      <alignment horizontal="center" vertical="center"/>
    </xf>
    <xf numFmtId="0" fontId="9" fillId="12" borderId="56" xfId="0" applyFont="1" applyFill="1" applyBorder="1" applyAlignment="1">
      <alignment horizontal="center" vertical="center"/>
    </xf>
    <xf numFmtId="1" fontId="9" fillId="12" borderId="57" xfId="0" applyNumberFormat="1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9" fontId="9" fillId="0" borderId="61" xfId="0" applyNumberFormat="1" applyFont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11" fillId="13" borderId="2" xfId="0" applyFont="1" applyFill="1" applyBorder="1" applyAlignment="1">
      <alignment horizontal="center"/>
    </xf>
    <xf numFmtId="0" fontId="11" fillId="13" borderId="3" xfId="0" applyFont="1" applyFill="1" applyBorder="1" applyAlignment="1">
      <alignment horizontal="center"/>
    </xf>
    <xf numFmtId="0" fontId="11" fillId="13" borderId="4" xfId="0" applyFont="1" applyFill="1" applyBorder="1" applyAlignment="1">
      <alignment horizontal="center"/>
    </xf>
    <xf numFmtId="0" fontId="23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21" fillId="0" borderId="16" xfId="0" applyFont="1" applyBorder="1"/>
    <xf numFmtId="1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9" fillId="0" borderId="0" xfId="0" applyFont="1"/>
    <xf numFmtId="2" fontId="1" fillId="11" borderId="1" xfId="0" applyNumberFormat="1" applyFont="1" applyFill="1" applyBorder="1" applyAlignment="1">
      <alignment horizontal="center" readingOrder="1"/>
    </xf>
    <xf numFmtId="2" fontId="1" fillId="11" borderId="1" xfId="0" applyNumberFormat="1" applyFont="1" applyFill="1" applyBorder="1" applyAlignment="1">
      <alignment horizontal="center"/>
    </xf>
    <xf numFmtId="10" fontId="7" fillId="6" borderId="24" xfId="0" applyNumberFormat="1" applyFont="1" applyFill="1" applyBorder="1" applyAlignment="1">
      <alignment horizontal="center" vertical="center"/>
    </xf>
    <xf numFmtId="2" fontId="7" fillId="2" borderId="28" xfId="0" applyNumberFormat="1" applyFont="1" applyFill="1" applyBorder="1" applyAlignment="1">
      <alignment horizontal="center" vertical="center"/>
    </xf>
    <xf numFmtId="2" fontId="7" fillId="0" borderId="24" xfId="0" applyNumberFormat="1" applyFont="1" applyBorder="1" applyAlignment="1">
      <alignment horizontal="center" vertical="center"/>
    </xf>
    <xf numFmtId="2" fontId="7" fillId="0" borderId="33" xfId="0" applyNumberFormat="1" applyFont="1" applyBorder="1" applyAlignment="1">
      <alignment horizontal="center" vertical="center"/>
    </xf>
    <xf numFmtId="2" fontId="7" fillId="0" borderId="34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left"/>
    </xf>
    <xf numFmtId="0" fontId="0" fillId="0" borderId="0" xfId="0"/>
    <xf numFmtId="1" fontId="1" fillId="2" borderId="0" xfId="0" applyNumberFormat="1" applyFont="1" applyFill="1" applyAlignment="1">
      <alignment horizontal="left"/>
    </xf>
    <xf numFmtId="0" fontId="3" fillId="0" borderId="0" xfId="0" applyFont="1"/>
    <xf numFmtId="1" fontId="1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1" fontId="2" fillId="3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" fontId="9" fillId="7" borderId="2" xfId="0" applyNumberFormat="1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6" fillId="9" borderId="15" xfId="0" applyFont="1" applyFill="1" applyBorder="1" applyAlignment="1">
      <alignment horizontal="center" vertical="center"/>
    </xf>
    <xf numFmtId="0" fontId="3" fillId="0" borderId="16" xfId="0" applyFont="1" applyBorder="1"/>
    <xf numFmtId="0" fontId="13" fillId="9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9" fillId="5" borderId="2" xfId="0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3" fillId="0" borderId="12" xfId="0" applyFont="1" applyBorder="1"/>
    <xf numFmtId="0" fontId="3" fillId="0" borderId="6" xfId="0" applyFont="1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17" xfId="0" applyFont="1" applyBorder="1"/>
    <xf numFmtId="0" fontId="11" fillId="2" borderId="5" xfId="0" applyFont="1" applyFill="1" applyBorder="1" applyAlignment="1">
      <alignment horizontal="center" vertical="center"/>
    </xf>
    <xf numFmtId="0" fontId="3" fillId="0" borderId="18" xfId="0" applyFont="1" applyBorder="1"/>
    <xf numFmtId="0" fontId="3" fillId="0" borderId="19" xfId="0" applyFont="1" applyBorder="1"/>
    <xf numFmtId="10" fontId="11" fillId="0" borderId="5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" fontId="8" fillId="8" borderId="2" xfId="0" applyNumberFormat="1" applyFont="1" applyFill="1" applyBorder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4" fillId="0" borderId="2" xfId="0" applyFont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1" fontId="7" fillId="6" borderId="36" xfId="0" applyNumberFormat="1" applyFont="1" applyFill="1" applyBorder="1" applyAlignment="1">
      <alignment horizontal="center" vertical="center"/>
    </xf>
    <xf numFmtId="0" fontId="3" fillId="0" borderId="36" xfId="0" applyFont="1" applyBorder="1"/>
    <xf numFmtId="0" fontId="3" fillId="0" borderId="34" xfId="0" applyFont="1" applyBorder="1"/>
    <xf numFmtId="1" fontId="7" fillId="6" borderId="21" xfId="0" applyNumberFormat="1" applyFont="1" applyFill="1" applyBorder="1" applyAlignment="1">
      <alignment horizontal="center" vertical="center"/>
    </xf>
    <xf numFmtId="0" fontId="3" fillId="0" borderId="22" xfId="0" applyFont="1" applyBorder="1"/>
    <xf numFmtId="0" fontId="3" fillId="0" borderId="23" xfId="0" applyFont="1" applyBorder="1"/>
    <xf numFmtId="1" fontId="7" fillId="0" borderId="0" xfId="0" applyNumberFormat="1" applyFont="1" applyAlignment="1">
      <alignment horizontal="center"/>
    </xf>
    <xf numFmtId="1" fontId="16" fillId="0" borderId="21" xfId="0" applyNumberFormat="1" applyFont="1" applyBorder="1" applyAlignment="1">
      <alignment horizontal="center"/>
    </xf>
    <xf numFmtId="1" fontId="16" fillId="0" borderId="21" xfId="0" applyNumberFormat="1" applyFont="1" applyBorder="1" applyAlignment="1">
      <alignment horizontal="center" vertical="center" wrapText="1"/>
    </xf>
    <xf numFmtId="0" fontId="3" fillId="0" borderId="38" xfId="0" applyFont="1" applyBorder="1"/>
    <xf numFmtId="0" fontId="3" fillId="0" borderId="39" xfId="0" applyFont="1" applyBorder="1"/>
    <xf numFmtId="0" fontId="3" fillId="0" borderId="41" xfId="0" applyFont="1" applyBorder="1"/>
    <xf numFmtId="0" fontId="3" fillId="0" borderId="20" xfId="0" applyFont="1" applyBorder="1"/>
    <xf numFmtId="0" fontId="3" fillId="0" borderId="40" xfId="0" applyFont="1" applyBorder="1"/>
    <xf numFmtId="1" fontId="16" fillId="10" borderId="37" xfId="0" applyNumberFormat="1" applyFont="1" applyFill="1" applyBorder="1" applyAlignment="1">
      <alignment horizontal="center"/>
    </xf>
    <xf numFmtId="1" fontId="16" fillId="7" borderId="37" xfId="0" applyNumberFormat="1" applyFont="1" applyFill="1" applyBorder="1" applyAlignment="1">
      <alignment horizontal="center"/>
    </xf>
    <xf numFmtId="1" fontId="16" fillId="0" borderId="20" xfId="0" applyNumberFormat="1" applyFont="1" applyBorder="1" applyAlignment="1">
      <alignment horizontal="center"/>
    </xf>
    <xf numFmtId="1" fontId="16" fillId="0" borderId="41" xfId="0" applyNumberFormat="1" applyFont="1" applyBorder="1" applyAlignment="1">
      <alignment horizontal="center"/>
    </xf>
    <xf numFmtId="1" fontId="17" fillId="0" borderId="21" xfId="0" applyNumberFormat="1" applyFont="1" applyBorder="1" applyAlignment="1">
      <alignment horizontal="center"/>
    </xf>
    <xf numFmtId="1" fontId="16" fillId="0" borderId="37" xfId="0" applyNumberFormat="1" applyFont="1" applyBorder="1" applyAlignment="1">
      <alignment horizontal="center"/>
    </xf>
    <xf numFmtId="0" fontId="13" fillId="1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center"/>
    </xf>
    <xf numFmtId="0" fontId="19" fillId="0" borderId="16" xfId="0" applyFont="1" applyBorder="1" applyAlignment="1">
      <alignment horizontal="left" wrapText="1"/>
    </xf>
    <xf numFmtId="0" fontId="20" fillId="1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left" wrapText="1"/>
    </xf>
    <xf numFmtId="0" fontId="11" fillId="13" borderId="2" xfId="0" applyFont="1" applyFill="1" applyBorder="1"/>
    <xf numFmtId="0" fontId="18" fillId="0" borderId="37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3" fillId="0" borderId="33" xfId="0" applyFont="1" applyBorder="1"/>
    <xf numFmtId="0" fontId="9" fillId="0" borderId="58" xfId="0" applyFont="1" applyBorder="1" applyAlignment="1">
      <alignment horizontal="center" vertical="center"/>
    </xf>
    <xf numFmtId="0" fontId="3" fillId="0" borderId="59" xfId="0" applyFont="1" applyBorder="1"/>
    <xf numFmtId="9" fontId="13" fillId="0" borderId="60" xfId="0" applyNumberFormat="1" applyFont="1" applyBorder="1" applyAlignment="1">
      <alignment horizontal="center" vertical="center" wrapText="1"/>
    </xf>
    <xf numFmtId="0" fontId="3" fillId="0" borderId="62" xfId="0" applyFont="1" applyBorder="1"/>
    <xf numFmtId="0" fontId="3" fillId="0" borderId="6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cat>
            <c:strRef>
              <c:f>GradeSheet!$G$72:$G$83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GradeSheet!$H$72:$H$83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8B-45A9-9284-AFB0ECB68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84946626"/>
        <c:axId val="835149735"/>
      </c:barChart>
      <c:catAx>
        <c:axId val="12849466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5149735"/>
        <c:crosses val="autoZero"/>
        <c:auto val="1"/>
        <c:lblAlgn val="ctr"/>
        <c:lblOffset val="100"/>
        <c:noMultiLvlLbl val="1"/>
      </c:catAx>
      <c:valAx>
        <c:axId val="8351497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84946626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70</xdr:row>
      <xdr:rowOff>0</xdr:rowOff>
    </xdr:from>
    <xdr:ext cx="3952875" cy="27908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C3C84168-A449-4450-B5FE-61B3CB136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tanu\Desktop\ulab-mms\public\templates\Updated%20CSE____CO-PO-Attainment-Analysis.xlsx" TargetMode="External"/><Relationship Id="rId1" Type="http://schemas.openxmlformats.org/officeDocument/2006/relationships/externalLinkPath" Target="Updated%20CSE____CO-PO-Attainment-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radeSheet"/>
      <sheetName val="GradingPolicy"/>
      <sheetName val="CourseSummary"/>
      <sheetName val="CO_PO_AttainmentAnalysis"/>
      <sheetName val="ContinuousQualityImprovement"/>
      <sheetName val="Sheet1"/>
    </sheetNames>
    <sheetDataSet>
      <sheetData sheetId="0">
        <row r="55">
          <cell r="G55" t="str">
            <v>A+</v>
          </cell>
          <cell r="H55">
            <v>0</v>
          </cell>
        </row>
        <row r="56">
          <cell r="G56" t="str">
            <v>A</v>
          </cell>
          <cell r="H56">
            <v>0</v>
          </cell>
        </row>
        <row r="57">
          <cell r="G57" t="str">
            <v>A-</v>
          </cell>
          <cell r="H57">
            <v>0</v>
          </cell>
        </row>
        <row r="58">
          <cell r="G58" t="str">
            <v>B+</v>
          </cell>
          <cell r="H58">
            <v>0</v>
          </cell>
        </row>
        <row r="59">
          <cell r="G59" t="str">
            <v>B</v>
          </cell>
          <cell r="H59">
            <v>0</v>
          </cell>
        </row>
        <row r="60">
          <cell r="G60" t="str">
            <v>B-</v>
          </cell>
          <cell r="H60">
            <v>0</v>
          </cell>
        </row>
        <row r="61">
          <cell r="G61" t="str">
            <v>C+</v>
          </cell>
          <cell r="H61">
            <v>0</v>
          </cell>
        </row>
        <row r="62">
          <cell r="G62" t="str">
            <v>C</v>
          </cell>
          <cell r="H62">
            <v>0</v>
          </cell>
        </row>
        <row r="63">
          <cell r="G63" t="str">
            <v>D</v>
          </cell>
          <cell r="H63">
            <v>0</v>
          </cell>
        </row>
        <row r="64">
          <cell r="G64" t="str">
            <v>F</v>
          </cell>
          <cell r="H64">
            <v>42</v>
          </cell>
        </row>
        <row r="65">
          <cell r="G65" t="str">
            <v>I</v>
          </cell>
          <cell r="H65">
            <v>0</v>
          </cell>
        </row>
        <row r="66">
          <cell r="G66" t="str">
            <v>W</v>
          </cell>
          <cell r="H6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92"/>
  <sheetViews>
    <sheetView tabSelected="1" topLeftCell="A56" zoomScaleNormal="100" workbookViewId="0">
      <selection activeCell="I81" sqref="I81"/>
    </sheetView>
  </sheetViews>
  <sheetFormatPr defaultColWidth="14.375" defaultRowHeight="14.25"/>
  <cols>
    <col min="1" max="1" width="4.375" customWidth="1"/>
    <col min="2" max="2" width="15" customWidth="1"/>
    <col min="3" max="3" width="24.875" customWidth="1"/>
    <col min="4" max="4" width="14.75" customWidth="1"/>
    <col min="5" max="5" width="16.875" customWidth="1"/>
    <col min="6" max="8" width="15.125" customWidth="1"/>
    <col min="9" max="9" width="12.375" customWidth="1"/>
    <col min="10" max="12" width="15.125" customWidth="1"/>
    <col min="13" max="13" width="19.625" customWidth="1"/>
    <col min="14" max="14" width="8.375" customWidth="1"/>
    <col min="15" max="15" width="7.125" customWidth="1"/>
    <col min="16" max="16" width="11.75" customWidth="1"/>
    <col min="17" max="17" width="13.25" customWidth="1"/>
    <col min="18" max="18" width="6.875" customWidth="1"/>
    <col min="19" max="19" width="12.125" customWidth="1"/>
    <col min="20" max="20" width="7" customWidth="1"/>
    <col min="21" max="21" width="8.125" customWidth="1"/>
    <col min="22" max="22" width="8.375" customWidth="1"/>
    <col min="23" max="23" width="32.75" customWidth="1"/>
    <col min="24" max="24" width="15.875" customWidth="1"/>
    <col min="25" max="27" width="9.1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193" t="s">
        <v>1</v>
      </c>
      <c r="I2" s="194"/>
      <c r="J2" s="195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6" t="s">
        <v>3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4</v>
      </c>
      <c r="H3" s="193" t="s">
        <v>5</v>
      </c>
      <c r="I3" s="194"/>
      <c r="J3" s="195"/>
      <c r="K3" s="4" t="s">
        <v>6</v>
      </c>
      <c r="L3" s="5" t="s">
        <v>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8</v>
      </c>
      <c r="H4" s="193">
        <v>3</v>
      </c>
      <c r="I4" s="194"/>
      <c r="J4" s="195"/>
      <c r="K4" s="7"/>
      <c r="L4" s="8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193" t="s">
        <v>10</v>
      </c>
      <c r="I5" s="194"/>
      <c r="J5" s="195"/>
      <c r="K5" s="7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96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11</v>
      </c>
      <c r="Q8" s="12" t="s">
        <v>12</v>
      </c>
      <c r="R8" s="12" t="s">
        <v>13</v>
      </c>
      <c r="S8" s="12" t="s">
        <v>14</v>
      </c>
      <c r="T8" s="13" t="s">
        <v>15</v>
      </c>
      <c r="U8" s="14" t="s">
        <v>16</v>
      </c>
      <c r="V8" s="14" t="s">
        <v>17</v>
      </c>
      <c r="W8" s="1"/>
      <c r="X8" s="1"/>
      <c r="Y8" s="1"/>
      <c r="Z8" s="1"/>
      <c r="AA8" s="1"/>
    </row>
    <row r="9" spans="1:27" ht="31.5" customHeight="1">
      <c r="A9" s="15" t="s">
        <v>18</v>
      </c>
      <c r="B9" s="16" t="s">
        <v>19</v>
      </c>
      <c r="C9" s="17" t="s">
        <v>20</v>
      </c>
      <c r="D9" s="13" t="str">
        <f>CONCATENATE("Attendance (",GradeSheet!$C$72, ")")</f>
        <v>Attendance (0)</v>
      </c>
      <c r="E9" s="13" t="str">
        <f>CONCATENATE("Performance (",GradeSheet!$C$73, ")")</f>
        <v>Performance (0)</v>
      </c>
      <c r="F9" s="18" t="str">
        <f>CONCATENATE("Quiz (",GradeSheet!$C$74, ")")</f>
        <v>Quiz (0)</v>
      </c>
      <c r="G9" s="13" t="str">
        <f>CONCATENATE("Assignment (",GradeSheet!$C$75, ")")</f>
        <v>Assignment (0)</v>
      </c>
      <c r="H9" s="18" t="str">
        <f>CONCATENATE("Midterm (",GradeSheet!$C$76, ")")</f>
        <v>Midterm (0)</v>
      </c>
      <c r="I9" s="16" t="str">
        <f>CONCATENATE("Project (",GradeSheet!$C$77, ")")</f>
        <v>Project (0)</v>
      </c>
      <c r="J9" s="16" t="str">
        <f>CONCATENATE("Final (",GradeSheet!$C$78, ")")</f>
        <v>Final (0)</v>
      </c>
      <c r="K9" s="13" t="s">
        <v>21</v>
      </c>
      <c r="L9" s="13" t="s">
        <v>22</v>
      </c>
      <c r="M9" s="13" t="s">
        <v>23</v>
      </c>
      <c r="N9" s="19"/>
      <c r="O9" s="19"/>
      <c r="P9" s="20">
        <f>C72</f>
        <v>0</v>
      </c>
      <c r="Q9" s="20">
        <f>C73</f>
        <v>0</v>
      </c>
      <c r="R9" s="20">
        <f>C74</f>
        <v>0</v>
      </c>
      <c r="S9" s="20">
        <f>C75</f>
        <v>0</v>
      </c>
      <c r="T9" s="20">
        <f>C76</f>
        <v>0</v>
      </c>
      <c r="U9" s="20">
        <f>C77</f>
        <v>0</v>
      </c>
      <c r="V9" s="20">
        <v>40</v>
      </c>
      <c r="W9" s="21" t="s">
        <v>20</v>
      </c>
      <c r="X9" s="16" t="s">
        <v>19</v>
      </c>
      <c r="Y9" s="19"/>
      <c r="Z9" s="19"/>
      <c r="AA9" s="19"/>
    </row>
    <row r="10" spans="1:27" ht="15.75" customHeight="1">
      <c r="A10" s="22">
        <v>1</v>
      </c>
      <c r="B10" s="23">
        <f t="shared" ref="B10:B69" si="0">X10</f>
        <v>0</v>
      </c>
      <c r="C10" s="24">
        <f t="shared" ref="C10:C69" si="1">W10</f>
        <v>0</v>
      </c>
      <c r="D10" s="25">
        <f t="shared" ref="D10:J10" si="2">P10</f>
        <v>0</v>
      </c>
      <c r="E10" s="26">
        <f t="shared" si="2"/>
        <v>0</v>
      </c>
      <c r="F10" s="27">
        <f t="shared" si="2"/>
        <v>0</v>
      </c>
      <c r="G10" s="27">
        <f t="shared" si="2"/>
        <v>0</v>
      </c>
      <c r="H10" s="27">
        <f t="shared" si="2"/>
        <v>0</v>
      </c>
      <c r="I10" s="28">
        <f t="shared" si="2"/>
        <v>0</v>
      </c>
      <c r="J10" s="28">
        <f t="shared" si="2"/>
        <v>0</v>
      </c>
      <c r="K10" s="28">
        <f t="shared" ref="K10:K69" si="3">ROUND(SUM(D10:J10),0)</f>
        <v>0</v>
      </c>
      <c r="L10" s="29">
        <f t="shared" ref="L10:L69" si="4">K10/100</f>
        <v>0</v>
      </c>
      <c r="M10" s="6" t="str">
        <f>VLOOKUP(K10,GradingPolicy!$B$2:$C$11,2)</f>
        <v>F (Fail)</v>
      </c>
      <c r="N10" s="1"/>
      <c r="O10" s="1"/>
      <c r="P10" s="30"/>
      <c r="Q10" s="31"/>
      <c r="R10" s="30"/>
      <c r="S10" s="30"/>
      <c r="T10" s="30"/>
      <c r="U10" s="30"/>
      <c r="V10" s="30"/>
      <c r="W10" s="32"/>
      <c r="X10" s="33"/>
      <c r="Y10" s="1"/>
      <c r="Z10" s="1"/>
      <c r="AA10" s="1"/>
    </row>
    <row r="11" spans="1:27" ht="15.75" customHeight="1">
      <c r="A11" s="34">
        <v>2</v>
      </c>
      <c r="B11" s="35">
        <f t="shared" si="0"/>
        <v>0</v>
      </c>
      <c r="C11" s="24">
        <f t="shared" si="1"/>
        <v>0</v>
      </c>
      <c r="D11" s="25">
        <f t="shared" ref="D11:J11" si="5">P11</f>
        <v>0</v>
      </c>
      <c r="E11" s="26">
        <f t="shared" si="5"/>
        <v>0</v>
      </c>
      <c r="F11" s="27">
        <f t="shared" si="5"/>
        <v>0</v>
      </c>
      <c r="G11" s="27">
        <f t="shared" si="5"/>
        <v>0</v>
      </c>
      <c r="H11" s="27">
        <f t="shared" si="5"/>
        <v>0</v>
      </c>
      <c r="I11" s="28">
        <f t="shared" si="5"/>
        <v>0</v>
      </c>
      <c r="J11" s="28">
        <f t="shared" si="5"/>
        <v>0</v>
      </c>
      <c r="K11" s="28">
        <f t="shared" si="3"/>
        <v>0</v>
      </c>
      <c r="L11" s="29">
        <f t="shared" si="4"/>
        <v>0</v>
      </c>
      <c r="M11" s="6" t="str">
        <f>VLOOKUP(K11,GradingPolicy!$B$2:$C$11,2)</f>
        <v>F (Fail)</v>
      </c>
      <c r="N11" s="1"/>
      <c r="O11" s="1"/>
      <c r="P11" s="30"/>
      <c r="Q11" s="31"/>
      <c r="R11" s="30"/>
      <c r="S11" s="30"/>
      <c r="T11" s="30"/>
      <c r="U11" s="30"/>
      <c r="V11" s="30"/>
      <c r="W11" s="32"/>
      <c r="X11" s="36"/>
      <c r="Y11" s="1"/>
      <c r="Z11" s="1"/>
      <c r="AA11" s="1"/>
    </row>
    <row r="12" spans="1:27" ht="15.75" customHeight="1">
      <c r="A12" s="22">
        <v>3</v>
      </c>
      <c r="B12" s="35">
        <f t="shared" si="0"/>
        <v>0</v>
      </c>
      <c r="C12" s="24">
        <f t="shared" si="1"/>
        <v>0</v>
      </c>
      <c r="D12" s="25">
        <f t="shared" ref="D12:J12" si="6">P12</f>
        <v>0</v>
      </c>
      <c r="E12" s="26">
        <f t="shared" si="6"/>
        <v>0</v>
      </c>
      <c r="F12" s="27">
        <f t="shared" si="6"/>
        <v>0</v>
      </c>
      <c r="G12" s="27">
        <f t="shared" si="6"/>
        <v>0</v>
      </c>
      <c r="H12" s="27">
        <f t="shared" si="6"/>
        <v>0</v>
      </c>
      <c r="I12" s="28">
        <f t="shared" si="6"/>
        <v>0</v>
      </c>
      <c r="J12" s="28">
        <f t="shared" si="6"/>
        <v>0</v>
      </c>
      <c r="K12" s="28">
        <f t="shared" si="3"/>
        <v>0</v>
      </c>
      <c r="L12" s="29">
        <f t="shared" si="4"/>
        <v>0</v>
      </c>
      <c r="M12" s="6" t="str">
        <f>VLOOKUP(K12,GradingPolicy!$B$2:$C$11,2)</f>
        <v>F (Fail)</v>
      </c>
      <c r="N12" s="1"/>
      <c r="O12" s="1"/>
      <c r="P12" s="30"/>
      <c r="Q12" s="31"/>
      <c r="R12" s="30"/>
      <c r="S12" s="30"/>
      <c r="T12" s="30"/>
      <c r="U12" s="30"/>
      <c r="V12" s="30"/>
      <c r="W12" s="37"/>
      <c r="X12" s="35"/>
      <c r="Y12" s="1"/>
      <c r="Z12" s="1"/>
      <c r="AA12" s="1"/>
    </row>
    <row r="13" spans="1:27" ht="15.75" customHeight="1">
      <c r="A13" s="34">
        <v>4</v>
      </c>
      <c r="B13" s="35">
        <f t="shared" si="0"/>
        <v>0</v>
      </c>
      <c r="C13" s="24">
        <f t="shared" si="1"/>
        <v>0</v>
      </c>
      <c r="D13" s="25">
        <f t="shared" ref="D13:J13" si="7">P13</f>
        <v>0</v>
      </c>
      <c r="E13" s="26">
        <f t="shared" si="7"/>
        <v>0</v>
      </c>
      <c r="F13" s="27">
        <f t="shared" si="7"/>
        <v>0</v>
      </c>
      <c r="G13" s="27">
        <f t="shared" si="7"/>
        <v>0</v>
      </c>
      <c r="H13" s="27">
        <f t="shared" si="7"/>
        <v>0</v>
      </c>
      <c r="I13" s="28">
        <f t="shared" si="7"/>
        <v>0</v>
      </c>
      <c r="J13" s="28">
        <f t="shared" si="7"/>
        <v>0</v>
      </c>
      <c r="K13" s="28">
        <f t="shared" si="3"/>
        <v>0</v>
      </c>
      <c r="L13" s="29">
        <f t="shared" si="4"/>
        <v>0</v>
      </c>
      <c r="M13" s="6" t="str">
        <f>VLOOKUP(K13,GradingPolicy!$B$2:$C$11,2)</f>
        <v>F (Fail)</v>
      </c>
      <c r="N13" s="1"/>
      <c r="O13" s="1"/>
      <c r="P13" s="30"/>
      <c r="Q13" s="31"/>
      <c r="R13" s="30"/>
      <c r="S13" s="30"/>
      <c r="T13" s="30"/>
      <c r="U13" s="30"/>
      <c r="V13" s="30"/>
      <c r="W13" s="37"/>
      <c r="X13" s="35"/>
      <c r="Y13" s="1"/>
      <c r="Z13" s="1"/>
      <c r="AA13" s="1"/>
    </row>
    <row r="14" spans="1:27" ht="15.75" customHeight="1">
      <c r="A14" s="22">
        <v>5</v>
      </c>
      <c r="B14" s="35">
        <f t="shared" si="0"/>
        <v>0</v>
      </c>
      <c r="C14" s="24">
        <f t="shared" si="1"/>
        <v>0</v>
      </c>
      <c r="D14" s="25">
        <f t="shared" ref="D14:J14" si="8">P14</f>
        <v>0</v>
      </c>
      <c r="E14" s="26">
        <f t="shared" si="8"/>
        <v>0</v>
      </c>
      <c r="F14" s="27">
        <f t="shared" si="8"/>
        <v>0</v>
      </c>
      <c r="G14" s="27">
        <f t="shared" si="8"/>
        <v>0</v>
      </c>
      <c r="H14" s="27">
        <f t="shared" si="8"/>
        <v>0</v>
      </c>
      <c r="I14" s="28">
        <f t="shared" si="8"/>
        <v>0</v>
      </c>
      <c r="J14" s="28">
        <f t="shared" si="8"/>
        <v>0</v>
      </c>
      <c r="K14" s="28">
        <f t="shared" si="3"/>
        <v>0</v>
      </c>
      <c r="L14" s="29">
        <f t="shared" si="4"/>
        <v>0</v>
      </c>
      <c r="M14" s="6" t="str">
        <f>VLOOKUP(K14,GradingPolicy!$B$2:$C$11,2)</f>
        <v>F (Fail)</v>
      </c>
      <c r="N14" s="1"/>
      <c r="O14" s="1"/>
      <c r="P14" s="30"/>
      <c r="Q14" s="31"/>
      <c r="R14" s="30"/>
      <c r="S14" s="30"/>
      <c r="T14" s="30"/>
      <c r="U14" s="30"/>
      <c r="V14" s="30"/>
      <c r="W14" s="37"/>
      <c r="X14" s="35"/>
      <c r="Y14" s="1"/>
      <c r="Z14" s="1"/>
      <c r="AA14" s="1"/>
    </row>
    <row r="15" spans="1:27" ht="15.75" customHeight="1">
      <c r="A15" s="34">
        <v>6</v>
      </c>
      <c r="B15" s="35">
        <f t="shared" si="0"/>
        <v>0</v>
      </c>
      <c r="C15" s="24">
        <f t="shared" si="1"/>
        <v>0</v>
      </c>
      <c r="D15" s="25">
        <f t="shared" ref="D15:J15" si="9">P15</f>
        <v>0</v>
      </c>
      <c r="E15" s="26">
        <f t="shared" si="9"/>
        <v>0</v>
      </c>
      <c r="F15" s="27">
        <f t="shared" si="9"/>
        <v>0</v>
      </c>
      <c r="G15" s="27">
        <f t="shared" si="9"/>
        <v>0</v>
      </c>
      <c r="H15" s="27">
        <f t="shared" si="9"/>
        <v>0</v>
      </c>
      <c r="I15" s="28">
        <f t="shared" si="9"/>
        <v>0</v>
      </c>
      <c r="J15" s="28">
        <f t="shared" si="9"/>
        <v>0</v>
      </c>
      <c r="K15" s="28">
        <f t="shared" si="3"/>
        <v>0</v>
      </c>
      <c r="L15" s="29">
        <f t="shared" si="4"/>
        <v>0</v>
      </c>
      <c r="M15" s="6" t="str">
        <f>VLOOKUP(K15,GradingPolicy!$B$2:$C$11,2)</f>
        <v>F (Fail)</v>
      </c>
      <c r="N15" s="1"/>
      <c r="O15" s="1"/>
      <c r="P15" s="30"/>
      <c r="Q15" s="31"/>
      <c r="R15" s="30"/>
      <c r="S15" s="30"/>
      <c r="T15" s="30"/>
      <c r="U15" s="30"/>
      <c r="V15" s="30"/>
      <c r="W15" s="37"/>
      <c r="X15" s="35"/>
      <c r="Y15" s="1"/>
      <c r="Z15" s="1"/>
      <c r="AA15" s="1"/>
    </row>
    <row r="16" spans="1:27" ht="15.75" customHeight="1">
      <c r="A16" s="22">
        <v>7</v>
      </c>
      <c r="B16" s="35">
        <f t="shared" si="0"/>
        <v>0</v>
      </c>
      <c r="C16" s="24">
        <f t="shared" si="1"/>
        <v>0</v>
      </c>
      <c r="D16" s="25">
        <f t="shared" ref="D16:J16" si="10">P16</f>
        <v>0</v>
      </c>
      <c r="E16" s="26">
        <f t="shared" si="10"/>
        <v>0</v>
      </c>
      <c r="F16" s="27">
        <f t="shared" si="10"/>
        <v>0</v>
      </c>
      <c r="G16" s="27">
        <f t="shared" si="10"/>
        <v>0</v>
      </c>
      <c r="H16" s="27">
        <f t="shared" si="10"/>
        <v>0</v>
      </c>
      <c r="I16" s="28">
        <f t="shared" si="10"/>
        <v>0</v>
      </c>
      <c r="J16" s="28">
        <f t="shared" si="10"/>
        <v>0</v>
      </c>
      <c r="K16" s="28">
        <f t="shared" si="3"/>
        <v>0</v>
      </c>
      <c r="L16" s="29">
        <f t="shared" si="4"/>
        <v>0</v>
      </c>
      <c r="M16" s="6" t="str">
        <f>VLOOKUP(K16,GradingPolicy!$B$2:$C$11,2)</f>
        <v>F (Fail)</v>
      </c>
      <c r="N16" s="1"/>
      <c r="O16" s="1"/>
      <c r="P16" s="30"/>
      <c r="Q16" s="31"/>
      <c r="R16" s="30"/>
      <c r="S16" s="30"/>
      <c r="T16" s="30"/>
      <c r="U16" s="30"/>
      <c r="V16" s="30"/>
      <c r="W16" s="37"/>
      <c r="X16" s="35"/>
      <c r="Y16" s="1"/>
      <c r="Z16" s="1"/>
      <c r="AA16" s="1"/>
    </row>
    <row r="17" spans="1:27" ht="15.75" customHeight="1">
      <c r="A17" s="34">
        <v>8</v>
      </c>
      <c r="B17" s="35">
        <f t="shared" si="0"/>
        <v>0</v>
      </c>
      <c r="C17" s="24">
        <f t="shared" si="1"/>
        <v>0</v>
      </c>
      <c r="D17" s="25">
        <f t="shared" ref="D17:J17" si="11">P17</f>
        <v>0</v>
      </c>
      <c r="E17" s="26">
        <f t="shared" si="11"/>
        <v>0</v>
      </c>
      <c r="F17" s="27">
        <f t="shared" si="11"/>
        <v>0</v>
      </c>
      <c r="G17" s="27">
        <f t="shared" si="11"/>
        <v>0</v>
      </c>
      <c r="H17" s="27">
        <f t="shared" si="11"/>
        <v>0</v>
      </c>
      <c r="I17" s="28">
        <f t="shared" si="11"/>
        <v>0</v>
      </c>
      <c r="J17" s="28">
        <f t="shared" si="11"/>
        <v>0</v>
      </c>
      <c r="K17" s="28">
        <f t="shared" si="3"/>
        <v>0</v>
      </c>
      <c r="L17" s="29">
        <f t="shared" si="4"/>
        <v>0</v>
      </c>
      <c r="M17" s="6" t="str">
        <f>VLOOKUP(K17,GradingPolicy!$B$2:$C$11,2)</f>
        <v>F (Fail)</v>
      </c>
      <c r="N17" s="1"/>
      <c r="O17" s="1"/>
      <c r="P17" s="30"/>
      <c r="Q17" s="31"/>
      <c r="R17" s="30"/>
      <c r="S17" s="30"/>
      <c r="T17" s="30"/>
      <c r="U17" s="30"/>
      <c r="V17" s="30"/>
      <c r="W17" s="37"/>
      <c r="X17" s="35"/>
      <c r="Y17" s="1"/>
      <c r="Z17" s="1"/>
      <c r="AA17" s="1"/>
    </row>
    <row r="18" spans="1:27" ht="15.75" customHeight="1">
      <c r="A18" s="22">
        <v>9</v>
      </c>
      <c r="B18" s="35">
        <f t="shared" si="0"/>
        <v>0</v>
      </c>
      <c r="C18" s="24">
        <f t="shared" si="1"/>
        <v>0</v>
      </c>
      <c r="D18" s="25">
        <f t="shared" ref="D18:J18" si="12">P18</f>
        <v>0</v>
      </c>
      <c r="E18" s="26">
        <f t="shared" si="12"/>
        <v>0</v>
      </c>
      <c r="F18" s="27">
        <f t="shared" si="12"/>
        <v>0</v>
      </c>
      <c r="G18" s="27">
        <f t="shared" si="12"/>
        <v>0</v>
      </c>
      <c r="H18" s="27">
        <f t="shared" si="12"/>
        <v>0</v>
      </c>
      <c r="I18" s="28">
        <f t="shared" si="12"/>
        <v>0</v>
      </c>
      <c r="J18" s="28">
        <f t="shared" si="12"/>
        <v>0</v>
      </c>
      <c r="K18" s="28">
        <f t="shared" si="3"/>
        <v>0</v>
      </c>
      <c r="L18" s="29">
        <f t="shared" si="4"/>
        <v>0</v>
      </c>
      <c r="M18" s="6" t="str">
        <f>VLOOKUP(K18,GradingPolicy!$B$2:$C$11,2)</f>
        <v>F (Fail)</v>
      </c>
      <c r="N18" s="1"/>
      <c r="O18" s="1"/>
      <c r="P18" s="30"/>
      <c r="Q18" s="31"/>
      <c r="R18" s="30"/>
      <c r="S18" s="30"/>
      <c r="T18" s="30"/>
      <c r="U18" s="30"/>
      <c r="V18" s="30"/>
      <c r="W18" s="37"/>
      <c r="X18" s="35"/>
      <c r="Y18" s="1"/>
      <c r="Z18" s="1"/>
      <c r="AA18" s="1"/>
    </row>
    <row r="19" spans="1:27" ht="15.75" customHeight="1">
      <c r="A19" s="34">
        <v>10</v>
      </c>
      <c r="B19" s="23">
        <f t="shared" si="0"/>
        <v>0</v>
      </c>
      <c r="C19" s="24">
        <f t="shared" si="1"/>
        <v>0</v>
      </c>
      <c r="D19" s="25">
        <f t="shared" ref="D19:J19" si="13">P19</f>
        <v>0</v>
      </c>
      <c r="E19" s="26">
        <f t="shared" si="13"/>
        <v>0</v>
      </c>
      <c r="F19" s="27">
        <f t="shared" si="13"/>
        <v>0</v>
      </c>
      <c r="G19" s="27">
        <f t="shared" si="13"/>
        <v>0</v>
      </c>
      <c r="H19" s="27">
        <f t="shared" si="13"/>
        <v>0</v>
      </c>
      <c r="I19" s="28">
        <f t="shared" si="13"/>
        <v>0</v>
      </c>
      <c r="J19" s="28">
        <f t="shared" si="13"/>
        <v>0</v>
      </c>
      <c r="K19" s="28">
        <f t="shared" si="3"/>
        <v>0</v>
      </c>
      <c r="L19" s="29">
        <f t="shared" si="4"/>
        <v>0</v>
      </c>
      <c r="M19" s="6" t="str">
        <f>VLOOKUP(K19,GradingPolicy!$B$2:$C$11,2)</f>
        <v>F (Fail)</v>
      </c>
      <c r="N19" s="1"/>
      <c r="O19" s="1"/>
      <c r="P19" s="30"/>
      <c r="Q19" s="31"/>
      <c r="R19" s="30"/>
      <c r="S19" s="30"/>
      <c r="T19" s="30"/>
      <c r="U19" s="30"/>
      <c r="V19" s="30"/>
      <c r="W19" s="37"/>
      <c r="X19" s="38"/>
      <c r="Y19" s="1"/>
      <c r="Z19" s="1"/>
      <c r="AA19" s="1"/>
    </row>
    <row r="20" spans="1:27" ht="15.75" customHeight="1">
      <c r="A20" s="22">
        <v>11</v>
      </c>
      <c r="B20" s="35">
        <f t="shared" si="0"/>
        <v>0</v>
      </c>
      <c r="C20" s="24">
        <f t="shared" si="1"/>
        <v>0</v>
      </c>
      <c r="D20" s="25">
        <f t="shared" ref="D20:J20" si="14">P20</f>
        <v>0</v>
      </c>
      <c r="E20" s="26">
        <f t="shared" si="14"/>
        <v>0</v>
      </c>
      <c r="F20" s="27">
        <f t="shared" si="14"/>
        <v>0</v>
      </c>
      <c r="G20" s="27">
        <f t="shared" si="14"/>
        <v>0</v>
      </c>
      <c r="H20" s="27">
        <f t="shared" si="14"/>
        <v>0</v>
      </c>
      <c r="I20" s="28">
        <f t="shared" si="14"/>
        <v>0</v>
      </c>
      <c r="J20" s="28">
        <f t="shared" si="14"/>
        <v>0</v>
      </c>
      <c r="K20" s="28">
        <f t="shared" si="3"/>
        <v>0</v>
      </c>
      <c r="L20" s="29">
        <f t="shared" si="4"/>
        <v>0</v>
      </c>
      <c r="M20" s="6" t="str">
        <f>VLOOKUP(K20,GradingPolicy!$B$2:$C$11,2)</f>
        <v>F (Fail)</v>
      </c>
      <c r="N20" s="1"/>
      <c r="O20" s="1"/>
      <c r="P20" s="30"/>
      <c r="Q20" s="31"/>
      <c r="R20" s="30"/>
      <c r="S20" s="30"/>
      <c r="T20" s="30"/>
      <c r="U20" s="30"/>
      <c r="V20" s="30"/>
      <c r="W20" s="37"/>
      <c r="X20" s="35"/>
      <c r="Y20" s="1"/>
      <c r="Z20" s="1"/>
      <c r="AA20" s="1"/>
    </row>
    <row r="21" spans="1:27" ht="15.75" customHeight="1">
      <c r="A21" s="34">
        <v>12</v>
      </c>
      <c r="B21" s="35">
        <f t="shared" si="0"/>
        <v>0</v>
      </c>
      <c r="C21" s="24">
        <f t="shared" si="1"/>
        <v>0</v>
      </c>
      <c r="D21" s="25">
        <f t="shared" ref="D21:J21" si="15">P21</f>
        <v>0</v>
      </c>
      <c r="E21" s="26">
        <f t="shared" si="15"/>
        <v>0</v>
      </c>
      <c r="F21" s="27">
        <f t="shared" si="15"/>
        <v>0</v>
      </c>
      <c r="G21" s="27">
        <f t="shared" si="15"/>
        <v>0</v>
      </c>
      <c r="H21" s="27">
        <f t="shared" si="15"/>
        <v>0</v>
      </c>
      <c r="I21" s="28">
        <f t="shared" si="15"/>
        <v>0</v>
      </c>
      <c r="J21" s="28">
        <f t="shared" si="15"/>
        <v>0</v>
      </c>
      <c r="K21" s="28">
        <f t="shared" si="3"/>
        <v>0</v>
      </c>
      <c r="L21" s="29">
        <f t="shared" si="4"/>
        <v>0</v>
      </c>
      <c r="M21" s="6" t="str">
        <f>VLOOKUP(K21,GradingPolicy!$B$2:$C$11,2)</f>
        <v>F (Fail)</v>
      </c>
      <c r="N21" s="1"/>
      <c r="O21" s="1"/>
      <c r="P21" s="30"/>
      <c r="Q21" s="31"/>
      <c r="R21" s="30"/>
      <c r="S21" s="30"/>
      <c r="T21" s="30"/>
      <c r="U21" s="30"/>
      <c r="V21" s="30"/>
      <c r="W21" s="37"/>
      <c r="X21" s="35"/>
      <c r="Y21" s="1"/>
      <c r="Z21" s="1"/>
      <c r="AA21" s="1"/>
    </row>
    <row r="22" spans="1:27" ht="15.75" customHeight="1">
      <c r="A22" s="22">
        <v>13</v>
      </c>
      <c r="B22" s="35">
        <f t="shared" si="0"/>
        <v>0</v>
      </c>
      <c r="C22" s="24">
        <f t="shared" si="1"/>
        <v>0</v>
      </c>
      <c r="D22" s="25">
        <f t="shared" ref="D22:J22" si="16">P22</f>
        <v>0</v>
      </c>
      <c r="E22" s="26">
        <f t="shared" si="16"/>
        <v>0</v>
      </c>
      <c r="F22" s="27">
        <f t="shared" si="16"/>
        <v>0</v>
      </c>
      <c r="G22" s="27">
        <f t="shared" si="16"/>
        <v>0</v>
      </c>
      <c r="H22" s="27">
        <f t="shared" si="16"/>
        <v>0</v>
      </c>
      <c r="I22" s="28">
        <f t="shared" si="16"/>
        <v>0</v>
      </c>
      <c r="J22" s="28">
        <f t="shared" si="16"/>
        <v>0</v>
      </c>
      <c r="K22" s="28">
        <f t="shared" si="3"/>
        <v>0</v>
      </c>
      <c r="L22" s="29">
        <f t="shared" si="4"/>
        <v>0</v>
      </c>
      <c r="M22" s="6" t="str">
        <f>VLOOKUP(K22,GradingPolicy!$B$2:$C$11,2)</f>
        <v>F (Fail)</v>
      </c>
      <c r="N22" s="1"/>
      <c r="O22" s="1"/>
      <c r="P22" s="30"/>
      <c r="Q22" s="31"/>
      <c r="R22" s="30"/>
      <c r="S22" s="30"/>
      <c r="T22" s="30"/>
      <c r="U22" s="30"/>
      <c r="V22" s="30"/>
      <c r="W22" s="37"/>
      <c r="X22" s="35"/>
      <c r="Y22" s="1"/>
      <c r="Z22" s="1"/>
      <c r="AA22" s="1"/>
    </row>
    <row r="23" spans="1:27" ht="15.75" customHeight="1">
      <c r="A23" s="34">
        <v>14</v>
      </c>
      <c r="B23" s="35">
        <f t="shared" si="0"/>
        <v>0</v>
      </c>
      <c r="C23" s="24">
        <f t="shared" si="1"/>
        <v>0</v>
      </c>
      <c r="D23" s="25">
        <f t="shared" ref="D23:J23" si="17">P23</f>
        <v>0</v>
      </c>
      <c r="E23" s="26">
        <f t="shared" si="17"/>
        <v>0</v>
      </c>
      <c r="F23" s="27">
        <f t="shared" si="17"/>
        <v>0</v>
      </c>
      <c r="G23" s="27">
        <f t="shared" si="17"/>
        <v>0</v>
      </c>
      <c r="H23" s="27">
        <f t="shared" si="17"/>
        <v>0</v>
      </c>
      <c r="I23" s="28">
        <f t="shared" si="17"/>
        <v>0</v>
      </c>
      <c r="J23" s="28">
        <f t="shared" si="17"/>
        <v>0</v>
      </c>
      <c r="K23" s="28">
        <f t="shared" si="3"/>
        <v>0</v>
      </c>
      <c r="L23" s="29">
        <f t="shared" si="4"/>
        <v>0</v>
      </c>
      <c r="M23" s="6" t="str">
        <f>VLOOKUP(K23,GradingPolicy!$B$2:$C$11,2)</f>
        <v>F (Fail)</v>
      </c>
      <c r="N23" s="1"/>
      <c r="O23" s="1"/>
      <c r="P23" s="30"/>
      <c r="Q23" s="31"/>
      <c r="R23" s="30"/>
      <c r="S23" s="30"/>
      <c r="T23" s="30"/>
      <c r="U23" s="30"/>
      <c r="V23" s="30"/>
      <c r="W23" s="37"/>
      <c r="X23" s="35"/>
      <c r="Y23" s="1"/>
      <c r="Z23" s="1"/>
      <c r="AA23" s="1"/>
    </row>
    <row r="24" spans="1:27" ht="15.75" customHeight="1">
      <c r="A24" s="22">
        <v>15</v>
      </c>
      <c r="B24" s="35">
        <f t="shared" si="0"/>
        <v>0</v>
      </c>
      <c r="C24" s="24">
        <f t="shared" si="1"/>
        <v>0</v>
      </c>
      <c r="D24" s="25">
        <f t="shared" ref="D24:J24" si="18">P24</f>
        <v>0</v>
      </c>
      <c r="E24" s="26">
        <f t="shared" si="18"/>
        <v>0</v>
      </c>
      <c r="F24" s="27">
        <f t="shared" si="18"/>
        <v>0</v>
      </c>
      <c r="G24" s="27">
        <f t="shared" si="18"/>
        <v>0</v>
      </c>
      <c r="H24" s="27">
        <f t="shared" si="18"/>
        <v>0</v>
      </c>
      <c r="I24" s="28">
        <f t="shared" si="18"/>
        <v>0</v>
      </c>
      <c r="J24" s="28">
        <f t="shared" si="18"/>
        <v>0</v>
      </c>
      <c r="K24" s="28">
        <f t="shared" si="3"/>
        <v>0</v>
      </c>
      <c r="L24" s="29">
        <f t="shared" si="4"/>
        <v>0</v>
      </c>
      <c r="M24" s="6" t="str">
        <f>VLOOKUP(K24,GradingPolicy!$B$2:$C$11,2)</f>
        <v>F (Fail)</v>
      </c>
      <c r="N24" s="1"/>
      <c r="O24" s="1"/>
      <c r="P24" s="30"/>
      <c r="Q24" s="31"/>
      <c r="R24" s="30"/>
      <c r="S24" s="30"/>
      <c r="T24" s="30"/>
      <c r="U24" s="30"/>
      <c r="V24" s="30"/>
      <c r="W24" s="37"/>
      <c r="X24" s="35"/>
      <c r="Y24" s="1"/>
      <c r="Z24" s="1"/>
      <c r="AA24" s="1"/>
    </row>
    <row r="25" spans="1:27" ht="15.75" customHeight="1">
      <c r="A25" s="34">
        <v>16</v>
      </c>
      <c r="B25" s="35">
        <f t="shared" si="0"/>
        <v>0</v>
      </c>
      <c r="C25" s="24">
        <f t="shared" si="1"/>
        <v>0</v>
      </c>
      <c r="D25" s="25">
        <f t="shared" ref="D25:J25" si="19">P25</f>
        <v>0</v>
      </c>
      <c r="E25" s="26">
        <f t="shared" si="19"/>
        <v>0</v>
      </c>
      <c r="F25" s="27">
        <f t="shared" si="19"/>
        <v>0</v>
      </c>
      <c r="G25" s="27">
        <f t="shared" si="19"/>
        <v>0</v>
      </c>
      <c r="H25" s="27">
        <f t="shared" si="19"/>
        <v>0</v>
      </c>
      <c r="I25" s="28">
        <f t="shared" si="19"/>
        <v>0</v>
      </c>
      <c r="J25" s="28">
        <f t="shared" si="19"/>
        <v>0</v>
      </c>
      <c r="K25" s="28">
        <f t="shared" si="3"/>
        <v>0</v>
      </c>
      <c r="L25" s="29">
        <f t="shared" si="4"/>
        <v>0</v>
      </c>
      <c r="M25" s="6" t="str">
        <f>VLOOKUP(K25,GradingPolicy!$B$2:$C$11,2)</f>
        <v>F (Fail)</v>
      </c>
      <c r="N25" s="1"/>
      <c r="O25" s="1"/>
      <c r="P25" s="30"/>
      <c r="Q25" s="31"/>
      <c r="R25" s="30"/>
      <c r="S25" s="30"/>
      <c r="T25" s="30"/>
      <c r="U25" s="30"/>
      <c r="V25" s="30"/>
      <c r="W25" s="37"/>
      <c r="X25" s="35"/>
      <c r="Y25" s="1"/>
      <c r="Z25" s="1"/>
      <c r="AA25" s="1"/>
    </row>
    <row r="26" spans="1:27" ht="15.75" customHeight="1">
      <c r="A26" s="22">
        <v>17</v>
      </c>
      <c r="B26" s="35">
        <f t="shared" si="0"/>
        <v>0</v>
      </c>
      <c r="C26" s="24">
        <f t="shared" si="1"/>
        <v>0</v>
      </c>
      <c r="D26" s="25">
        <f t="shared" ref="D26:J26" si="20">P26</f>
        <v>0</v>
      </c>
      <c r="E26" s="26">
        <f t="shared" si="20"/>
        <v>0</v>
      </c>
      <c r="F26" s="27">
        <f t="shared" si="20"/>
        <v>0</v>
      </c>
      <c r="G26" s="27">
        <f t="shared" si="20"/>
        <v>0</v>
      </c>
      <c r="H26" s="27">
        <f t="shared" si="20"/>
        <v>0</v>
      </c>
      <c r="I26" s="28">
        <f t="shared" si="20"/>
        <v>0</v>
      </c>
      <c r="J26" s="28">
        <f t="shared" si="20"/>
        <v>0</v>
      </c>
      <c r="K26" s="28">
        <f t="shared" si="3"/>
        <v>0</v>
      </c>
      <c r="L26" s="29">
        <f t="shared" si="4"/>
        <v>0</v>
      </c>
      <c r="M26" s="6" t="str">
        <f>VLOOKUP(K26,GradingPolicy!$B$2:$C$11,2)</f>
        <v>F (Fail)</v>
      </c>
      <c r="N26" s="1"/>
      <c r="O26" s="1"/>
      <c r="P26" s="30"/>
      <c r="Q26" s="31"/>
      <c r="R26" s="30"/>
      <c r="S26" s="30"/>
      <c r="T26" s="30"/>
      <c r="U26" s="30"/>
      <c r="V26" s="30"/>
      <c r="W26" s="37"/>
      <c r="X26" s="35"/>
      <c r="Y26" s="1"/>
      <c r="Z26" s="1"/>
      <c r="AA26" s="1"/>
    </row>
    <row r="27" spans="1:27" ht="15.75" customHeight="1">
      <c r="A27" s="34">
        <v>18</v>
      </c>
      <c r="B27" s="35">
        <f t="shared" si="0"/>
        <v>0</v>
      </c>
      <c r="C27" s="24">
        <f t="shared" si="1"/>
        <v>0</v>
      </c>
      <c r="D27" s="25">
        <f t="shared" ref="D27:J27" si="21">P27</f>
        <v>0</v>
      </c>
      <c r="E27" s="26">
        <f t="shared" si="21"/>
        <v>0</v>
      </c>
      <c r="F27" s="27">
        <f t="shared" si="21"/>
        <v>0</v>
      </c>
      <c r="G27" s="27">
        <f t="shared" si="21"/>
        <v>0</v>
      </c>
      <c r="H27" s="27">
        <f t="shared" si="21"/>
        <v>0</v>
      </c>
      <c r="I27" s="28">
        <f t="shared" si="21"/>
        <v>0</v>
      </c>
      <c r="J27" s="28">
        <f t="shared" si="21"/>
        <v>0</v>
      </c>
      <c r="K27" s="28">
        <f t="shared" si="3"/>
        <v>0</v>
      </c>
      <c r="L27" s="29">
        <f t="shared" si="4"/>
        <v>0</v>
      </c>
      <c r="M27" s="6" t="str">
        <f>VLOOKUP(K27,GradingPolicy!$B$2:$C$11,2)</f>
        <v>F (Fail)</v>
      </c>
      <c r="N27" s="1"/>
      <c r="O27" s="1"/>
      <c r="P27" s="30"/>
      <c r="Q27" s="31"/>
      <c r="R27" s="30"/>
      <c r="S27" s="30"/>
      <c r="T27" s="30"/>
      <c r="U27" s="30"/>
      <c r="V27" s="30"/>
      <c r="W27" s="37"/>
      <c r="X27" s="35"/>
      <c r="Y27" s="1"/>
      <c r="Z27" s="1"/>
      <c r="AA27" s="1"/>
    </row>
    <row r="28" spans="1:27" ht="15.75" customHeight="1">
      <c r="A28" s="22">
        <v>19</v>
      </c>
      <c r="B28" s="35">
        <f t="shared" si="0"/>
        <v>0</v>
      </c>
      <c r="C28" s="24">
        <f t="shared" si="1"/>
        <v>0</v>
      </c>
      <c r="D28" s="25">
        <f t="shared" ref="D28:J28" si="22">P28</f>
        <v>0</v>
      </c>
      <c r="E28" s="26">
        <f t="shared" si="22"/>
        <v>0</v>
      </c>
      <c r="F28" s="27">
        <f t="shared" si="22"/>
        <v>0</v>
      </c>
      <c r="G28" s="27">
        <f t="shared" si="22"/>
        <v>0</v>
      </c>
      <c r="H28" s="27">
        <f t="shared" si="22"/>
        <v>0</v>
      </c>
      <c r="I28" s="28">
        <f t="shared" si="22"/>
        <v>0</v>
      </c>
      <c r="J28" s="28">
        <f t="shared" si="22"/>
        <v>0</v>
      </c>
      <c r="K28" s="28">
        <f t="shared" si="3"/>
        <v>0</v>
      </c>
      <c r="L28" s="29">
        <f t="shared" si="4"/>
        <v>0</v>
      </c>
      <c r="M28" s="6" t="str">
        <f>VLOOKUP(K28,GradingPolicy!$B$2:$C$11,2)</f>
        <v>F (Fail)</v>
      </c>
      <c r="N28" s="1"/>
      <c r="O28" s="1"/>
      <c r="P28" s="30"/>
      <c r="Q28" s="31"/>
      <c r="R28" s="30"/>
      <c r="S28" s="30"/>
      <c r="T28" s="30"/>
      <c r="U28" s="30"/>
      <c r="V28" s="30"/>
      <c r="W28" s="37"/>
      <c r="X28" s="35"/>
      <c r="Y28" s="1"/>
      <c r="Z28" s="1"/>
      <c r="AA28" s="1"/>
    </row>
    <row r="29" spans="1:27" ht="15.75" customHeight="1">
      <c r="A29" s="34">
        <v>20</v>
      </c>
      <c r="B29" s="35">
        <f t="shared" si="0"/>
        <v>0</v>
      </c>
      <c r="C29" s="24">
        <f t="shared" si="1"/>
        <v>0</v>
      </c>
      <c r="D29" s="25">
        <f t="shared" ref="D29:J29" si="23">P29</f>
        <v>0</v>
      </c>
      <c r="E29" s="26">
        <f t="shared" si="23"/>
        <v>0</v>
      </c>
      <c r="F29" s="27">
        <f t="shared" si="23"/>
        <v>0</v>
      </c>
      <c r="G29" s="27">
        <f t="shared" si="23"/>
        <v>0</v>
      </c>
      <c r="H29" s="27">
        <f t="shared" si="23"/>
        <v>0</v>
      </c>
      <c r="I29" s="28">
        <f t="shared" si="23"/>
        <v>0</v>
      </c>
      <c r="J29" s="28">
        <f t="shared" si="23"/>
        <v>0</v>
      </c>
      <c r="K29" s="28">
        <f t="shared" si="3"/>
        <v>0</v>
      </c>
      <c r="L29" s="29">
        <f t="shared" si="4"/>
        <v>0</v>
      </c>
      <c r="M29" s="6" t="str">
        <f>VLOOKUP(K29,GradingPolicy!$B$2:$C$11,2)</f>
        <v>F (Fail)</v>
      </c>
      <c r="N29" s="1"/>
      <c r="O29" s="1"/>
      <c r="P29" s="30"/>
      <c r="Q29" s="31"/>
      <c r="R29" s="30"/>
      <c r="S29" s="30"/>
      <c r="T29" s="30"/>
      <c r="U29" s="30"/>
      <c r="V29" s="30"/>
      <c r="W29" s="37"/>
      <c r="X29" s="35"/>
      <c r="Y29" s="1"/>
      <c r="Z29" s="1"/>
      <c r="AA29" s="1"/>
    </row>
    <row r="30" spans="1:27" ht="15.75" customHeight="1">
      <c r="A30" s="22">
        <v>21</v>
      </c>
      <c r="B30" s="35">
        <f t="shared" si="0"/>
        <v>0</v>
      </c>
      <c r="C30" s="24">
        <f t="shared" si="1"/>
        <v>0</v>
      </c>
      <c r="D30" s="25">
        <f t="shared" ref="D30:J30" si="24">P30</f>
        <v>0</v>
      </c>
      <c r="E30" s="26">
        <f t="shared" si="24"/>
        <v>0</v>
      </c>
      <c r="F30" s="27">
        <f t="shared" si="24"/>
        <v>0</v>
      </c>
      <c r="G30" s="27">
        <f t="shared" si="24"/>
        <v>0</v>
      </c>
      <c r="H30" s="27">
        <f t="shared" si="24"/>
        <v>0</v>
      </c>
      <c r="I30" s="28">
        <f t="shared" si="24"/>
        <v>0</v>
      </c>
      <c r="J30" s="28">
        <f t="shared" si="24"/>
        <v>0</v>
      </c>
      <c r="K30" s="28">
        <f t="shared" si="3"/>
        <v>0</v>
      </c>
      <c r="L30" s="29">
        <f t="shared" si="4"/>
        <v>0</v>
      </c>
      <c r="M30" s="6" t="str">
        <f>VLOOKUP(K30,GradingPolicy!$B$2:$C$11,2)</f>
        <v>F (Fail)</v>
      </c>
      <c r="N30" s="1"/>
      <c r="O30" s="1"/>
      <c r="P30" s="30"/>
      <c r="Q30" s="31"/>
      <c r="R30" s="30"/>
      <c r="S30" s="30"/>
      <c r="T30" s="30"/>
      <c r="U30" s="30"/>
      <c r="V30" s="30"/>
      <c r="W30" s="37"/>
      <c r="X30" s="35"/>
      <c r="Y30" s="1"/>
      <c r="Z30" s="1"/>
      <c r="AA30" s="1"/>
    </row>
    <row r="31" spans="1:27" ht="15.75" customHeight="1">
      <c r="A31" s="34">
        <v>22</v>
      </c>
      <c r="B31" s="35">
        <f t="shared" si="0"/>
        <v>0</v>
      </c>
      <c r="C31" s="24">
        <f t="shared" si="1"/>
        <v>0</v>
      </c>
      <c r="D31" s="25">
        <f t="shared" ref="D31:J31" si="25">P31</f>
        <v>0</v>
      </c>
      <c r="E31" s="26">
        <f t="shared" si="25"/>
        <v>0</v>
      </c>
      <c r="F31" s="27">
        <f t="shared" si="25"/>
        <v>0</v>
      </c>
      <c r="G31" s="27">
        <f t="shared" si="25"/>
        <v>0</v>
      </c>
      <c r="H31" s="27">
        <f t="shared" si="25"/>
        <v>0</v>
      </c>
      <c r="I31" s="28">
        <f t="shared" si="25"/>
        <v>0</v>
      </c>
      <c r="J31" s="28">
        <f t="shared" si="25"/>
        <v>0</v>
      </c>
      <c r="K31" s="28">
        <f t="shared" si="3"/>
        <v>0</v>
      </c>
      <c r="L31" s="29">
        <f t="shared" si="4"/>
        <v>0</v>
      </c>
      <c r="M31" s="6" t="str">
        <f>VLOOKUP(K31,GradingPolicy!$B$2:$C$11,2)</f>
        <v>F (Fail)</v>
      </c>
      <c r="N31" s="1"/>
      <c r="O31" s="1"/>
      <c r="P31" s="30"/>
      <c r="Q31" s="31"/>
      <c r="R31" s="30"/>
      <c r="S31" s="30"/>
      <c r="T31" s="30"/>
      <c r="U31" s="30"/>
      <c r="V31" s="30"/>
      <c r="W31" s="37"/>
      <c r="X31" s="35"/>
      <c r="Y31" s="1"/>
      <c r="Z31" s="1"/>
      <c r="AA31" s="1"/>
    </row>
    <row r="32" spans="1:27" ht="15.75" customHeight="1">
      <c r="A32" s="22">
        <v>23</v>
      </c>
      <c r="B32" s="35">
        <f t="shared" si="0"/>
        <v>0</v>
      </c>
      <c r="C32" s="24">
        <f t="shared" si="1"/>
        <v>0</v>
      </c>
      <c r="D32" s="25">
        <f t="shared" ref="D32:J32" si="26">P32</f>
        <v>0</v>
      </c>
      <c r="E32" s="26">
        <f t="shared" si="26"/>
        <v>0</v>
      </c>
      <c r="F32" s="27">
        <f t="shared" si="26"/>
        <v>0</v>
      </c>
      <c r="G32" s="27">
        <f t="shared" si="26"/>
        <v>0</v>
      </c>
      <c r="H32" s="27">
        <f t="shared" si="26"/>
        <v>0</v>
      </c>
      <c r="I32" s="28">
        <f t="shared" si="26"/>
        <v>0</v>
      </c>
      <c r="J32" s="28">
        <f t="shared" si="26"/>
        <v>0</v>
      </c>
      <c r="K32" s="28">
        <f t="shared" si="3"/>
        <v>0</v>
      </c>
      <c r="L32" s="29">
        <f t="shared" si="4"/>
        <v>0</v>
      </c>
      <c r="M32" s="6" t="str">
        <f>VLOOKUP(K32,GradingPolicy!$B$2:$C$11,2)</f>
        <v>F (Fail)</v>
      </c>
      <c r="N32" s="1"/>
      <c r="O32" s="1"/>
      <c r="P32" s="30"/>
      <c r="Q32" s="31"/>
      <c r="R32" s="30"/>
      <c r="S32" s="30"/>
      <c r="T32" s="30"/>
      <c r="U32" s="30"/>
      <c r="V32" s="30"/>
      <c r="W32" s="37"/>
      <c r="X32" s="35"/>
      <c r="Y32" s="1"/>
      <c r="Z32" s="1"/>
      <c r="AA32" s="1"/>
    </row>
    <row r="33" spans="1:27" ht="15.75" customHeight="1">
      <c r="A33" s="34">
        <v>24</v>
      </c>
      <c r="B33" s="35">
        <f t="shared" si="0"/>
        <v>0</v>
      </c>
      <c r="C33" s="24">
        <f t="shared" si="1"/>
        <v>0</v>
      </c>
      <c r="D33" s="25">
        <f t="shared" ref="D33:J33" si="27">P33</f>
        <v>0</v>
      </c>
      <c r="E33" s="26">
        <f t="shared" si="27"/>
        <v>0</v>
      </c>
      <c r="F33" s="27">
        <f t="shared" si="27"/>
        <v>0</v>
      </c>
      <c r="G33" s="27">
        <f t="shared" si="27"/>
        <v>0</v>
      </c>
      <c r="H33" s="27">
        <f t="shared" si="27"/>
        <v>0</v>
      </c>
      <c r="I33" s="28">
        <f t="shared" si="27"/>
        <v>0</v>
      </c>
      <c r="J33" s="28">
        <f t="shared" si="27"/>
        <v>0</v>
      </c>
      <c r="K33" s="28">
        <f t="shared" si="3"/>
        <v>0</v>
      </c>
      <c r="L33" s="29">
        <f t="shared" si="4"/>
        <v>0</v>
      </c>
      <c r="M33" s="6" t="str">
        <f>VLOOKUP(K33,GradingPolicy!$B$2:$C$11,2)</f>
        <v>F (Fail)</v>
      </c>
      <c r="N33" s="1"/>
      <c r="O33" s="1"/>
      <c r="P33" s="30"/>
      <c r="Q33" s="31"/>
      <c r="R33" s="30"/>
      <c r="S33" s="30"/>
      <c r="T33" s="30"/>
      <c r="U33" s="30"/>
      <c r="V33" s="30"/>
      <c r="W33" s="37"/>
      <c r="X33" s="35"/>
      <c r="Y33" s="1"/>
      <c r="Z33" s="1"/>
      <c r="AA33" s="1"/>
    </row>
    <row r="34" spans="1:27" ht="15.75" customHeight="1">
      <c r="A34" s="22">
        <v>25</v>
      </c>
      <c r="B34" s="35">
        <f t="shared" si="0"/>
        <v>0</v>
      </c>
      <c r="C34" s="24">
        <f t="shared" si="1"/>
        <v>0</v>
      </c>
      <c r="D34" s="25">
        <f t="shared" ref="D34:J34" si="28">P34</f>
        <v>0</v>
      </c>
      <c r="E34" s="26">
        <f t="shared" si="28"/>
        <v>0</v>
      </c>
      <c r="F34" s="27">
        <f t="shared" si="28"/>
        <v>0</v>
      </c>
      <c r="G34" s="27">
        <f t="shared" si="28"/>
        <v>0</v>
      </c>
      <c r="H34" s="27">
        <f t="shared" si="28"/>
        <v>0</v>
      </c>
      <c r="I34" s="28">
        <f t="shared" si="28"/>
        <v>0</v>
      </c>
      <c r="J34" s="28">
        <f t="shared" si="28"/>
        <v>0</v>
      </c>
      <c r="K34" s="28">
        <f t="shared" si="3"/>
        <v>0</v>
      </c>
      <c r="L34" s="29">
        <f t="shared" si="4"/>
        <v>0</v>
      </c>
      <c r="M34" s="6" t="str">
        <f>VLOOKUP(K34,GradingPolicy!$B$2:$C$11,2)</f>
        <v>F (Fail)</v>
      </c>
      <c r="N34" s="1"/>
      <c r="O34" s="1"/>
      <c r="P34" s="30"/>
      <c r="Q34" s="31"/>
      <c r="R34" s="30"/>
      <c r="S34" s="30"/>
      <c r="T34" s="30"/>
      <c r="U34" s="30"/>
      <c r="V34" s="30"/>
      <c r="W34" s="37"/>
      <c r="X34" s="35"/>
      <c r="Y34" s="1"/>
      <c r="Z34" s="1"/>
      <c r="AA34" s="1"/>
    </row>
    <row r="35" spans="1:27" ht="15.75" customHeight="1">
      <c r="A35" s="34">
        <v>26</v>
      </c>
      <c r="B35" s="35">
        <f t="shared" si="0"/>
        <v>0</v>
      </c>
      <c r="C35" s="24">
        <f t="shared" si="1"/>
        <v>0</v>
      </c>
      <c r="D35" s="25">
        <f t="shared" ref="D35:J35" si="29">P35</f>
        <v>0</v>
      </c>
      <c r="E35" s="26">
        <f t="shared" si="29"/>
        <v>0</v>
      </c>
      <c r="F35" s="27">
        <f t="shared" si="29"/>
        <v>0</v>
      </c>
      <c r="G35" s="27">
        <f t="shared" si="29"/>
        <v>0</v>
      </c>
      <c r="H35" s="27">
        <f t="shared" si="29"/>
        <v>0</v>
      </c>
      <c r="I35" s="28">
        <f t="shared" si="29"/>
        <v>0</v>
      </c>
      <c r="J35" s="28">
        <f t="shared" si="29"/>
        <v>0</v>
      </c>
      <c r="K35" s="28">
        <f t="shared" si="3"/>
        <v>0</v>
      </c>
      <c r="L35" s="29">
        <f t="shared" si="4"/>
        <v>0</v>
      </c>
      <c r="M35" s="6" t="str">
        <f>VLOOKUP(K35,GradingPolicy!$B$2:$C$11,2)</f>
        <v>F (Fail)</v>
      </c>
      <c r="N35" s="1"/>
      <c r="O35" s="1"/>
      <c r="P35" s="30"/>
      <c r="Q35" s="31"/>
      <c r="R35" s="30"/>
      <c r="S35" s="30"/>
      <c r="T35" s="30"/>
      <c r="U35" s="30"/>
      <c r="V35" s="30"/>
      <c r="W35" s="37"/>
      <c r="X35" s="35"/>
      <c r="Y35" s="1"/>
      <c r="Z35" s="1"/>
      <c r="AA35" s="1"/>
    </row>
    <row r="36" spans="1:27" ht="15.75" customHeight="1">
      <c r="A36" s="22">
        <v>27</v>
      </c>
      <c r="B36" s="35">
        <f t="shared" si="0"/>
        <v>0</v>
      </c>
      <c r="C36" s="24">
        <f t="shared" si="1"/>
        <v>0</v>
      </c>
      <c r="D36" s="25">
        <f t="shared" ref="D36:J36" si="30">P36</f>
        <v>0</v>
      </c>
      <c r="E36" s="26">
        <f t="shared" si="30"/>
        <v>0</v>
      </c>
      <c r="F36" s="27">
        <f t="shared" si="30"/>
        <v>0</v>
      </c>
      <c r="G36" s="27">
        <f t="shared" si="30"/>
        <v>0</v>
      </c>
      <c r="H36" s="27">
        <f t="shared" si="30"/>
        <v>0</v>
      </c>
      <c r="I36" s="28">
        <f t="shared" si="30"/>
        <v>0</v>
      </c>
      <c r="J36" s="28">
        <f t="shared" si="30"/>
        <v>0</v>
      </c>
      <c r="K36" s="28">
        <f t="shared" si="3"/>
        <v>0</v>
      </c>
      <c r="L36" s="29">
        <f t="shared" si="4"/>
        <v>0</v>
      </c>
      <c r="M36" s="6" t="str">
        <f>VLOOKUP(K36,GradingPolicy!$B$2:$C$11,2)</f>
        <v>F (Fail)</v>
      </c>
      <c r="N36" s="1"/>
      <c r="O36" s="1"/>
      <c r="P36" s="30"/>
      <c r="Q36" s="31"/>
      <c r="R36" s="30"/>
      <c r="S36" s="30"/>
      <c r="T36" s="30"/>
      <c r="U36" s="30"/>
      <c r="V36" s="30"/>
      <c r="W36" s="37"/>
      <c r="X36" s="35"/>
      <c r="Y36" s="1"/>
      <c r="Z36" s="1"/>
      <c r="AA36" s="1"/>
    </row>
    <row r="37" spans="1:27" ht="15.75" customHeight="1">
      <c r="A37" s="34">
        <v>28</v>
      </c>
      <c r="B37" s="35">
        <f t="shared" si="0"/>
        <v>0</v>
      </c>
      <c r="C37" s="24">
        <f t="shared" si="1"/>
        <v>0</v>
      </c>
      <c r="D37" s="25">
        <f t="shared" ref="D37:J37" si="31">P37</f>
        <v>0</v>
      </c>
      <c r="E37" s="26">
        <f t="shared" si="31"/>
        <v>0</v>
      </c>
      <c r="F37" s="27">
        <f t="shared" si="31"/>
        <v>0</v>
      </c>
      <c r="G37" s="27">
        <f t="shared" si="31"/>
        <v>0</v>
      </c>
      <c r="H37" s="27">
        <f t="shared" si="31"/>
        <v>0</v>
      </c>
      <c r="I37" s="28">
        <f t="shared" si="31"/>
        <v>0</v>
      </c>
      <c r="J37" s="28">
        <f t="shared" si="31"/>
        <v>0</v>
      </c>
      <c r="K37" s="28">
        <f t="shared" si="3"/>
        <v>0</v>
      </c>
      <c r="L37" s="29">
        <f t="shared" si="4"/>
        <v>0</v>
      </c>
      <c r="M37" s="6" t="str">
        <f>VLOOKUP(K37,GradingPolicy!$B$2:$C$11,2)</f>
        <v>F (Fail)</v>
      </c>
      <c r="N37" s="1"/>
      <c r="O37" s="1"/>
      <c r="P37" s="30"/>
      <c r="Q37" s="31"/>
      <c r="R37" s="30"/>
      <c r="S37" s="30"/>
      <c r="T37" s="30"/>
      <c r="U37" s="30"/>
      <c r="V37" s="30"/>
      <c r="W37" s="37"/>
      <c r="X37" s="35"/>
      <c r="Y37" s="1"/>
      <c r="Z37" s="1"/>
      <c r="AA37" s="1"/>
    </row>
    <row r="38" spans="1:27" ht="15.75" customHeight="1">
      <c r="A38" s="22">
        <v>29</v>
      </c>
      <c r="B38" s="35">
        <f t="shared" si="0"/>
        <v>0</v>
      </c>
      <c r="C38" s="24">
        <f t="shared" si="1"/>
        <v>0</v>
      </c>
      <c r="D38" s="25">
        <f t="shared" ref="D38:J38" si="32">P38</f>
        <v>0</v>
      </c>
      <c r="E38" s="26">
        <f t="shared" si="32"/>
        <v>0</v>
      </c>
      <c r="F38" s="27">
        <f t="shared" si="32"/>
        <v>0</v>
      </c>
      <c r="G38" s="27">
        <f t="shared" si="32"/>
        <v>0</v>
      </c>
      <c r="H38" s="27">
        <f t="shared" si="32"/>
        <v>0</v>
      </c>
      <c r="I38" s="28">
        <f t="shared" si="32"/>
        <v>0</v>
      </c>
      <c r="J38" s="28">
        <f t="shared" si="32"/>
        <v>0</v>
      </c>
      <c r="K38" s="28">
        <f t="shared" si="3"/>
        <v>0</v>
      </c>
      <c r="L38" s="29">
        <f t="shared" si="4"/>
        <v>0</v>
      </c>
      <c r="M38" s="6" t="str">
        <f>VLOOKUP(K38,GradingPolicy!$B$2:$C$11,2)</f>
        <v>F (Fail)</v>
      </c>
      <c r="N38" s="1"/>
      <c r="O38" s="1"/>
      <c r="P38" s="30"/>
      <c r="Q38" s="31"/>
      <c r="R38" s="30"/>
      <c r="S38" s="30"/>
      <c r="T38" s="30"/>
      <c r="U38" s="30"/>
      <c r="V38" s="30"/>
      <c r="W38" s="37"/>
      <c r="X38" s="35"/>
      <c r="Y38" s="1"/>
      <c r="Z38" s="1"/>
      <c r="AA38" s="1"/>
    </row>
    <row r="39" spans="1:27" ht="15.75" customHeight="1">
      <c r="A39" s="34">
        <v>30</v>
      </c>
      <c r="B39" s="35">
        <f t="shared" si="0"/>
        <v>0</v>
      </c>
      <c r="C39" s="24">
        <f t="shared" si="1"/>
        <v>0</v>
      </c>
      <c r="D39" s="25">
        <f t="shared" ref="D39:J39" si="33">P39</f>
        <v>0</v>
      </c>
      <c r="E39" s="26">
        <f t="shared" si="33"/>
        <v>0</v>
      </c>
      <c r="F39" s="27">
        <f t="shared" si="33"/>
        <v>0</v>
      </c>
      <c r="G39" s="27">
        <f t="shared" si="33"/>
        <v>0</v>
      </c>
      <c r="H39" s="27">
        <f t="shared" si="33"/>
        <v>0</v>
      </c>
      <c r="I39" s="28">
        <f t="shared" si="33"/>
        <v>0</v>
      </c>
      <c r="J39" s="28">
        <f t="shared" si="33"/>
        <v>0</v>
      </c>
      <c r="K39" s="28">
        <f t="shared" si="3"/>
        <v>0</v>
      </c>
      <c r="L39" s="29">
        <f t="shared" si="4"/>
        <v>0</v>
      </c>
      <c r="M39" s="6" t="str">
        <f>VLOOKUP(K39,GradingPolicy!$B$2:$C$11,2)</f>
        <v>F (Fail)</v>
      </c>
      <c r="N39" s="1"/>
      <c r="O39" s="1"/>
      <c r="P39" s="30"/>
      <c r="Q39" s="31"/>
      <c r="R39" s="30"/>
      <c r="S39" s="30"/>
      <c r="T39" s="30"/>
      <c r="U39" s="30"/>
      <c r="V39" s="30"/>
      <c r="W39" s="37"/>
      <c r="X39" s="35"/>
      <c r="Y39" s="1"/>
      <c r="Z39" s="1"/>
      <c r="AA39" s="1"/>
    </row>
    <row r="40" spans="1:27" ht="15.75" customHeight="1">
      <c r="A40" s="22">
        <v>31</v>
      </c>
      <c r="B40" s="35">
        <f t="shared" si="0"/>
        <v>0</v>
      </c>
      <c r="C40" s="24">
        <f t="shared" si="1"/>
        <v>0</v>
      </c>
      <c r="D40" s="25">
        <f t="shared" ref="D40:J40" si="34">P40</f>
        <v>0</v>
      </c>
      <c r="E40" s="26">
        <f t="shared" si="34"/>
        <v>0</v>
      </c>
      <c r="F40" s="27">
        <f t="shared" si="34"/>
        <v>0</v>
      </c>
      <c r="G40" s="27">
        <f t="shared" si="34"/>
        <v>0</v>
      </c>
      <c r="H40" s="27">
        <f t="shared" si="34"/>
        <v>0</v>
      </c>
      <c r="I40" s="28">
        <f t="shared" si="34"/>
        <v>0</v>
      </c>
      <c r="J40" s="28">
        <f t="shared" si="34"/>
        <v>0</v>
      </c>
      <c r="K40" s="28">
        <f t="shared" si="3"/>
        <v>0</v>
      </c>
      <c r="L40" s="29">
        <f t="shared" si="4"/>
        <v>0</v>
      </c>
      <c r="M40" s="6" t="str">
        <f>VLOOKUP(K40,GradingPolicy!$B$2:$C$11,2)</f>
        <v>F (Fail)</v>
      </c>
      <c r="N40" s="1"/>
      <c r="O40" s="1"/>
      <c r="P40" s="30"/>
      <c r="Q40" s="31"/>
      <c r="R40" s="30"/>
      <c r="S40" s="30"/>
      <c r="T40" s="30"/>
      <c r="U40" s="30"/>
      <c r="V40" s="30"/>
      <c r="W40" s="37"/>
      <c r="X40" s="35"/>
      <c r="Y40" s="1"/>
      <c r="Z40" s="1"/>
      <c r="AA40" s="1"/>
    </row>
    <row r="41" spans="1:27" ht="15.75" customHeight="1">
      <c r="A41" s="34">
        <v>32</v>
      </c>
      <c r="B41" s="35">
        <f t="shared" si="0"/>
        <v>0</v>
      </c>
      <c r="C41" s="24">
        <f t="shared" si="1"/>
        <v>0</v>
      </c>
      <c r="D41" s="25">
        <f t="shared" ref="D41:J41" si="35">P41</f>
        <v>0</v>
      </c>
      <c r="E41" s="26">
        <f t="shared" si="35"/>
        <v>0</v>
      </c>
      <c r="F41" s="27">
        <f t="shared" si="35"/>
        <v>0</v>
      </c>
      <c r="G41" s="27">
        <f t="shared" si="35"/>
        <v>0</v>
      </c>
      <c r="H41" s="27">
        <f t="shared" si="35"/>
        <v>0</v>
      </c>
      <c r="I41" s="28">
        <f t="shared" si="35"/>
        <v>0</v>
      </c>
      <c r="J41" s="28">
        <f t="shared" si="35"/>
        <v>0</v>
      </c>
      <c r="K41" s="28">
        <f t="shared" si="3"/>
        <v>0</v>
      </c>
      <c r="L41" s="29">
        <f t="shared" si="4"/>
        <v>0</v>
      </c>
      <c r="M41" s="6" t="str">
        <f>VLOOKUP(K41,GradingPolicy!$B$2:$C$11,2)</f>
        <v>F (Fail)</v>
      </c>
      <c r="N41" s="1"/>
      <c r="O41" s="1"/>
      <c r="P41" s="30"/>
      <c r="Q41" s="31"/>
      <c r="R41" s="30"/>
      <c r="S41" s="30"/>
      <c r="T41" s="30"/>
      <c r="U41" s="30"/>
      <c r="V41" s="30"/>
      <c r="W41" s="37"/>
      <c r="X41" s="35"/>
      <c r="Y41" s="1"/>
      <c r="Z41" s="1"/>
      <c r="AA41" s="1"/>
    </row>
    <row r="42" spans="1:27" ht="15.75" customHeight="1">
      <c r="A42" s="22">
        <v>33</v>
      </c>
      <c r="B42" s="35">
        <f t="shared" si="0"/>
        <v>0</v>
      </c>
      <c r="C42" s="24">
        <f t="shared" si="1"/>
        <v>0</v>
      </c>
      <c r="D42" s="25">
        <f t="shared" ref="D42:J42" si="36">P42</f>
        <v>0</v>
      </c>
      <c r="E42" s="26">
        <f t="shared" si="36"/>
        <v>0</v>
      </c>
      <c r="F42" s="27">
        <f t="shared" si="36"/>
        <v>0</v>
      </c>
      <c r="G42" s="27">
        <f t="shared" si="36"/>
        <v>0</v>
      </c>
      <c r="H42" s="27">
        <f t="shared" si="36"/>
        <v>0</v>
      </c>
      <c r="I42" s="28">
        <f t="shared" si="36"/>
        <v>0</v>
      </c>
      <c r="J42" s="28">
        <f t="shared" si="36"/>
        <v>0</v>
      </c>
      <c r="K42" s="28">
        <f t="shared" si="3"/>
        <v>0</v>
      </c>
      <c r="L42" s="29">
        <f t="shared" si="4"/>
        <v>0</v>
      </c>
      <c r="M42" s="6" t="str">
        <f>VLOOKUP(K42,GradingPolicy!$B$2:$C$11,2)</f>
        <v>F (Fail)</v>
      </c>
      <c r="N42" s="1"/>
      <c r="O42" s="1"/>
      <c r="P42" s="30"/>
      <c r="Q42" s="31"/>
      <c r="R42" s="30"/>
      <c r="S42" s="30"/>
      <c r="T42" s="30"/>
      <c r="U42" s="30"/>
      <c r="V42" s="30"/>
      <c r="W42" s="37"/>
      <c r="X42" s="35"/>
      <c r="Y42" s="1"/>
      <c r="Z42" s="1"/>
      <c r="AA42" s="1"/>
    </row>
    <row r="43" spans="1:27" ht="15.75" customHeight="1">
      <c r="A43" s="34">
        <v>34</v>
      </c>
      <c r="B43" s="35">
        <f t="shared" si="0"/>
        <v>0</v>
      </c>
      <c r="C43" s="24">
        <f t="shared" si="1"/>
        <v>0</v>
      </c>
      <c r="D43" s="25">
        <f t="shared" ref="D43:J43" si="37">P43</f>
        <v>0</v>
      </c>
      <c r="E43" s="26">
        <f t="shared" si="37"/>
        <v>0</v>
      </c>
      <c r="F43" s="27">
        <f t="shared" si="37"/>
        <v>0</v>
      </c>
      <c r="G43" s="27">
        <f t="shared" si="37"/>
        <v>0</v>
      </c>
      <c r="H43" s="27">
        <f t="shared" si="37"/>
        <v>0</v>
      </c>
      <c r="I43" s="28">
        <f t="shared" si="37"/>
        <v>0</v>
      </c>
      <c r="J43" s="28">
        <f t="shared" si="37"/>
        <v>0</v>
      </c>
      <c r="K43" s="28">
        <f t="shared" si="3"/>
        <v>0</v>
      </c>
      <c r="L43" s="29">
        <f t="shared" si="4"/>
        <v>0</v>
      </c>
      <c r="M43" s="6" t="str">
        <f>VLOOKUP(K43,GradingPolicy!$B$2:$C$11,2)</f>
        <v>F (Fail)</v>
      </c>
      <c r="N43" s="1"/>
      <c r="O43" s="1"/>
      <c r="P43" s="30"/>
      <c r="Q43" s="31"/>
      <c r="R43" s="30"/>
      <c r="S43" s="30"/>
      <c r="T43" s="30"/>
      <c r="U43" s="30"/>
      <c r="V43" s="30"/>
      <c r="W43" s="37"/>
      <c r="X43" s="35"/>
      <c r="Y43" s="1"/>
      <c r="Z43" s="1"/>
      <c r="AA43" s="1"/>
    </row>
    <row r="44" spans="1:27" ht="15.75" customHeight="1">
      <c r="A44" s="22">
        <v>35</v>
      </c>
      <c r="B44" s="35">
        <f t="shared" si="0"/>
        <v>0</v>
      </c>
      <c r="C44" s="24">
        <f t="shared" si="1"/>
        <v>0</v>
      </c>
      <c r="D44" s="25">
        <f t="shared" ref="D44:J44" si="38">P44</f>
        <v>0</v>
      </c>
      <c r="E44" s="26">
        <f t="shared" si="38"/>
        <v>0</v>
      </c>
      <c r="F44" s="27">
        <f t="shared" si="38"/>
        <v>0</v>
      </c>
      <c r="G44" s="27">
        <f t="shared" si="38"/>
        <v>0</v>
      </c>
      <c r="H44" s="27">
        <f t="shared" si="38"/>
        <v>0</v>
      </c>
      <c r="I44" s="28">
        <f t="shared" si="38"/>
        <v>0</v>
      </c>
      <c r="J44" s="28">
        <f t="shared" si="38"/>
        <v>0</v>
      </c>
      <c r="K44" s="28">
        <f t="shared" si="3"/>
        <v>0</v>
      </c>
      <c r="L44" s="29">
        <f t="shared" si="4"/>
        <v>0</v>
      </c>
      <c r="M44" s="6" t="str">
        <f>VLOOKUP(K44,GradingPolicy!$B$2:$C$11,2)</f>
        <v>F (Fail)</v>
      </c>
      <c r="N44" s="1"/>
      <c r="O44" s="1"/>
      <c r="P44" s="30"/>
      <c r="Q44" s="31"/>
      <c r="R44" s="30"/>
      <c r="S44" s="30"/>
      <c r="T44" s="30"/>
      <c r="U44" s="30"/>
      <c r="V44" s="30"/>
      <c r="W44" s="37"/>
      <c r="X44" s="35"/>
      <c r="Y44" s="1"/>
      <c r="Z44" s="1"/>
      <c r="AA44" s="1"/>
    </row>
    <row r="45" spans="1:27" ht="15.75" customHeight="1">
      <c r="A45" s="34">
        <v>36</v>
      </c>
      <c r="B45" s="35">
        <f t="shared" si="0"/>
        <v>0</v>
      </c>
      <c r="C45" s="24">
        <f t="shared" si="1"/>
        <v>0</v>
      </c>
      <c r="D45" s="25">
        <f t="shared" ref="D45:J45" si="39">P45</f>
        <v>0</v>
      </c>
      <c r="E45" s="26">
        <f t="shared" si="39"/>
        <v>0</v>
      </c>
      <c r="F45" s="27">
        <f t="shared" si="39"/>
        <v>0</v>
      </c>
      <c r="G45" s="27">
        <f t="shared" si="39"/>
        <v>0</v>
      </c>
      <c r="H45" s="27">
        <f t="shared" si="39"/>
        <v>0</v>
      </c>
      <c r="I45" s="28">
        <f t="shared" si="39"/>
        <v>0</v>
      </c>
      <c r="J45" s="28">
        <f t="shared" si="39"/>
        <v>0</v>
      </c>
      <c r="K45" s="28">
        <f t="shared" si="3"/>
        <v>0</v>
      </c>
      <c r="L45" s="29">
        <f t="shared" si="4"/>
        <v>0</v>
      </c>
      <c r="M45" s="6" t="str">
        <f>VLOOKUP(K45,GradingPolicy!$B$2:$C$11,2)</f>
        <v>F (Fail)</v>
      </c>
      <c r="N45" s="1"/>
      <c r="O45" s="1"/>
      <c r="P45" s="30"/>
      <c r="Q45" s="31"/>
      <c r="R45" s="30"/>
      <c r="S45" s="30"/>
      <c r="T45" s="30"/>
      <c r="U45" s="30"/>
      <c r="V45" s="30"/>
      <c r="W45" s="37"/>
      <c r="X45" s="35"/>
      <c r="Y45" s="1"/>
      <c r="Z45" s="1"/>
      <c r="AA45" s="1"/>
    </row>
    <row r="46" spans="1:27" ht="15.75" customHeight="1">
      <c r="A46" s="22">
        <v>37</v>
      </c>
      <c r="B46" s="35">
        <f t="shared" si="0"/>
        <v>0</v>
      </c>
      <c r="C46" s="24">
        <f t="shared" si="1"/>
        <v>0</v>
      </c>
      <c r="D46" s="25">
        <f t="shared" ref="D46:J46" si="40">P46</f>
        <v>0</v>
      </c>
      <c r="E46" s="26">
        <f t="shared" si="40"/>
        <v>0</v>
      </c>
      <c r="F46" s="27">
        <f t="shared" si="40"/>
        <v>0</v>
      </c>
      <c r="G46" s="27">
        <f t="shared" si="40"/>
        <v>0</v>
      </c>
      <c r="H46" s="27">
        <f t="shared" si="40"/>
        <v>0</v>
      </c>
      <c r="I46" s="28">
        <f t="shared" si="40"/>
        <v>0</v>
      </c>
      <c r="J46" s="28">
        <f t="shared" si="40"/>
        <v>0</v>
      </c>
      <c r="K46" s="28">
        <f t="shared" si="3"/>
        <v>0</v>
      </c>
      <c r="L46" s="29">
        <f t="shared" si="4"/>
        <v>0</v>
      </c>
      <c r="M46" s="6" t="str">
        <f>VLOOKUP(K46,GradingPolicy!$B$2:$C$11,2)</f>
        <v>F (Fail)</v>
      </c>
      <c r="N46" s="1"/>
      <c r="O46" s="1"/>
      <c r="P46" s="30"/>
      <c r="Q46" s="31"/>
      <c r="R46" s="30"/>
      <c r="S46" s="30"/>
      <c r="T46" s="30"/>
      <c r="U46" s="30"/>
      <c r="V46" s="30"/>
      <c r="W46" s="37"/>
      <c r="X46" s="35"/>
      <c r="Y46" s="1"/>
      <c r="Z46" s="1"/>
      <c r="AA46" s="1"/>
    </row>
    <row r="47" spans="1:27" ht="15.75" customHeight="1">
      <c r="A47" s="34">
        <v>38</v>
      </c>
      <c r="B47" s="35">
        <f t="shared" si="0"/>
        <v>0</v>
      </c>
      <c r="C47" s="24">
        <f t="shared" si="1"/>
        <v>0</v>
      </c>
      <c r="D47" s="25">
        <f t="shared" ref="D47:J47" si="41">P47</f>
        <v>0</v>
      </c>
      <c r="E47" s="26">
        <f t="shared" si="41"/>
        <v>0</v>
      </c>
      <c r="F47" s="27">
        <f t="shared" si="41"/>
        <v>0</v>
      </c>
      <c r="G47" s="27">
        <f t="shared" si="41"/>
        <v>0</v>
      </c>
      <c r="H47" s="27">
        <f t="shared" si="41"/>
        <v>0</v>
      </c>
      <c r="I47" s="28">
        <f t="shared" si="41"/>
        <v>0</v>
      </c>
      <c r="J47" s="28">
        <f t="shared" si="41"/>
        <v>0</v>
      </c>
      <c r="K47" s="28">
        <f t="shared" si="3"/>
        <v>0</v>
      </c>
      <c r="L47" s="29">
        <f t="shared" si="4"/>
        <v>0</v>
      </c>
      <c r="M47" s="6" t="str">
        <f>VLOOKUP(K47,GradingPolicy!$B$2:$C$11,2)</f>
        <v>F (Fail)</v>
      </c>
      <c r="N47" s="1"/>
      <c r="O47" s="1"/>
      <c r="P47" s="30"/>
      <c r="Q47" s="31"/>
      <c r="R47" s="30"/>
      <c r="S47" s="30"/>
      <c r="T47" s="30"/>
      <c r="U47" s="30"/>
      <c r="V47" s="30"/>
      <c r="W47" s="37"/>
      <c r="X47" s="35"/>
      <c r="Y47" s="1"/>
      <c r="Z47" s="1"/>
      <c r="AA47" s="1"/>
    </row>
    <row r="48" spans="1:27" ht="15.75" customHeight="1">
      <c r="A48" s="22">
        <v>39</v>
      </c>
      <c r="B48" s="35">
        <f t="shared" si="0"/>
        <v>0</v>
      </c>
      <c r="C48" s="24">
        <f t="shared" si="1"/>
        <v>0</v>
      </c>
      <c r="D48" s="25">
        <f t="shared" ref="D48:J48" si="42">P48</f>
        <v>0</v>
      </c>
      <c r="E48" s="26">
        <f t="shared" si="42"/>
        <v>0</v>
      </c>
      <c r="F48" s="27">
        <f t="shared" si="42"/>
        <v>0</v>
      </c>
      <c r="G48" s="27">
        <f t="shared" si="42"/>
        <v>0</v>
      </c>
      <c r="H48" s="27">
        <f t="shared" si="42"/>
        <v>0</v>
      </c>
      <c r="I48" s="28">
        <f t="shared" si="42"/>
        <v>0</v>
      </c>
      <c r="J48" s="28">
        <f t="shared" si="42"/>
        <v>0</v>
      </c>
      <c r="K48" s="28">
        <f t="shared" si="3"/>
        <v>0</v>
      </c>
      <c r="L48" s="29">
        <f t="shared" si="4"/>
        <v>0</v>
      </c>
      <c r="M48" s="6" t="str">
        <f>VLOOKUP(K48,GradingPolicy!$B$2:$C$11,2)</f>
        <v>F (Fail)</v>
      </c>
      <c r="N48" s="1"/>
      <c r="O48" s="1"/>
      <c r="P48" s="30"/>
      <c r="Q48" s="31"/>
      <c r="R48" s="30"/>
      <c r="S48" s="30"/>
      <c r="T48" s="30"/>
      <c r="U48" s="30"/>
      <c r="V48" s="30"/>
      <c r="W48" s="37"/>
      <c r="X48" s="35"/>
      <c r="Y48" s="1"/>
      <c r="Z48" s="1"/>
      <c r="AA48" s="1"/>
    </row>
    <row r="49" spans="1:27" ht="15.75" customHeight="1">
      <c r="A49" s="34">
        <v>40</v>
      </c>
      <c r="B49" s="35">
        <f t="shared" si="0"/>
        <v>0</v>
      </c>
      <c r="C49" s="24">
        <f t="shared" si="1"/>
        <v>0</v>
      </c>
      <c r="D49" s="25">
        <f t="shared" ref="D49:J49" si="43">P49</f>
        <v>0</v>
      </c>
      <c r="E49" s="26">
        <f t="shared" si="43"/>
        <v>0</v>
      </c>
      <c r="F49" s="27">
        <f t="shared" si="43"/>
        <v>0</v>
      </c>
      <c r="G49" s="27">
        <f t="shared" si="43"/>
        <v>0</v>
      </c>
      <c r="H49" s="27">
        <f t="shared" si="43"/>
        <v>0</v>
      </c>
      <c r="I49" s="28">
        <f t="shared" si="43"/>
        <v>0</v>
      </c>
      <c r="J49" s="28">
        <f t="shared" si="43"/>
        <v>0</v>
      </c>
      <c r="K49" s="28">
        <f t="shared" si="3"/>
        <v>0</v>
      </c>
      <c r="L49" s="29">
        <f t="shared" si="4"/>
        <v>0</v>
      </c>
      <c r="M49" s="6" t="str">
        <f>VLOOKUP(K49,GradingPolicy!$B$2:$C$11,2)</f>
        <v>F (Fail)</v>
      </c>
      <c r="N49" s="1"/>
      <c r="O49" s="1"/>
      <c r="P49" s="30"/>
      <c r="Q49" s="31"/>
      <c r="R49" s="30"/>
      <c r="S49" s="30"/>
      <c r="T49" s="30"/>
      <c r="U49" s="30"/>
      <c r="V49" s="30"/>
      <c r="W49" s="37"/>
      <c r="X49" s="35"/>
      <c r="Y49" s="1"/>
      <c r="Z49" s="1"/>
      <c r="AA49" s="1"/>
    </row>
    <row r="50" spans="1:27" ht="15.75" customHeight="1">
      <c r="A50" s="34">
        <v>41</v>
      </c>
      <c r="B50" s="35">
        <f t="shared" si="0"/>
        <v>0</v>
      </c>
      <c r="C50" s="24">
        <f t="shared" si="1"/>
        <v>0</v>
      </c>
      <c r="D50" s="25">
        <f t="shared" ref="D50:J50" si="44">P50</f>
        <v>0</v>
      </c>
      <c r="E50" s="26">
        <f t="shared" si="44"/>
        <v>0</v>
      </c>
      <c r="F50" s="27">
        <f t="shared" si="44"/>
        <v>0</v>
      </c>
      <c r="G50" s="27">
        <f t="shared" si="44"/>
        <v>0</v>
      </c>
      <c r="H50" s="27">
        <f t="shared" si="44"/>
        <v>0</v>
      </c>
      <c r="I50" s="28">
        <f t="shared" si="44"/>
        <v>0</v>
      </c>
      <c r="J50" s="28">
        <f t="shared" si="44"/>
        <v>0</v>
      </c>
      <c r="K50" s="28">
        <f t="shared" si="3"/>
        <v>0</v>
      </c>
      <c r="L50" s="29">
        <f t="shared" si="4"/>
        <v>0</v>
      </c>
      <c r="M50" s="6" t="str">
        <f>VLOOKUP(K50,GradingPolicy!$B$2:$C$11,2)</f>
        <v>F (Fail)</v>
      </c>
      <c r="N50" s="1"/>
      <c r="O50" s="1"/>
      <c r="P50" s="30"/>
      <c r="Q50" s="31"/>
      <c r="R50" s="30"/>
      <c r="S50" s="30"/>
      <c r="T50" s="30"/>
      <c r="U50" s="30"/>
      <c r="V50" s="30"/>
      <c r="W50" s="37"/>
      <c r="X50" s="35"/>
      <c r="Y50" s="1"/>
      <c r="Z50" s="1"/>
      <c r="AA50" s="1"/>
    </row>
    <row r="51" spans="1:27" ht="15.75" customHeight="1">
      <c r="A51" s="34">
        <v>42</v>
      </c>
      <c r="B51" s="35">
        <f t="shared" si="0"/>
        <v>0</v>
      </c>
      <c r="C51" s="24">
        <f t="shared" si="1"/>
        <v>0</v>
      </c>
      <c r="D51" s="25">
        <f t="shared" ref="D51:J51" si="45">P51</f>
        <v>0</v>
      </c>
      <c r="E51" s="26">
        <f t="shared" si="45"/>
        <v>0</v>
      </c>
      <c r="F51" s="27">
        <f t="shared" si="45"/>
        <v>0</v>
      </c>
      <c r="G51" s="27">
        <f t="shared" si="45"/>
        <v>0</v>
      </c>
      <c r="H51" s="27">
        <f t="shared" si="45"/>
        <v>0</v>
      </c>
      <c r="I51" s="28">
        <f t="shared" si="45"/>
        <v>0</v>
      </c>
      <c r="J51" s="28">
        <f t="shared" si="45"/>
        <v>0</v>
      </c>
      <c r="K51" s="28">
        <f t="shared" si="3"/>
        <v>0</v>
      </c>
      <c r="L51" s="29">
        <f t="shared" si="4"/>
        <v>0</v>
      </c>
      <c r="M51" s="6" t="str">
        <f>VLOOKUP(K51,GradingPolicy!$B$2:$C$11,2)</f>
        <v>F (Fail)</v>
      </c>
      <c r="N51" s="1"/>
      <c r="O51" s="1"/>
      <c r="P51" s="30"/>
      <c r="Q51" s="31"/>
      <c r="R51" s="30"/>
      <c r="S51" s="30"/>
      <c r="T51" s="30"/>
      <c r="U51" s="30"/>
      <c r="V51" s="30"/>
      <c r="W51" s="37"/>
      <c r="X51" s="35"/>
      <c r="Y51" s="1"/>
      <c r="Z51" s="1"/>
      <c r="AA51" s="1"/>
    </row>
    <row r="52" spans="1:27" ht="15.75" customHeight="1">
      <c r="A52" s="34">
        <v>43</v>
      </c>
      <c r="B52" s="35">
        <f t="shared" si="0"/>
        <v>0</v>
      </c>
      <c r="C52" s="24">
        <f t="shared" si="1"/>
        <v>0</v>
      </c>
      <c r="D52" s="25">
        <f t="shared" ref="D52:J52" si="46">P52</f>
        <v>0</v>
      </c>
      <c r="E52" s="26">
        <f t="shared" si="46"/>
        <v>0</v>
      </c>
      <c r="F52" s="27">
        <f t="shared" si="46"/>
        <v>0</v>
      </c>
      <c r="G52" s="27">
        <f t="shared" si="46"/>
        <v>0</v>
      </c>
      <c r="H52" s="27">
        <f t="shared" si="46"/>
        <v>0</v>
      </c>
      <c r="I52" s="28">
        <f t="shared" si="46"/>
        <v>0</v>
      </c>
      <c r="J52" s="28">
        <f t="shared" si="46"/>
        <v>0</v>
      </c>
      <c r="K52" s="28">
        <f t="shared" si="3"/>
        <v>0</v>
      </c>
      <c r="L52" s="29">
        <f t="shared" si="4"/>
        <v>0</v>
      </c>
      <c r="M52" s="6" t="str">
        <f>VLOOKUP(K52,GradingPolicy!$B$2:$C$11,2)</f>
        <v>F (Fail)</v>
      </c>
      <c r="N52" s="1"/>
      <c r="O52" s="1"/>
      <c r="P52" s="30"/>
      <c r="Q52" s="31"/>
      <c r="R52" s="30"/>
      <c r="S52" s="30"/>
      <c r="T52" s="30"/>
      <c r="U52" s="30"/>
      <c r="V52" s="30"/>
      <c r="W52" s="37"/>
      <c r="X52" s="35"/>
      <c r="Y52" s="1"/>
      <c r="Z52" s="1"/>
      <c r="AA52" s="1"/>
    </row>
    <row r="53" spans="1:27" ht="15.75" customHeight="1">
      <c r="A53" s="34">
        <v>44</v>
      </c>
      <c r="B53" s="35">
        <f t="shared" si="0"/>
        <v>0</v>
      </c>
      <c r="C53" s="24">
        <f t="shared" si="1"/>
        <v>0</v>
      </c>
      <c r="D53" s="25">
        <f t="shared" ref="D53:J53" si="47">P53</f>
        <v>0</v>
      </c>
      <c r="E53" s="26">
        <f t="shared" si="47"/>
        <v>0</v>
      </c>
      <c r="F53" s="27">
        <f t="shared" si="47"/>
        <v>0</v>
      </c>
      <c r="G53" s="27">
        <f t="shared" si="47"/>
        <v>0</v>
      </c>
      <c r="H53" s="27">
        <f t="shared" si="47"/>
        <v>0</v>
      </c>
      <c r="I53" s="28">
        <f t="shared" si="47"/>
        <v>0</v>
      </c>
      <c r="J53" s="28">
        <f t="shared" si="47"/>
        <v>0</v>
      </c>
      <c r="K53" s="28">
        <f t="shared" si="3"/>
        <v>0</v>
      </c>
      <c r="L53" s="29">
        <f t="shared" si="4"/>
        <v>0</v>
      </c>
      <c r="M53" s="6" t="str">
        <f>VLOOKUP(K53,GradingPolicy!$B$2:$C$11,2)</f>
        <v>F (Fail)</v>
      </c>
      <c r="N53" s="1"/>
      <c r="O53" s="1"/>
      <c r="P53" s="30"/>
      <c r="Q53" s="31"/>
      <c r="R53" s="30"/>
      <c r="S53" s="30"/>
      <c r="T53" s="30"/>
      <c r="U53" s="30"/>
      <c r="V53" s="30"/>
      <c r="W53" s="37"/>
      <c r="X53" s="35"/>
      <c r="Y53" s="1"/>
      <c r="Z53" s="1"/>
      <c r="AA53" s="1"/>
    </row>
    <row r="54" spans="1:27" ht="15.75" customHeight="1">
      <c r="A54" s="34">
        <v>45</v>
      </c>
      <c r="B54" s="35">
        <f t="shared" si="0"/>
        <v>0</v>
      </c>
      <c r="C54" s="24">
        <f t="shared" si="1"/>
        <v>0</v>
      </c>
      <c r="D54" s="25">
        <f t="shared" ref="D54:J54" si="48">P54</f>
        <v>0</v>
      </c>
      <c r="E54" s="26">
        <f t="shared" si="48"/>
        <v>0</v>
      </c>
      <c r="F54" s="27">
        <f t="shared" si="48"/>
        <v>0</v>
      </c>
      <c r="G54" s="27">
        <f t="shared" si="48"/>
        <v>0</v>
      </c>
      <c r="H54" s="27">
        <f t="shared" si="48"/>
        <v>0</v>
      </c>
      <c r="I54" s="28">
        <f t="shared" si="48"/>
        <v>0</v>
      </c>
      <c r="J54" s="28">
        <f t="shared" si="48"/>
        <v>0</v>
      </c>
      <c r="K54" s="28">
        <f t="shared" si="3"/>
        <v>0</v>
      </c>
      <c r="L54" s="29">
        <f t="shared" si="4"/>
        <v>0</v>
      </c>
      <c r="M54" s="6" t="str">
        <f>VLOOKUP(K54,GradingPolicy!$B$2:$C$11,2)</f>
        <v>F (Fail)</v>
      </c>
      <c r="P54" s="30"/>
      <c r="Q54" s="31"/>
      <c r="R54" s="30"/>
      <c r="S54" s="30"/>
      <c r="T54" s="30"/>
      <c r="U54" s="30"/>
      <c r="V54" s="30"/>
      <c r="W54" s="37"/>
      <c r="X54" s="35"/>
      <c r="Y54" s="1"/>
      <c r="Z54" s="1"/>
      <c r="AA54" s="1"/>
    </row>
    <row r="55" spans="1:27" ht="15" customHeight="1">
      <c r="A55" s="34">
        <v>46</v>
      </c>
      <c r="B55" s="35">
        <f t="shared" si="0"/>
        <v>0</v>
      </c>
      <c r="C55" s="24">
        <f t="shared" si="1"/>
        <v>0</v>
      </c>
      <c r="D55" s="25">
        <f t="shared" ref="D55:J55" si="49">P55</f>
        <v>0</v>
      </c>
      <c r="E55" s="26">
        <f t="shared" si="49"/>
        <v>0</v>
      </c>
      <c r="F55" s="27">
        <f t="shared" si="49"/>
        <v>0</v>
      </c>
      <c r="G55" s="27">
        <f t="shared" si="49"/>
        <v>0</v>
      </c>
      <c r="H55" s="27">
        <f t="shared" si="49"/>
        <v>0</v>
      </c>
      <c r="I55" s="28">
        <f t="shared" si="49"/>
        <v>0</v>
      </c>
      <c r="J55" s="28">
        <f t="shared" si="49"/>
        <v>0</v>
      </c>
      <c r="K55" s="28">
        <f t="shared" si="3"/>
        <v>0</v>
      </c>
      <c r="L55" s="29">
        <f t="shared" si="4"/>
        <v>0</v>
      </c>
      <c r="M55" s="6" t="str">
        <f>VLOOKUP(K55,GradingPolicy!$B$2:$C$11,2)</f>
        <v>F (Fail)</v>
      </c>
      <c r="P55" s="30"/>
      <c r="Q55" s="31"/>
      <c r="R55" s="30"/>
      <c r="S55" s="30"/>
      <c r="T55" s="30"/>
      <c r="U55" s="30"/>
      <c r="V55" s="30"/>
      <c r="W55" s="37"/>
      <c r="X55" s="35"/>
      <c r="Y55" s="1"/>
      <c r="Z55" s="1"/>
      <c r="AA55" s="1"/>
    </row>
    <row r="56" spans="1:27" ht="15.75" customHeight="1">
      <c r="A56" s="34">
        <v>47</v>
      </c>
      <c r="B56" s="35">
        <f t="shared" si="0"/>
        <v>0</v>
      </c>
      <c r="C56" s="24">
        <f t="shared" si="1"/>
        <v>0</v>
      </c>
      <c r="D56" s="25">
        <f t="shared" ref="D56:J56" si="50">P56</f>
        <v>0</v>
      </c>
      <c r="E56" s="26">
        <f t="shared" si="50"/>
        <v>0</v>
      </c>
      <c r="F56" s="27">
        <f t="shared" si="50"/>
        <v>0</v>
      </c>
      <c r="G56" s="27">
        <f t="shared" si="50"/>
        <v>0</v>
      </c>
      <c r="H56" s="27">
        <f t="shared" si="50"/>
        <v>0</v>
      </c>
      <c r="I56" s="28">
        <f t="shared" si="50"/>
        <v>0</v>
      </c>
      <c r="J56" s="28">
        <f t="shared" si="50"/>
        <v>0</v>
      </c>
      <c r="K56" s="28">
        <f t="shared" si="3"/>
        <v>0</v>
      </c>
      <c r="L56" s="29">
        <f t="shared" si="4"/>
        <v>0</v>
      </c>
      <c r="M56" s="6" t="str">
        <f>VLOOKUP(K56,GradingPolicy!$B$2:$C$11,2)</f>
        <v>F (Fail)</v>
      </c>
      <c r="P56" s="30"/>
      <c r="Q56" s="31"/>
      <c r="R56" s="30"/>
      <c r="S56" s="30"/>
      <c r="T56" s="30"/>
      <c r="U56" s="30"/>
      <c r="V56" s="30"/>
      <c r="W56" s="37"/>
      <c r="X56" s="35"/>
      <c r="Y56" s="1"/>
      <c r="Z56" s="1"/>
      <c r="AA56" s="1"/>
    </row>
    <row r="57" spans="1:27" ht="15.75" customHeight="1">
      <c r="A57" s="34">
        <v>48</v>
      </c>
      <c r="B57" s="35">
        <f t="shared" si="0"/>
        <v>0</v>
      </c>
      <c r="C57" s="24">
        <f t="shared" si="1"/>
        <v>0</v>
      </c>
      <c r="D57" s="25">
        <f t="shared" ref="D57:J57" si="51">P57</f>
        <v>0</v>
      </c>
      <c r="E57" s="26">
        <f t="shared" si="51"/>
        <v>0</v>
      </c>
      <c r="F57" s="27">
        <f t="shared" si="51"/>
        <v>0</v>
      </c>
      <c r="G57" s="27">
        <f t="shared" si="51"/>
        <v>0</v>
      </c>
      <c r="H57" s="27">
        <f t="shared" si="51"/>
        <v>0</v>
      </c>
      <c r="I57" s="28">
        <f t="shared" si="51"/>
        <v>0</v>
      </c>
      <c r="J57" s="28">
        <f t="shared" si="51"/>
        <v>0</v>
      </c>
      <c r="K57" s="28">
        <f t="shared" si="3"/>
        <v>0</v>
      </c>
      <c r="L57" s="29">
        <f t="shared" si="4"/>
        <v>0</v>
      </c>
      <c r="M57" s="6" t="str">
        <f>VLOOKUP(K57,GradingPolicy!$B$2:$C$11,2)</f>
        <v>F (Fail)</v>
      </c>
      <c r="P57" s="30"/>
      <c r="Q57" s="31"/>
      <c r="R57" s="30"/>
      <c r="S57" s="30"/>
      <c r="T57" s="30"/>
      <c r="U57" s="30"/>
      <c r="V57" s="30"/>
      <c r="W57" s="37"/>
      <c r="X57" s="35"/>
      <c r="Y57" s="1"/>
      <c r="Z57" s="1"/>
      <c r="AA57" s="1"/>
    </row>
    <row r="58" spans="1:27" ht="15.75" customHeight="1">
      <c r="A58" s="34">
        <v>49</v>
      </c>
      <c r="B58" s="35">
        <f t="shared" si="0"/>
        <v>0</v>
      </c>
      <c r="C58" s="24">
        <f t="shared" si="1"/>
        <v>0</v>
      </c>
      <c r="D58" s="25">
        <f t="shared" ref="D58:J58" si="52">P58</f>
        <v>0</v>
      </c>
      <c r="E58" s="26">
        <f t="shared" si="52"/>
        <v>0</v>
      </c>
      <c r="F58" s="27">
        <f t="shared" si="52"/>
        <v>0</v>
      </c>
      <c r="G58" s="27">
        <f t="shared" si="52"/>
        <v>0</v>
      </c>
      <c r="H58" s="27">
        <f t="shared" si="52"/>
        <v>0</v>
      </c>
      <c r="I58" s="28">
        <f t="shared" si="52"/>
        <v>0</v>
      </c>
      <c r="J58" s="28">
        <f t="shared" si="52"/>
        <v>0</v>
      </c>
      <c r="K58" s="28">
        <f t="shared" si="3"/>
        <v>0</v>
      </c>
      <c r="L58" s="29">
        <f t="shared" si="4"/>
        <v>0</v>
      </c>
      <c r="M58" s="6" t="str">
        <f>VLOOKUP(K58,GradingPolicy!$B$2:$C$11,2)</f>
        <v>F (Fail)</v>
      </c>
      <c r="P58" s="30"/>
      <c r="Q58" s="31"/>
      <c r="R58" s="30"/>
      <c r="S58" s="30"/>
      <c r="T58" s="30"/>
      <c r="U58" s="30"/>
      <c r="V58" s="30"/>
      <c r="W58" s="37"/>
      <c r="X58" s="35"/>
      <c r="Y58" s="1"/>
      <c r="Z58" s="1"/>
      <c r="AA58" s="1"/>
    </row>
    <row r="59" spans="1:27" ht="15.75" customHeight="1">
      <c r="A59" s="34">
        <v>50</v>
      </c>
      <c r="B59" s="35">
        <f t="shared" si="0"/>
        <v>0</v>
      </c>
      <c r="C59" s="24">
        <f t="shared" si="1"/>
        <v>0</v>
      </c>
      <c r="D59" s="25">
        <f t="shared" ref="D59:J59" si="53">P59</f>
        <v>0</v>
      </c>
      <c r="E59" s="26">
        <f t="shared" si="53"/>
        <v>0</v>
      </c>
      <c r="F59" s="27">
        <f t="shared" si="53"/>
        <v>0</v>
      </c>
      <c r="G59" s="27">
        <f t="shared" si="53"/>
        <v>0</v>
      </c>
      <c r="H59" s="27">
        <f t="shared" si="53"/>
        <v>0</v>
      </c>
      <c r="I59" s="28">
        <f t="shared" si="53"/>
        <v>0</v>
      </c>
      <c r="J59" s="28">
        <f t="shared" si="53"/>
        <v>0</v>
      </c>
      <c r="K59" s="28">
        <f t="shared" si="3"/>
        <v>0</v>
      </c>
      <c r="L59" s="29">
        <f t="shared" si="4"/>
        <v>0</v>
      </c>
      <c r="M59" s="6" t="str">
        <f>VLOOKUP(K59,GradingPolicy!$B$2:$C$11,2)</f>
        <v>F (Fail)</v>
      </c>
      <c r="P59" s="30"/>
      <c r="Q59" s="31"/>
      <c r="R59" s="30"/>
      <c r="S59" s="30"/>
      <c r="T59" s="30"/>
      <c r="U59" s="30"/>
      <c r="V59" s="30"/>
      <c r="W59" s="37"/>
      <c r="X59" s="35"/>
      <c r="Y59" s="1"/>
      <c r="Z59" s="1"/>
      <c r="AA59" s="1"/>
    </row>
    <row r="60" spans="1:27" ht="15.75" customHeight="1">
      <c r="A60" s="34">
        <v>51</v>
      </c>
      <c r="B60" s="35">
        <f t="shared" si="0"/>
        <v>0</v>
      </c>
      <c r="C60" s="24">
        <f t="shared" si="1"/>
        <v>0</v>
      </c>
      <c r="D60" s="25">
        <f t="shared" ref="D60:J60" si="54">P60</f>
        <v>0</v>
      </c>
      <c r="E60" s="26">
        <f t="shared" si="54"/>
        <v>0</v>
      </c>
      <c r="F60" s="27">
        <f t="shared" si="54"/>
        <v>0</v>
      </c>
      <c r="G60" s="27">
        <f t="shared" si="54"/>
        <v>0</v>
      </c>
      <c r="H60" s="27">
        <f t="shared" si="54"/>
        <v>0</v>
      </c>
      <c r="I60" s="28">
        <f t="shared" si="54"/>
        <v>0</v>
      </c>
      <c r="J60" s="28">
        <f t="shared" si="54"/>
        <v>0</v>
      </c>
      <c r="K60" s="28">
        <f t="shared" si="3"/>
        <v>0</v>
      </c>
      <c r="L60" s="29">
        <f t="shared" si="4"/>
        <v>0</v>
      </c>
      <c r="M60" s="6" t="str">
        <f>VLOOKUP(K60,GradingPolicy!$B$2:$C$11,2)</f>
        <v>F (Fail)</v>
      </c>
      <c r="P60" s="30"/>
      <c r="Q60" s="31"/>
      <c r="R60" s="30"/>
      <c r="S60" s="30"/>
      <c r="T60" s="30"/>
      <c r="U60" s="30"/>
      <c r="V60" s="30"/>
      <c r="W60" s="37"/>
      <c r="X60" s="35"/>
      <c r="Y60" s="1"/>
      <c r="Z60" s="1"/>
      <c r="AA60" s="1"/>
    </row>
    <row r="61" spans="1:27" ht="15.75" customHeight="1">
      <c r="A61" s="34">
        <v>52</v>
      </c>
      <c r="B61" s="35">
        <f t="shared" si="0"/>
        <v>0</v>
      </c>
      <c r="C61" s="24">
        <f t="shared" si="1"/>
        <v>0</v>
      </c>
      <c r="D61" s="25">
        <f t="shared" ref="D61:J61" si="55">P61</f>
        <v>0</v>
      </c>
      <c r="E61" s="26">
        <f t="shared" si="55"/>
        <v>0</v>
      </c>
      <c r="F61" s="27">
        <f t="shared" si="55"/>
        <v>0</v>
      </c>
      <c r="G61" s="27">
        <f t="shared" si="55"/>
        <v>0</v>
      </c>
      <c r="H61" s="27">
        <f t="shared" si="55"/>
        <v>0</v>
      </c>
      <c r="I61" s="28">
        <f t="shared" si="55"/>
        <v>0</v>
      </c>
      <c r="J61" s="28">
        <f t="shared" si="55"/>
        <v>0</v>
      </c>
      <c r="K61" s="28">
        <f t="shared" si="3"/>
        <v>0</v>
      </c>
      <c r="L61" s="29">
        <f t="shared" si="4"/>
        <v>0</v>
      </c>
      <c r="M61" s="6" t="str">
        <f>VLOOKUP(K61,GradingPolicy!$B$2:$C$11,2)</f>
        <v>F (Fail)</v>
      </c>
      <c r="P61" s="30"/>
      <c r="Q61" s="31"/>
      <c r="R61" s="30"/>
      <c r="S61" s="30"/>
      <c r="T61" s="30"/>
      <c r="U61" s="30"/>
      <c r="V61" s="30"/>
      <c r="W61" s="37"/>
      <c r="X61" s="35"/>
      <c r="Y61" s="1"/>
      <c r="Z61" s="1"/>
      <c r="AA61" s="1"/>
    </row>
    <row r="62" spans="1:27" ht="15.75" customHeight="1">
      <c r="A62" s="34">
        <v>53</v>
      </c>
      <c r="B62" s="35">
        <f t="shared" si="0"/>
        <v>0</v>
      </c>
      <c r="C62" s="24">
        <f t="shared" si="1"/>
        <v>0</v>
      </c>
      <c r="D62" s="25">
        <f t="shared" ref="D62:J62" si="56">P62</f>
        <v>0</v>
      </c>
      <c r="E62" s="26">
        <f t="shared" si="56"/>
        <v>0</v>
      </c>
      <c r="F62" s="27">
        <f t="shared" si="56"/>
        <v>0</v>
      </c>
      <c r="G62" s="27">
        <f t="shared" si="56"/>
        <v>0</v>
      </c>
      <c r="H62" s="27">
        <f t="shared" si="56"/>
        <v>0</v>
      </c>
      <c r="I62" s="28">
        <f t="shared" si="56"/>
        <v>0</v>
      </c>
      <c r="J62" s="28">
        <f t="shared" si="56"/>
        <v>0</v>
      </c>
      <c r="K62" s="28">
        <f t="shared" si="3"/>
        <v>0</v>
      </c>
      <c r="L62" s="29">
        <f t="shared" si="4"/>
        <v>0</v>
      </c>
      <c r="M62" s="6" t="str">
        <f>VLOOKUP(K62,GradingPolicy!$B$2:$C$11,2)</f>
        <v>F (Fail)</v>
      </c>
      <c r="P62" s="30"/>
      <c r="Q62" s="31"/>
      <c r="R62" s="30"/>
      <c r="S62" s="30"/>
      <c r="T62" s="30"/>
      <c r="U62" s="30"/>
      <c r="V62" s="30"/>
      <c r="W62" s="37"/>
      <c r="X62" s="35"/>
      <c r="Y62" s="1"/>
      <c r="Z62" s="1"/>
      <c r="AA62" s="1"/>
    </row>
    <row r="63" spans="1:27" ht="15.75" customHeight="1">
      <c r="A63" s="34">
        <v>54</v>
      </c>
      <c r="B63" s="35">
        <f t="shared" si="0"/>
        <v>0</v>
      </c>
      <c r="C63" s="24">
        <f t="shared" si="1"/>
        <v>0</v>
      </c>
      <c r="D63" s="25">
        <f t="shared" ref="D63:J63" si="57">P63</f>
        <v>0</v>
      </c>
      <c r="E63" s="26">
        <f t="shared" si="57"/>
        <v>0</v>
      </c>
      <c r="F63" s="27">
        <f t="shared" si="57"/>
        <v>0</v>
      </c>
      <c r="G63" s="27">
        <f t="shared" si="57"/>
        <v>0</v>
      </c>
      <c r="H63" s="27">
        <f t="shared" si="57"/>
        <v>0</v>
      </c>
      <c r="I63" s="28">
        <f t="shared" si="57"/>
        <v>0</v>
      </c>
      <c r="J63" s="28">
        <f t="shared" si="57"/>
        <v>0</v>
      </c>
      <c r="K63" s="28">
        <f t="shared" si="3"/>
        <v>0</v>
      </c>
      <c r="L63" s="29">
        <f t="shared" si="4"/>
        <v>0</v>
      </c>
      <c r="M63" s="6" t="str">
        <f>VLOOKUP(K63,GradingPolicy!$B$2:$C$11,2)</f>
        <v>F (Fail)</v>
      </c>
      <c r="P63" s="30"/>
      <c r="Q63" s="31"/>
      <c r="R63" s="30"/>
      <c r="S63" s="30"/>
      <c r="T63" s="30"/>
      <c r="U63" s="30"/>
      <c r="V63" s="30"/>
      <c r="W63" s="37"/>
      <c r="X63" s="35"/>
      <c r="Y63" s="1"/>
      <c r="Z63" s="1"/>
      <c r="AA63" s="1"/>
    </row>
    <row r="64" spans="1:27" ht="15.75" customHeight="1">
      <c r="A64" s="34">
        <v>55</v>
      </c>
      <c r="B64" s="35">
        <f t="shared" si="0"/>
        <v>0</v>
      </c>
      <c r="C64" s="24">
        <f t="shared" si="1"/>
        <v>0</v>
      </c>
      <c r="D64" s="25">
        <f t="shared" ref="D64:J64" si="58">P64</f>
        <v>0</v>
      </c>
      <c r="E64" s="26">
        <f t="shared" si="58"/>
        <v>0</v>
      </c>
      <c r="F64" s="27">
        <f t="shared" si="58"/>
        <v>0</v>
      </c>
      <c r="G64" s="27">
        <f t="shared" si="58"/>
        <v>0</v>
      </c>
      <c r="H64" s="27">
        <f t="shared" si="58"/>
        <v>0</v>
      </c>
      <c r="I64" s="28">
        <f t="shared" si="58"/>
        <v>0</v>
      </c>
      <c r="J64" s="28">
        <f t="shared" si="58"/>
        <v>0</v>
      </c>
      <c r="K64" s="28">
        <f t="shared" si="3"/>
        <v>0</v>
      </c>
      <c r="L64" s="29">
        <f t="shared" si="4"/>
        <v>0</v>
      </c>
      <c r="M64" s="6" t="str">
        <f>VLOOKUP(K64,GradingPolicy!$B$2:$C$11,2)</f>
        <v>F (Fail)</v>
      </c>
      <c r="P64" s="30"/>
      <c r="Q64" s="31"/>
      <c r="R64" s="30"/>
      <c r="S64" s="30"/>
      <c r="T64" s="30"/>
      <c r="U64" s="30"/>
      <c r="V64" s="30"/>
      <c r="W64" s="37"/>
      <c r="X64" s="35"/>
      <c r="Y64" s="1"/>
      <c r="Z64" s="1"/>
      <c r="AA64" s="1"/>
    </row>
    <row r="65" spans="1:27" ht="15.75" customHeight="1">
      <c r="A65" s="34">
        <v>56</v>
      </c>
      <c r="B65" s="35">
        <f t="shared" si="0"/>
        <v>0</v>
      </c>
      <c r="C65" s="24">
        <f t="shared" si="1"/>
        <v>0</v>
      </c>
      <c r="D65" s="25">
        <f t="shared" ref="D65:J65" si="59">P65</f>
        <v>0</v>
      </c>
      <c r="E65" s="26">
        <f t="shared" si="59"/>
        <v>0</v>
      </c>
      <c r="F65" s="27">
        <f t="shared" si="59"/>
        <v>0</v>
      </c>
      <c r="G65" s="27">
        <f t="shared" si="59"/>
        <v>0</v>
      </c>
      <c r="H65" s="27">
        <f t="shared" si="59"/>
        <v>0</v>
      </c>
      <c r="I65" s="28">
        <f t="shared" si="59"/>
        <v>0</v>
      </c>
      <c r="J65" s="28">
        <f t="shared" si="59"/>
        <v>0</v>
      </c>
      <c r="K65" s="28">
        <f t="shared" si="3"/>
        <v>0</v>
      </c>
      <c r="L65" s="29">
        <f t="shared" si="4"/>
        <v>0</v>
      </c>
      <c r="M65" s="6" t="str">
        <f>VLOOKUP(K65,GradingPolicy!$B$2:$C$11,2)</f>
        <v>F (Fail)</v>
      </c>
      <c r="P65" s="30"/>
      <c r="Q65" s="31"/>
      <c r="R65" s="30"/>
      <c r="S65" s="30"/>
      <c r="T65" s="30"/>
      <c r="U65" s="30"/>
      <c r="V65" s="30"/>
      <c r="W65" s="37"/>
      <c r="X65" s="35"/>
      <c r="Y65" s="1"/>
      <c r="Z65" s="1"/>
      <c r="AA65" s="1"/>
    </row>
    <row r="66" spans="1:27" ht="15.75" customHeight="1">
      <c r="A66" s="34">
        <v>57</v>
      </c>
      <c r="B66" s="35">
        <f t="shared" si="0"/>
        <v>0</v>
      </c>
      <c r="C66" s="24">
        <f t="shared" si="1"/>
        <v>0</v>
      </c>
      <c r="D66" s="25">
        <f t="shared" ref="D66:J66" si="60">P66</f>
        <v>0</v>
      </c>
      <c r="E66" s="26">
        <f t="shared" si="60"/>
        <v>0</v>
      </c>
      <c r="F66" s="27">
        <f t="shared" si="60"/>
        <v>0</v>
      </c>
      <c r="G66" s="27">
        <f t="shared" si="60"/>
        <v>0</v>
      </c>
      <c r="H66" s="27">
        <f t="shared" si="60"/>
        <v>0</v>
      </c>
      <c r="I66" s="28">
        <f t="shared" si="60"/>
        <v>0</v>
      </c>
      <c r="J66" s="28">
        <f t="shared" si="60"/>
        <v>0</v>
      </c>
      <c r="K66" s="28">
        <f t="shared" si="3"/>
        <v>0</v>
      </c>
      <c r="L66" s="29">
        <f t="shared" si="4"/>
        <v>0</v>
      </c>
      <c r="M66" s="6" t="str">
        <f>VLOOKUP(K66,GradingPolicy!$B$2:$C$11,2)</f>
        <v>F (Fail)</v>
      </c>
      <c r="P66" s="30"/>
      <c r="Q66" s="31"/>
      <c r="R66" s="30"/>
      <c r="S66" s="30"/>
      <c r="T66" s="30"/>
      <c r="U66" s="30"/>
      <c r="V66" s="30"/>
      <c r="W66" s="37"/>
      <c r="X66" s="35"/>
      <c r="Y66" s="1"/>
      <c r="Z66" s="1"/>
      <c r="AA66" s="1"/>
    </row>
    <row r="67" spans="1:27" ht="15.75" customHeight="1">
      <c r="A67" s="34">
        <v>58</v>
      </c>
      <c r="B67" s="35">
        <f t="shared" si="0"/>
        <v>0</v>
      </c>
      <c r="C67" s="24">
        <f t="shared" si="1"/>
        <v>0</v>
      </c>
      <c r="D67" s="25">
        <f t="shared" ref="D67:J67" si="61">P67</f>
        <v>0</v>
      </c>
      <c r="E67" s="26">
        <f t="shared" si="61"/>
        <v>0</v>
      </c>
      <c r="F67" s="27">
        <f t="shared" si="61"/>
        <v>0</v>
      </c>
      <c r="G67" s="27">
        <f t="shared" si="61"/>
        <v>0</v>
      </c>
      <c r="H67" s="27">
        <f t="shared" si="61"/>
        <v>0</v>
      </c>
      <c r="I67" s="28">
        <f t="shared" si="61"/>
        <v>0</v>
      </c>
      <c r="J67" s="28">
        <f t="shared" si="61"/>
        <v>0</v>
      </c>
      <c r="K67" s="28">
        <f t="shared" si="3"/>
        <v>0</v>
      </c>
      <c r="L67" s="29">
        <f t="shared" si="4"/>
        <v>0</v>
      </c>
      <c r="M67" s="6" t="str">
        <f>VLOOKUP(K67,GradingPolicy!$B$2:$C$11,2)</f>
        <v>F (Fail)</v>
      </c>
      <c r="P67" s="30"/>
      <c r="Q67" s="31"/>
      <c r="R67" s="30"/>
      <c r="S67" s="30"/>
      <c r="T67" s="30"/>
      <c r="U67" s="30"/>
      <c r="V67" s="30"/>
      <c r="W67" s="37"/>
      <c r="X67" s="35"/>
      <c r="Y67" s="1"/>
      <c r="Z67" s="1"/>
      <c r="AA67" s="1"/>
    </row>
    <row r="68" spans="1:27" ht="15.75" customHeight="1">
      <c r="A68" s="34">
        <v>59</v>
      </c>
      <c r="B68" s="35">
        <f t="shared" si="0"/>
        <v>0</v>
      </c>
      <c r="C68" s="24">
        <f t="shared" si="1"/>
        <v>0</v>
      </c>
      <c r="D68" s="25">
        <f t="shared" ref="D68:J68" si="62">P68</f>
        <v>0</v>
      </c>
      <c r="E68" s="26">
        <f t="shared" si="62"/>
        <v>0</v>
      </c>
      <c r="F68" s="27">
        <f t="shared" si="62"/>
        <v>0</v>
      </c>
      <c r="G68" s="27">
        <f t="shared" si="62"/>
        <v>0</v>
      </c>
      <c r="H68" s="27">
        <f t="shared" si="62"/>
        <v>0</v>
      </c>
      <c r="I68" s="28">
        <f t="shared" si="62"/>
        <v>0</v>
      </c>
      <c r="J68" s="28">
        <f t="shared" si="62"/>
        <v>0</v>
      </c>
      <c r="K68" s="28">
        <f t="shared" si="3"/>
        <v>0</v>
      </c>
      <c r="L68" s="29">
        <f t="shared" si="4"/>
        <v>0</v>
      </c>
      <c r="M68" s="6" t="str">
        <f>VLOOKUP(K68,GradingPolicy!$B$2:$C$11,2)</f>
        <v>F (Fail)</v>
      </c>
      <c r="P68" s="30"/>
      <c r="Q68" s="31"/>
      <c r="R68" s="30"/>
      <c r="S68" s="30"/>
      <c r="T68" s="30"/>
      <c r="U68" s="30"/>
      <c r="V68" s="30"/>
      <c r="W68" s="37"/>
      <c r="X68" s="35"/>
      <c r="Y68" s="1"/>
      <c r="Z68" s="1"/>
      <c r="AA68" s="1"/>
    </row>
    <row r="69" spans="1:27" ht="15.75" customHeight="1">
      <c r="A69" s="34">
        <v>60</v>
      </c>
      <c r="B69" s="35">
        <f t="shared" si="0"/>
        <v>0</v>
      </c>
      <c r="C69" s="24">
        <f t="shared" si="1"/>
        <v>0</v>
      </c>
      <c r="D69" s="25">
        <f t="shared" ref="D69:J69" si="63">P69</f>
        <v>0</v>
      </c>
      <c r="E69" s="26">
        <f t="shared" si="63"/>
        <v>0</v>
      </c>
      <c r="F69" s="27">
        <f t="shared" si="63"/>
        <v>0</v>
      </c>
      <c r="G69" s="27">
        <f t="shared" si="63"/>
        <v>0</v>
      </c>
      <c r="H69" s="27">
        <f t="shared" si="63"/>
        <v>0</v>
      </c>
      <c r="I69" s="28">
        <f t="shared" si="63"/>
        <v>0</v>
      </c>
      <c r="J69" s="28">
        <f t="shared" si="63"/>
        <v>0</v>
      </c>
      <c r="K69" s="28">
        <f t="shared" si="3"/>
        <v>0</v>
      </c>
      <c r="L69" s="29">
        <f t="shared" si="4"/>
        <v>0</v>
      </c>
      <c r="M69" s="6" t="str">
        <f>VLOOKUP(K69,GradingPolicy!$B$2:$C$11,2)</f>
        <v>F (Fail)</v>
      </c>
      <c r="P69" s="30"/>
      <c r="Q69" s="31"/>
      <c r="R69" s="30"/>
      <c r="S69" s="30"/>
      <c r="T69" s="30"/>
      <c r="U69" s="30"/>
      <c r="V69" s="30"/>
      <c r="W69" s="37"/>
      <c r="X69" s="35"/>
      <c r="Y69" s="1"/>
      <c r="Z69" s="1"/>
      <c r="AA69" s="1"/>
    </row>
    <row r="70" spans="1:27" ht="15.75" customHeight="1">
      <c r="A70" s="1"/>
      <c r="B70" s="1"/>
      <c r="X70" s="1"/>
      <c r="Y70" s="1"/>
      <c r="Z70" s="1"/>
      <c r="AA70" s="1"/>
    </row>
    <row r="71" spans="1:27" ht="15.75" customHeight="1">
      <c r="A71" s="1"/>
      <c r="B71" s="11" t="s">
        <v>24</v>
      </c>
      <c r="C71" s="39" t="s">
        <v>25</v>
      </c>
      <c r="D71" s="40"/>
      <c r="E71" s="40"/>
      <c r="F71" s="41" t="s">
        <v>26</v>
      </c>
      <c r="G71" s="41" t="s">
        <v>27</v>
      </c>
      <c r="H71" s="14" t="s">
        <v>28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42" t="s">
        <v>11</v>
      </c>
      <c r="C72" s="43">
        <v>0</v>
      </c>
      <c r="D72" s="2"/>
      <c r="E72" s="2"/>
      <c r="F72" s="44" t="s">
        <v>29</v>
      </c>
      <c r="G72" s="45" t="s">
        <v>30</v>
      </c>
      <c r="H72" s="46">
        <f>COUNTIFS(M10:M69,"A+ (Plus)",B10:B69,"&lt;&gt;0")</f>
        <v>0</v>
      </c>
      <c r="J72" s="1"/>
      <c r="K72" s="1"/>
      <c r="L72" s="1"/>
      <c r="M72" s="1"/>
      <c r="N72" s="1"/>
      <c r="O72" s="47" t="s">
        <v>31</v>
      </c>
      <c r="P72" s="28">
        <f t="shared" ref="P72:V72" si="64">MAX(P10:P69)</f>
        <v>0</v>
      </c>
      <c r="Q72" s="48">
        <f t="shared" si="64"/>
        <v>0</v>
      </c>
      <c r="R72" s="48">
        <f t="shared" si="64"/>
        <v>0</v>
      </c>
      <c r="S72" s="48">
        <f t="shared" si="64"/>
        <v>0</v>
      </c>
      <c r="T72" s="48">
        <f t="shared" si="64"/>
        <v>0</v>
      </c>
      <c r="U72" s="48">
        <f t="shared" si="64"/>
        <v>0</v>
      </c>
      <c r="V72" s="48">
        <f t="shared" si="64"/>
        <v>0</v>
      </c>
      <c r="X72" s="1"/>
      <c r="Y72" s="1"/>
      <c r="Z72" s="1"/>
      <c r="AA72" s="1"/>
    </row>
    <row r="73" spans="1:27" ht="15.75" customHeight="1">
      <c r="A73" s="1"/>
      <c r="B73" s="42" t="s">
        <v>12</v>
      </c>
      <c r="C73" s="43">
        <v>0</v>
      </c>
      <c r="D73" s="2"/>
      <c r="E73" s="2"/>
      <c r="F73" s="44" t="s">
        <v>32</v>
      </c>
      <c r="G73" s="46" t="s">
        <v>33</v>
      </c>
      <c r="H73" s="46">
        <f>COUNTIFS(M10:M69,"A (Plain)",B10:B69,"&lt;&gt;0")</f>
        <v>0</v>
      </c>
      <c r="J73" s="1"/>
      <c r="K73" s="1"/>
      <c r="L73" s="1"/>
      <c r="M73" s="1"/>
      <c r="N73" s="1"/>
      <c r="O73" s="47" t="s">
        <v>34</v>
      </c>
      <c r="P73" s="28" t="e">
        <f t="shared" ref="P73:V73" si="65">AVERAGE(P10:P69)</f>
        <v>#DIV/0!</v>
      </c>
      <c r="Q73" s="28" t="e">
        <f t="shared" si="65"/>
        <v>#DIV/0!</v>
      </c>
      <c r="R73" s="28" t="e">
        <f t="shared" si="65"/>
        <v>#DIV/0!</v>
      </c>
      <c r="S73" s="28" t="e">
        <f t="shared" si="65"/>
        <v>#DIV/0!</v>
      </c>
      <c r="T73" s="28" t="e">
        <f t="shared" si="65"/>
        <v>#DIV/0!</v>
      </c>
      <c r="U73" s="28" t="e">
        <f t="shared" si="65"/>
        <v>#DIV/0!</v>
      </c>
      <c r="V73" s="28" t="e">
        <f t="shared" si="65"/>
        <v>#DIV/0!</v>
      </c>
      <c r="X73" s="1"/>
      <c r="Y73" s="1"/>
      <c r="Z73" s="1"/>
      <c r="AA73" s="1"/>
    </row>
    <row r="74" spans="1:27" ht="16.5" customHeight="1">
      <c r="A74" s="1"/>
      <c r="B74" s="22" t="s">
        <v>13</v>
      </c>
      <c r="C74" s="49">
        <v>0</v>
      </c>
      <c r="D74" s="2"/>
      <c r="E74" s="2"/>
      <c r="F74" s="44" t="s">
        <v>35</v>
      </c>
      <c r="G74" s="46" t="s">
        <v>36</v>
      </c>
      <c r="H74" s="46">
        <f>COUNTIFS(M10:M69,"A- (Minus)",B10:B69,"&lt;&gt;0")</f>
        <v>0</v>
      </c>
      <c r="J74" s="1"/>
      <c r="K74" s="1"/>
      <c r="L74" s="1"/>
      <c r="M74" s="1"/>
      <c r="N74" s="1"/>
      <c r="O74" s="47" t="s">
        <v>37</v>
      </c>
      <c r="P74" s="28">
        <f t="shared" ref="P74:V74" si="66">MIN(P10:P69)</f>
        <v>0</v>
      </c>
      <c r="Q74" s="48">
        <f t="shared" si="66"/>
        <v>0</v>
      </c>
      <c r="R74" s="48">
        <f t="shared" si="66"/>
        <v>0</v>
      </c>
      <c r="S74" s="48">
        <f t="shared" si="66"/>
        <v>0</v>
      </c>
      <c r="T74" s="48">
        <f t="shared" si="66"/>
        <v>0</v>
      </c>
      <c r="U74" s="48">
        <f t="shared" si="66"/>
        <v>0</v>
      </c>
      <c r="V74" s="48">
        <f t="shared" si="66"/>
        <v>0</v>
      </c>
      <c r="X74" s="1"/>
      <c r="Y74" s="1"/>
      <c r="Z74" s="1"/>
      <c r="AA74" s="1"/>
    </row>
    <row r="75" spans="1:27" ht="15.75" customHeight="1">
      <c r="A75" s="1"/>
      <c r="B75" s="22" t="s">
        <v>38</v>
      </c>
      <c r="C75" s="49">
        <v>0</v>
      </c>
      <c r="D75" s="2"/>
      <c r="E75" s="2"/>
      <c r="F75" s="44" t="s">
        <v>39</v>
      </c>
      <c r="G75" s="46" t="s">
        <v>40</v>
      </c>
      <c r="H75" s="46">
        <f>COUNTIFS(M10:M69,"B+ (Plus)",B10:B69,"&lt;&gt;0")</f>
        <v>0</v>
      </c>
      <c r="J75" s="1"/>
      <c r="K75" s="1"/>
      <c r="L75" s="1"/>
      <c r="M75" s="1"/>
      <c r="N75" s="1"/>
      <c r="O75" s="1"/>
      <c r="P75" s="1"/>
      <c r="Q75" s="1"/>
      <c r="R75" s="50"/>
      <c r="S75" s="50"/>
      <c r="T75" s="50"/>
      <c r="U75" s="50"/>
      <c r="V75" s="50"/>
      <c r="W75" s="50"/>
      <c r="X75" s="1"/>
      <c r="Y75" s="1"/>
      <c r="Z75" s="1"/>
      <c r="AA75" s="1"/>
    </row>
    <row r="76" spans="1:27" ht="15.75" customHeight="1">
      <c r="A76" s="1"/>
      <c r="B76" s="22" t="s">
        <v>41</v>
      </c>
      <c r="C76" s="49">
        <v>0</v>
      </c>
      <c r="D76" s="2"/>
      <c r="E76" s="2"/>
      <c r="F76" s="44" t="s">
        <v>42</v>
      </c>
      <c r="G76" s="46" t="s">
        <v>43</v>
      </c>
      <c r="H76" s="46">
        <f>COUNTIFS(M10:M69,"B (Plain)",B10:B69,"&lt;&gt;0")</f>
        <v>0</v>
      </c>
      <c r="J76" s="1"/>
      <c r="K76" s="1"/>
      <c r="L76" s="1"/>
      <c r="M76" s="1"/>
      <c r="N76" s="1"/>
      <c r="O76" s="1"/>
      <c r="P76" s="1"/>
      <c r="Q76" s="1"/>
      <c r="R76" s="50"/>
      <c r="S76" s="50"/>
      <c r="T76" s="50"/>
      <c r="U76" s="50"/>
      <c r="V76" s="50"/>
      <c r="W76" s="50"/>
      <c r="X76" s="1"/>
      <c r="Y76" s="1"/>
      <c r="Z76" s="1"/>
      <c r="AA76" s="1"/>
    </row>
    <row r="77" spans="1:27" ht="15.75" customHeight="1">
      <c r="A77" s="1"/>
      <c r="B77" s="22" t="s">
        <v>16</v>
      </c>
      <c r="C77" s="49">
        <v>0</v>
      </c>
      <c r="D77" s="2"/>
      <c r="E77" s="2"/>
      <c r="F77" s="44" t="s">
        <v>44</v>
      </c>
      <c r="G77" s="46" t="s">
        <v>45</v>
      </c>
      <c r="H77" s="46">
        <f>COUNTIFS(M10:M69,"B- (Minus)",B10:B69,"&lt;&gt;0")</f>
        <v>0</v>
      </c>
      <c r="J77" s="1"/>
      <c r="K77" s="1"/>
      <c r="L77" s="1"/>
      <c r="M77" s="1"/>
      <c r="N77" s="1"/>
      <c r="O77" s="1"/>
      <c r="P77" s="1"/>
      <c r="Q77" s="1"/>
      <c r="R77" s="50"/>
      <c r="S77" s="50"/>
      <c r="T77" s="50"/>
      <c r="U77" s="50"/>
      <c r="V77" s="50"/>
      <c r="W77" s="50"/>
      <c r="X77" s="1"/>
      <c r="Y77" s="1"/>
      <c r="Z77" s="1"/>
      <c r="AA77" s="1"/>
    </row>
    <row r="78" spans="1:27" ht="15.75" customHeight="1">
      <c r="A78" s="1"/>
      <c r="B78" s="22" t="s">
        <v>46</v>
      </c>
      <c r="C78" s="49">
        <v>0</v>
      </c>
      <c r="D78" s="2"/>
      <c r="E78" s="2"/>
      <c r="F78" s="44" t="s">
        <v>47</v>
      </c>
      <c r="G78" s="46" t="s">
        <v>48</v>
      </c>
      <c r="H78" s="46">
        <f>COUNTIFS(M10:M69,"C+ (Plus)",B10:B69,"&lt;&gt;0")</f>
        <v>0</v>
      </c>
      <c r="J78" s="1"/>
      <c r="K78" s="1"/>
      <c r="L78" s="1"/>
      <c r="M78" s="1"/>
      <c r="N78" s="1"/>
      <c r="O78" s="1"/>
      <c r="P78" s="1"/>
      <c r="Q78" s="1"/>
      <c r="R78" s="50"/>
      <c r="S78" s="50"/>
      <c r="T78" s="50"/>
      <c r="U78" s="50"/>
      <c r="V78" s="50"/>
      <c r="W78" s="50"/>
      <c r="X78" s="1"/>
      <c r="Y78" s="1"/>
      <c r="Z78" s="1"/>
      <c r="AA78" s="1"/>
    </row>
    <row r="79" spans="1:27" ht="15.75" customHeight="1">
      <c r="A79" s="1"/>
      <c r="B79" s="22" t="s">
        <v>49</v>
      </c>
      <c r="C79" s="22">
        <f>SUM(C72:C78)</f>
        <v>0</v>
      </c>
      <c r="D79" s="51"/>
      <c r="E79" s="51"/>
      <c r="F79" s="44" t="s">
        <v>50</v>
      </c>
      <c r="G79" s="46" t="s">
        <v>51</v>
      </c>
      <c r="H79" s="46">
        <f>COUNTIFS(M10:M69,"C (Plain)",B10:B69,"&lt;&gt;0")</f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2"/>
      <c r="C80" s="3"/>
      <c r="D80" s="1"/>
      <c r="E80" s="1"/>
      <c r="F80" s="44" t="s">
        <v>52</v>
      </c>
      <c r="G80" s="46" t="s">
        <v>53</v>
      </c>
      <c r="H80" s="46">
        <f>COUNTIFS(M10:M69,"D (Plain)",B10:B69,"&lt;&gt;0")</f>
        <v>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2"/>
      <c r="C81" s="3"/>
      <c r="D81" s="1"/>
      <c r="E81" s="1"/>
      <c r="F81" s="44" t="s">
        <v>54</v>
      </c>
      <c r="G81" s="46" t="s">
        <v>55</v>
      </c>
      <c r="H81" s="46">
        <f>COUNTIFS(M10:M69,"F (Fail)",B10:B69,"&lt;&gt;0")</f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2"/>
      <c r="C82" s="3"/>
      <c r="D82" s="1"/>
      <c r="E82" s="1"/>
      <c r="F82" s="52" t="s">
        <v>56</v>
      </c>
      <c r="G82" s="46" t="s">
        <v>57</v>
      </c>
      <c r="H82" s="46">
        <f>COUNTIFS(M10:M69,"I (Incomplete)",B10:B69,"&lt;&gt;0")</f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22.5" customHeight="1">
      <c r="A83" s="1"/>
      <c r="B83" s="189" t="str">
        <f>GradeSheet!$H$5</f>
        <v>Rubaiya Hafiz</v>
      </c>
      <c r="C83" s="190"/>
      <c r="D83" s="1"/>
      <c r="E83" s="1"/>
      <c r="F83" s="52" t="s">
        <v>58</v>
      </c>
      <c r="G83" s="46" t="s">
        <v>59</v>
      </c>
      <c r="H83" s="46">
        <f>COUNTIFS(M10:M69,"W (Withdrawn)",B10:B69,"&lt;&gt;0")</f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>
      <c r="A84" s="1"/>
      <c r="B84" s="191" t="s">
        <v>60</v>
      </c>
      <c r="C84" s="192"/>
      <c r="D84" s="1"/>
      <c r="E84" s="1"/>
      <c r="F84" s="52" t="s">
        <v>61</v>
      </c>
      <c r="G84" s="52"/>
      <c r="H84" s="46">
        <f>SUM(H72:H83)</f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191" t="s">
        <v>62</v>
      </c>
      <c r="C85" s="192"/>
      <c r="D85" s="1"/>
      <c r="E85" s="1"/>
      <c r="F85" s="1"/>
      <c r="G85" s="1"/>
      <c r="H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6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B259" s="9"/>
      <c r="C259" s="10"/>
    </row>
    <row r="260" spans="1:27" ht="15.75" customHeight="1">
      <c r="B260" s="9"/>
      <c r="C260" s="10"/>
    </row>
    <row r="261" spans="1:27" ht="15.75" customHeight="1">
      <c r="B261" s="9"/>
      <c r="C261" s="10"/>
    </row>
    <row r="262" spans="1:27" ht="15.75" customHeight="1">
      <c r="B262" s="9"/>
      <c r="C262" s="10"/>
    </row>
    <row r="263" spans="1:27" ht="15.75" customHeight="1">
      <c r="B263" s="9"/>
      <c r="C263" s="10"/>
    </row>
    <row r="264" spans="1:27" ht="15.75" customHeight="1">
      <c r="B264" s="9"/>
      <c r="C264" s="10"/>
    </row>
    <row r="265" spans="1:27" ht="15.75" customHeight="1">
      <c r="B265" s="9"/>
      <c r="C265" s="10"/>
    </row>
    <row r="266" spans="1:27" ht="15.75" customHeight="1">
      <c r="B266" s="9"/>
      <c r="C266" s="10"/>
    </row>
    <row r="267" spans="1:27" ht="15.75" customHeight="1">
      <c r="B267" s="9"/>
      <c r="C267" s="10"/>
    </row>
    <row r="268" spans="1:27" ht="15.75" customHeight="1">
      <c r="B268" s="9"/>
      <c r="C268" s="10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</sheetData>
  <mergeCells count="8">
    <mergeCell ref="B83:C83"/>
    <mergeCell ref="B84:C84"/>
    <mergeCell ref="B85:C85"/>
    <mergeCell ref="H2:J2"/>
    <mergeCell ref="H3:J3"/>
    <mergeCell ref="H4:J4"/>
    <mergeCell ref="H5:J5"/>
    <mergeCell ref="A7:M7"/>
  </mergeCells>
  <pageMargins left="0.60938967136150235" right="0.85727699530516432" top="1" bottom="1" header="0" footer="0"/>
  <pageSetup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zoomScaleNormal="100" workbookViewId="0"/>
  </sheetViews>
  <sheetFormatPr defaultColWidth="14.375" defaultRowHeight="14.25"/>
  <cols>
    <col min="1" max="1" width="18.75" customWidth="1"/>
    <col min="2" max="2" width="16.375" customWidth="1"/>
    <col min="3" max="3" width="16.75" customWidth="1"/>
    <col min="4" max="23" width="9.125" customWidth="1"/>
  </cols>
  <sheetData>
    <row r="1" spans="1:23" ht="15.75" customHeight="1">
      <c r="A1" s="53" t="s">
        <v>26</v>
      </c>
      <c r="B1" s="54" t="s">
        <v>63</v>
      </c>
      <c r="C1" s="53" t="s">
        <v>27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55" t="s">
        <v>54</v>
      </c>
      <c r="B2" s="56">
        <v>0</v>
      </c>
      <c r="C2" s="56" t="s">
        <v>64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7" t="s">
        <v>52</v>
      </c>
      <c r="B3" s="58">
        <v>50</v>
      </c>
      <c r="C3" s="58" t="s">
        <v>65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7" t="s">
        <v>50</v>
      </c>
      <c r="B4" s="58">
        <v>60</v>
      </c>
      <c r="C4" s="58" t="s">
        <v>66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7" t="s">
        <v>47</v>
      </c>
      <c r="B5" s="58">
        <v>65</v>
      </c>
      <c r="C5" s="58" t="s">
        <v>67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7" t="s">
        <v>44</v>
      </c>
      <c r="B6" s="58">
        <v>70</v>
      </c>
      <c r="C6" s="58" t="s">
        <v>68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7" t="s">
        <v>42</v>
      </c>
      <c r="B7" s="58">
        <v>75</v>
      </c>
      <c r="C7" s="58" t="s">
        <v>69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7" t="s">
        <v>39</v>
      </c>
      <c r="B8" s="58">
        <v>80</v>
      </c>
      <c r="C8" s="58" t="s">
        <v>70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7" t="s">
        <v>35</v>
      </c>
      <c r="B9" s="58">
        <v>85</v>
      </c>
      <c r="C9" s="58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9" t="s">
        <v>32</v>
      </c>
      <c r="B10" s="58">
        <v>90</v>
      </c>
      <c r="C10" s="58" t="s">
        <v>72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>
      <c r="A11" s="60" t="s">
        <v>29</v>
      </c>
      <c r="B11" s="61">
        <v>95</v>
      </c>
      <c r="C11" s="62" t="s">
        <v>73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R1000"/>
  <sheetViews>
    <sheetView showGridLines="0" zoomScaleNormal="100" workbookViewId="0">
      <selection activeCell="G32" sqref="G32"/>
    </sheetView>
  </sheetViews>
  <sheetFormatPr defaultColWidth="14.375" defaultRowHeight="14.25"/>
  <cols>
    <col min="1" max="1" width="2.875" customWidth="1"/>
    <col min="2" max="2" width="4.75" customWidth="1"/>
    <col min="3" max="3" width="5.875" customWidth="1"/>
    <col min="4" max="4" width="6.125" customWidth="1"/>
    <col min="5" max="5" width="6.25" customWidth="1"/>
    <col min="6" max="6" width="7.125" customWidth="1"/>
    <col min="7" max="7" width="6.25" customWidth="1"/>
    <col min="8" max="8" width="11.125" customWidth="1"/>
    <col min="9" max="12" width="6.875" customWidth="1"/>
    <col min="13" max="13" width="6" customWidth="1"/>
    <col min="14" max="14" width="3.875" customWidth="1"/>
    <col min="15" max="15" width="3" customWidth="1"/>
    <col min="16" max="16" width="4.75" customWidth="1"/>
    <col min="17" max="17" width="9.25" customWidth="1"/>
    <col min="18" max="18" width="7.75" customWidth="1"/>
    <col min="19" max="22" width="4.25" customWidth="1"/>
    <col min="23" max="31" width="3.625" customWidth="1"/>
    <col min="32" max="32" width="1" customWidth="1"/>
    <col min="33" max="36" width="3.625" customWidth="1"/>
    <col min="37" max="37" width="6.75" customWidth="1"/>
    <col min="38" max="44" width="3.625" customWidth="1"/>
  </cols>
  <sheetData>
    <row r="1" spans="1:44" ht="16.5" customHeight="1">
      <c r="A1" s="63"/>
      <c r="B1" s="63"/>
      <c r="C1" s="63"/>
      <c r="D1" s="63"/>
      <c r="E1" s="63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</row>
    <row r="2" spans="1:44" ht="16.5" customHeight="1">
      <c r="A2" s="64"/>
      <c r="B2" s="207" t="s">
        <v>0</v>
      </c>
      <c r="C2" s="194"/>
      <c r="D2" s="195"/>
      <c r="E2" s="208" t="str">
        <f>GradeSheet!$H$2</f>
        <v>CSE</v>
      </c>
      <c r="F2" s="194"/>
      <c r="G2" s="194"/>
      <c r="H2" s="194"/>
      <c r="I2" s="194"/>
      <c r="J2" s="194"/>
      <c r="K2" s="194"/>
      <c r="L2" s="194"/>
      <c r="M2" s="194"/>
      <c r="N2" s="195"/>
      <c r="O2" s="207" t="str">
        <f>CONCATENATE("Section ", GradeSheet!$L$2,)</f>
        <v>Section 1</v>
      </c>
      <c r="P2" s="194"/>
      <c r="Q2" s="195"/>
      <c r="R2" s="65"/>
      <c r="S2" s="64"/>
      <c r="T2" s="211" t="s">
        <v>74</v>
      </c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5"/>
      <c r="AO2" s="66"/>
      <c r="AP2" s="66"/>
      <c r="AQ2" s="66"/>
      <c r="AR2" s="64"/>
    </row>
    <row r="3" spans="1:44" ht="16.5" customHeight="1">
      <c r="A3" s="64"/>
      <c r="B3" s="198" t="s">
        <v>4</v>
      </c>
      <c r="C3" s="194"/>
      <c r="D3" s="195"/>
      <c r="E3" s="199" t="str">
        <f>GradeSheet!$H$3</f>
        <v>Operating Systems</v>
      </c>
      <c r="F3" s="194"/>
      <c r="G3" s="194"/>
      <c r="H3" s="194"/>
      <c r="I3" s="194"/>
      <c r="J3" s="194"/>
      <c r="K3" s="194"/>
      <c r="L3" s="194"/>
      <c r="M3" s="194"/>
      <c r="N3" s="195"/>
      <c r="O3" s="198" t="str">
        <f>CONCATENATE(GradeSheet!$H$84," students")</f>
        <v>0 students</v>
      </c>
      <c r="P3" s="194"/>
      <c r="Q3" s="195"/>
      <c r="R3" s="65"/>
      <c r="S3" s="64"/>
      <c r="T3" s="209" t="s">
        <v>75</v>
      </c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195"/>
      <c r="AG3" s="209" t="s">
        <v>76</v>
      </c>
      <c r="AH3" s="194"/>
      <c r="AI3" s="194"/>
      <c r="AJ3" s="194"/>
      <c r="AK3" s="194"/>
      <c r="AL3" s="194"/>
      <c r="AM3" s="194"/>
      <c r="AN3" s="195"/>
      <c r="AO3" s="66"/>
      <c r="AP3" s="66"/>
      <c r="AQ3" s="66"/>
      <c r="AR3" s="64"/>
    </row>
    <row r="4" spans="1:44" ht="16.5" customHeight="1">
      <c r="A4" s="64"/>
      <c r="B4" s="200" t="s">
        <v>8</v>
      </c>
      <c r="C4" s="194"/>
      <c r="D4" s="195"/>
      <c r="E4" s="201">
        <f>GradeSheet!$H$4</f>
        <v>3</v>
      </c>
      <c r="F4" s="194"/>
      <c r="G4" s="194"/>
      <c r="H4" s="194"/>
      <c r="I4" s="194"/>
      <c r="J4" s="194"/>
      <c r="K4" s="194"/>
      <c r="L4" s="194"/>
      <c r="M4" s="194"/>
      <c r="N4" s="195"/>
      <c r="O4" s="201" t="str">
        <f>GradeSheet!$L$3</f>
        <v>Spring 2025</v>
      </c>
      <c r="P4" s="194"/>
      <c r="Q4" s="195"/>
      <c r="R4" s="65"/>
      <c r="S4" s="64"/>
      <c r="T4" s="230">
        <v>1</v>
      </c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5"/>
      <c r="AG4" s="205">
        <v>4</v>
      </c>
      <c r="AH4" s="194"/>
      <c r="AI4" s="194"/>
      <c r="AJ4" s="194"/>
      <c r="AK4" s="194"/>
      <c r="AL4" s="194"/>
      <c r="AM4" s="194"/>
      <c r="AN4" s="195"/>
      <c r="AO4" s="66"/>
      <c r="AP4" s="66"/>
      <c r="AQ4" s="66"/>
      <c r="AR4" s="64"/>
    </row>
    <row r="5" spans="1:44" ht="16.5" customHeight="1">
      <c r="A5" s="64"/>
      <c r="B5" s="63"/>
      <c r="C5" s="63"/>
      <c r="D5" s="63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5"/>
      <c r="S5" s="64"/>
      <c r="T5" s="230">
        <v>2</v>
      </c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5"/>
      <c r="AG5" s="205">
        <v>4</v>
      </c>
      <c r="AH5" s="194"/>
      <c r="AI5" s="194"/>
      <c r="AJ5" s="194"/>
      <c r="AK5" s="194"/>
      <c r="AL5" s="194"/>
      <c r="AM5" s="194"/>
      <c r="AN5" s="195"/>
      <c r="AO5" s="66"/>
      <c r="AP5" s="66"/>
      <c r="AQ5" s="66"/>
      <c r="AR5" s="64"/>
    </row>
    <row r="6" spans="1:44" ht="16.5" customHeight="1">
      <c r="A6" s="68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205">
        <v>3</v>
      </c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5"/>
      <c r="AG6" s="205">
        <v>5</v>
      </c>
      <c r="AH6" s="194"/>
      <c r="AI6" s="194"/>
      <c r="AJ6" s="194"/>
      <c r="AK6" s="194"/>
      <c r="AL6" s="194"/>
      <c r="AM6" s="194"/>
      <c r="AN6" s="195"/>
      <c r="AO6" s="69"/>
      <c r="AP6" s="69"/>
      <c r="AQ6" s="69"/>
      <c r="AR6" s="68"/>
    </row>
    <row r="7" spans="1:44" ht="12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205">
        <v>4</v>
      </c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195"/>
      <c r="AG7" s="205">
        <v>5</v>
      </c>
      <c r="AH7" s="194"/>
      <c r="AI7" s="194"/>
      <c r="AJ7" s="194"/>
      <c r="AK7" s="194"/>
      <c r="AL7" s="194"/>
      <c r="AM7" s="194"/>
      <c r="AN7" s="195"/>
      <c r="AO7" s="70"/>
      <c r="AP7" s="70"/>
      <c r="AQ7" s="70"/>
      <c r="AR7" s="68"/>
    </row>
    <row r="8" spans="1:44" ht="16.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205">
        <v>5</v>
      </c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195"/>
      <c r="AG8" s="205">
        <v>6</v>
      </c>
      <c r="AH8" s="194"/>
      <c r="AI8" s="194"/>
      <c r="AJ8" s="194"/>
      <c r="AK8" s="194"/>
      <c r="AL8" s="194"/>
      <c r="AM8" s="194"/>
      <c r="AN8" s="195"/>
      <c r="AO8" s="70"/>
      <c r="AP8" s="70"/>
      <c r="AQ8" s="70"/>
      <c r="AR8" s="68"/>
    </row>
    <row r="9" spans="1:44" ht="16.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205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E9" s="194"/>
      <c r="AF9" s="195"/>
      <c r="AG9" s="205"/>
      <c r="AH9" s="194"/>
      <c r="AI9" s="194"/>
      <c r="AJ9" s="194"/>
      <c r="AK9" s="194"/>
      <c r="AL9" s="194"/>
      <c r="AM9" s="194"/>
      <c r="AN9" s="195"/>
      <c r="AO9" s="70"/>
      <c r="AP9" s="70"/>
      <c r="AQ9" s="70"/>
      <c r="AR9" s="68"/>
    </row>
    <row r="10" spans="1:44" ht="16.5" customHeight="1">
      <c r="A10" s="68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205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5"/>
      <c r="AG10" s="205"/>
      <c r="AH10" s="194"/>
      <c r="AI10" s="194"/>
      <c r="AJ10" s="194"/>
      <c r="AK10" s="194"/>
      <c r="AL10" s="194"/>
      <c r="AM10" s="194"/>
      <c r="AN10" s="195"/>
      <c r="AO10" s="70"/>
      <c r="AP10" s="70"/>
      <c r="AQ10" s="70"/>
      <c r="AR10" s="68"/>
    </row>
    <row r="11" spans="1:44" ht="16.5" customHeight="1">
      <c r="A11" s="68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205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5"/>
      <c r="AG11" s="205"/>
      <c r="AH11" s="194"/>
      <c r="AI11" s="194"/>
      <c r="AJ11" s="194"/>
      <c r="AK11" s="194"/>
      <c r="AL11" s="194"/>
      <c r="AM11" s="194"/>
      <c r="AN11" s="195"/>
      <c r="AO11" s="70"/>
      <c r="AP11" s="70"/>
      <c r="AQ11" s="70"/>
      <c r="AR11" s="68"/>
    </row>
    <row r="12" spans="1:44" ht="16.5" customHeight="1">
      <c r="A12" s="68"/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205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5"/>
      <c r="AG12" s="205"/>
      <c r="AH12" s="194"/>
      <c r="AI12" s="194"/>
      <c r="AJ12" s="194"/>
      <c r="AK12" s="194"/>
      <c r="AL12" s="194"/>
      <c r="AM12" s="194"/>
      <c r="AN12" s="195"/>
      <c r="AO12" s="70"/>
      <c r="AP12" s="70"/>
      <c r="AQ12" s="70"/>
      <c r="AR12" s="68"/>
    </row>
    <row r="13" spans="1:44" ht="16.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70"/>
      <c r="AP13" s="70"/>
      <c r="AQ13" s="70"/>
      <c r="AR13" s="68"/>
    </row>
    <row r="14" spans="1:44" ht="16.5" customHeight="1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228" t="s">
        <v>77</v>
      </c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70"/>
      <c r="AP14" s="70"/>
      <c r="AQ14" s="70"/>
      <c r="AR14" s="68"/>
    </row>
    <row r="15" spans="1:44" ht="16.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70"/>
      <c r="U15" s="70" t="s">
        <v>78</v>
      </c>
      <c r="V15" s="228" t="s">
        <v>79</v>
      </c>
      <c r="W15" s="190"/>
      <c r="X15" s="190"/>
      <c r="Y15" s="229" t="s">
        <v>80</v>
      </c>
      <c r="Z15" s="195"/>
      <c r="AA15" s="70"/>
      <c r="AB15" s="70" t="s">
        <v>81</v>
      </c>
      <c r="AC15" s="228" t="s">
        <v>82</v>
      </c>
      <c r="AD15" s="190"/>
      <c r="AE15" s="190"/>
      <c r="AF15" s="209"/>
      <c r="AG15" s="194"/>
      <c r="AH15" s="195"/>
      <c r="AI15" s="68"/>
      <c r="AJ15" s="70" t="s">
        <v>83</v>
      </c>
      <c r="AK15" s="71" t="s">
        <v>84</v>
      </c>
      <c r="AL15" s="209"/>
      <c r="AM15" s="195"/>
      <c r="AN15" s="69"/>
      <c r="AO15" s="70"/>
      <c r="AP15" s="70"/>
      <c r="AQ15" s="70"/>
      <c r="AR15" s="68"/>
    </row>
    <row r="16" spans="1:44" ht="16.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228" t="s">
        <v>85</v>
      </c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70"/>
      <c r="AP16" s="70"/>
      <c r="AQ16" s="70"/>
      <c r="AR16" s="68"/>
    </row>
    <row r="17" spans="1:44" ht="16.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212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4"/>
      <c r="AR17" s="68"/>
    </row>
    <row r="18" spans="1:44" ht="16.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215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216"/>
      <c r="AR18" s="68"/>
    </row>
    <row r="19" spans="1:44" ht="16.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217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18"/>
      <c r="AR19" s="68"/>
    </row>
    <row r="20" spans="1:44" ht="16.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68"/>
    </row>
    <row r="21" spans="1:44" ht="16.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211" t="s">
        <v>86</v>
      </c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5"/>
      <c r="AR21" s="68"/>
    </row>
    <row r="22" spans="1:44" ht="16.5" customHeight="1">
      <c r="A22" s="68"/>
      <c r="B22" s="226" t="s">
        <v>87</v>
      </c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5"/>
      <c r="P22" s="68"/>
      <c r="Q22" s="68"/>
      <c r="R22" s="68"/>
      <c r="S22" s="68"/>
      <c r="T22" s="209" t="s">
        <v>88</v>
      </c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195"/>
      <c r="AG22" s="209" t="s">
        <v>76</v>
      </c>
      <c r="AH22" s="194"/>
      <c r="AI22" s="194"/>
      <c r="AJ22" s="194"/>
      <c r="AK22" s="195"/>
      <c r="AL22" s="209" t="s">
        <v>89</v>
      </c>
      <c r="AM22" s="194"/>
      <c r="AN22" s="194"/>
      <c r="AO22" s="194"/>
      <c r="AP22" s="194"/>
      <c r="AQ22" s="195"/>
      <c r="AR22" s="68"/>
    </row>
    <row r="23" spans="1:44" ht="16.5" customHeight="1">
      <c r="A23" s="68"/>
      <c r="B23" s="72" t="s">
        <v>30</v>
      </c>
      <c r="C23" s="72" t="s">
        <v>33</v>
      </c>
      <c r="D23" s="72" t="s">
        <v>36</v>
      </c>
      <c r="E23" s="72" t="s">
        <v>40</v>
      </c>
      <c r="F23" s="72" t="s">
        <v>43</v>
      </c>
      <c r="G23" s="72" t="s">
        <v>45</v>
      </c>
      <c r="H23" s="72" t="s">
        <v>48</v>
      </c>
      <c r="I23" s="72" t="s">
        <v>51</v>
      </c>
      <c r="J23" s="72" t="s">
        <v>53</v>
      </c>
      <c r="K23" s="72" t="s">
        <v>55</v>
      </c>
      <c r="L23" s="72" t="s">
        <v>57</v>
      </c>
      <c r="M23" s="72" t="s">
        <v>59</v>
      </c>
      <c r="N23" s="227" t="s">
        <v>49</v>
      </c>
      <c r="O23" s="195"/>
      <c r="P23" s="68"/>
      <c r="Q23" s="68"/>
      <c r="R23" s="68"/>
      <c r="S23" s="68"/>
      <c r="T23" s="205" t="s">
        <v>90</v>
      </c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5"/>
      <c r="AG23" s="205">
        <v>20</v>
      </c>
      <c r="AH23" s="194"/>
      <c r="AI23" s="194"/>
      <c r="AJ23" s="194"/>
      <c r="AK23" s="195"/>
      <c r="AL23" s="206">
        <f>AG23/P33</f>
        <v>1.0526315789473684</v>
      </c>
      <c r="AM23" s="194"/>
      <c r="AN23" s="194"/>
      <c r="AO23" s="194"/>
      <c r="AP23" s="194"/>
      <c r="AQ23" s="195"/>
      <c r="AR23" s="65"/>
    </row>
    <row r="24" spans="1:44" ht="16.5" customHeight="1">
      <c r="A24" s="68"/>
      <c r="B24" s="73">
        <f>GradeSheet!$H$72</f>
        <v>0</v>
      </c>
      <c r="C24" s="73">
        <f>GradeSheet!$H$73</f>
        <v>0</v>
      </c>
      <c r="D24" s="73">
        <f>GradeSheet!$H$74</f>
        <v>0</v>
      </c>
      <c r="E24" s="73">
        <f>GradeSheet!$H$75</f>
        <v>0</v>
      </c>
      <c r="F24" s="73">
        <f>GradeSheet!$H$76</f>
        <v>0</v>
      </c>
      <c r="G24" s="73">
        <f>GradeSheet!$H$77</f>
        <v>0</v>
      </c>
      <c r="H24" s="73">
        <f>GradeSheet!$H$78</f>
        <v>0</v>
      </c>
      <c r="I24" s="73">
        <f>GradeSheet!$H$79</f>
        <v>0</v>
      </c>
      <c r="J24" s="73">
        <f>GradeSheet!$H$80</f>
        <v>0</v>
      </c>
      <c r="K24" s="73">
        <f>GradeSheet!$H$81</f>
        <v>0</v>
      </c>
      <c r="L24" s="73">
        <f>GradeSheet!$H$82</f>
        <v>0</v>
      </c>
      <c r="M24" s="73">
        <f>GradeSheet!$H$83</f>
        <v>0</v>
      </c>
      <c r="N24" s="224">
        <f t="shared" ref="N24:N25" si="0">SUM(B24:M24)</f>
        <v>0</v>
      </c>
      <c r="O24" s="195"/>
      <c r="P24" s="68"/>
      <c r="Q24" s="68"/>
      <c r="R24" s="68"/>
      <c r="S24" s="68"/>
      <c r="T24" s="205" t="s">
        <v>91</v>
      </c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5"/>
      <c r="AG24" s="205">
        <v>10</v>
      </c>
      <c r="AH24" s="194"/>
      <c r="AI24" s="194"/>
      <c r="AJ24" s="194"/>
      <c r="AK24" s="195"/>
      <c r="AL24" s="206">
        <f>AG24/P33</f>
        <v>0.52631578947368418</v>
      </c>
      <c r="AM24" s="194"/>
      <c r="AN24" s="194"/>
      <c r="AO24" s="194"/>
      <c r="AP24" s="194"/>
      <c r="AQ24" s="195"/>
      <c r="AR24" s="68"/>
    </row>
    <row r="25" spans="1:44" ht="16.5" customHeight="1">
      <c r="A25" s="68"/>
      <c r="B25" s="74" t="e">
        <f>B24/GradeSheet!$H$84</f>
        <v>#DIV/0!</v>
      </c>
      <c r="C25" s="74" t="e">
        <f>C24/GradeSheet!$H$84</f>
        <v>#DIV/0!</v>
      </c>
      <c r="D25" s="74" t="e">
        <f>D24/GradeSheet!$H$84</f>
        <v>#DIV/0!</v>
      </c>
      <c r="E25" s="74" t="e">
        <f>E24/GradeSheet!$H$84</f>
        <v>#DIV/0!</v>
      </c>
      <c r="F25" s="74" t="e">
        <f>F24/GradeSheet!$H$84</f>
        <v>#DIV/0!</v>
      </c>
      <c r="G25" s="74" t="e">
        <f>G24/GradeSheet!$H$84</f>
        <v>#DIV/0!</v>
      </c>
      <c r="H25" s="74" t="e">
        <f>H24/GradeSheet!$H$84</f>
        <v>#DIV/0!</v>
      </c>
      <c r="I25" s="74" t="e">
        <f>I24/GradeSheet!$H$84</f>
        <v>#DIV/0!</v>
      </c>
      <c r="J25" s="74" t="e">
        <f>J24/GradeSheet!$H$84</f>
        <v>#DIV/0!</v>
      </c>
      <c r="K25" s="74" t="e">
        <f>K24/GradeSheet!$H$84</f>
        <v>#DIV/0!</v>
      </c>
      <c r="L25" s="74" t="e">
        <f>L24/GradeSheet!$H$84</f>
        <v>#DIV/0!</v>
      </c>
      <c r="M25" s="74" t="e">
        <f>M24/GradeSheet!$H$84</f>
        <v>#DIV/0!</v>
      </c>
      <c r="N25" s="225" t="e">
        <f t="shared" si="0"/>
        <v>#DIV/0!</v>
      </c>
      <c r="O25" s="195"/>
      <c r="P25" s="68"/>
      <c r="Q25" s="68"/>
      <c r="R25" s="68"/>
      <c r="S25" s="68"/>
      <c r="T25" s="205" t="s">
        <v>92</v>
      </c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5"/>
      <c r="AG25" s="205">
        <v>0</v>
      </c>
      <c r="AH25" s="194"/>
      <c r="AI25" s="194"/>
      <c r="AJ25" s="194"/>
      <c r="AK25" s="195"/>
      <c r="AL25" s="206">
        <f>AG25/P33</f>
        <v>0</v>
      </c>
      <c r="AM25" s="194"/>
      <c r="AN25" s="194"/>
      <c r="AO25" s="194"/>
      <c r="AP25" s="194"/>
      <c r="AQ25" s="195"/>
      <c r="AR25" s="68"/>
    </row>
    <row r="26" spans="1:44" ht="16.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205" t="s">
        <v>93</v>
      </c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5"/>
      <c r="AG26" s="205">
        <v>8</v>
      </c>
      <c r="AH26" s="194"/>
      <c r="AI26" s="194"/>
      <c r="AJ26" s="194"/>
      <c r="AK26" s="195"/>
      <c r="AL26" s="206">
        <f>AG26/P33</f>
        <v>0.42105263157894735</v>
      </c>
      <c r="AM26" s="194"/>
      <c r="AN26" s="194"/>
      <c r="AO26" s="194"/>
      <c r="AP26" s="194"/>
      <c r="AQ26" s="195"/>
      <c r="AR26" s="68"/>
    </row>
    <row r="27" spans="1:44" ht="16.5" customHeight="1">
      <c r="A27" s="68"/>
      <c r="B27" s="75" t="s">
        <v>94</v>
      </c>
      <c r="C27" s="75"/>
      <c r="D27" s="75"/>
      <c r="E27" s="75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205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5"/>
      <c r="AG27" s="205"/>
      <c r="AH27" s="194"/>
      <c r="AI27" s="194"/>
      <c r="AJ27" s="194"/>
      <c r="AK27" s="195"/>
      <c r="AL27" s="206"/>
      <c r="AM27" s="194"/>
      <c r="AN27" s="194"/>
      <c r="AO27" s="194"/>
      <c r="AP27" s="194"/>
      <c r="AQ27" s="195"/>
      <c r="AR27" s="68"/>
    </row>
    <row r="28" spans="1:44" ht="16.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223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  <c r="AG28" s="223"/>
      <c r="AH28" s="190"/>
      <c r="AI28" s="190"/>
      <c r="AJ28" s="190"/>
      <c r="AK28" s="190"/>
      <c r="AL28" s="223"/>
      <c r="AM28" s="190"/>
      <c r="AN28" s="190"/>
      <c r="AO28" s="190"/>
      <c r="AP28" s="190"/>
      <c r="AQ28" s="190"/>
      <c r="AR28" s="68"/>
    </row>
    <row r="29" spans="1:44" ht="16.5" customHeight="1">
      <c r="A29" s="68"/>
      <c r="B29" s="209"/>
      <c r="C29" s="194"/>
      <c r="D29" s="194"/>
      <c r="E29" s="194"/>
      <c r="F29" s="195"/>
      <c r="G29" s="76" t="s">
        <v>18</v>
      </c>
      <c r="H29" s="76" t="s">
        <v>95</v>
      </c>
      <c r="I29" s="68"/>
      <c r="J29" s="209"/>
      <c r="K29" s="194"/>
      <c r="L29" s="194"/>
      <c r="M29" s="194"/>
      <c r="N29" s="194"/>
      <c r="O29" s="195"/>
      <c r="P29" s="76" t="s">
        <v>96</v>
      </c>
      <c r="Q29" s="76" t="s">
        <v>95</v>
      </c>
      <c r="R29" s="68"/>
      <c r="S29" s="68"/>
      <c r="T29" s="223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0"/>
      <c r="AF29" s="190"/>
      <c r="AG29" s="223"/>
      <c r="AH29" s="190"/>
      <c r="AI29" s="190"/>
      <c r="AJ29" s="190"/>
      <c r="AK29" s="190"/>
      <c r="AL29" s="223"/>
      <c r="AM29" s="190"/>
      <c r="AN29" s="190"/>
      <c r="AO29" s="190"/>
      <c r="AP29" s="190"/>
      <c r="AQ29" s="190"/>
      <c r="AR29" s="68"/>
    </row>
    <row r="30" spans="1:44" ht="16.5" customHeight="1">
      <c r="A30" s="68"/>
      <c r="B30" s="209" t="s">
        <v>97</v>
      </c>
      <c r="C30" s="194"/>
      <c r="D30" s="194"/>
      <c r="E30" s="194"/>
      <c r="F30" s="195"/>
      <c r="G30" s="77">
        <f>GradeSheet!$H$84</f>
        <v>0</v>
      </c>
      <c r="H30" s="78" t="e">
        <f>G30/G30</f>
        <v>#DIV/0!</v>
      </c>
      <c r="I30" s="68"/>
      <c r="J30" s="209" t="s">
        <v>98</v>
      </c>
      <c r="K30" s="194"/>
      <c r="L30" s="194"/>
      <c r="M30" s="194"/>
      <c r="N30" s="194"/>
      <c r="O30" s="195"/>
      <c r="P30" s="79">
        <v>20</v>
      </c>
      <c r="Q30" s="78">
        <f>P30/P30</f>
        <v>1</v>
      </c>
      <c r="R30" s="68"/>
      <c r="S30" s="68"/>
      <c r="T30" s="211" t="s">
        <v>99</v>
      </c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5"/>
      <c r="AG30" s="209" t="s">
        <v>76</v>
      </c>
      <c r="AH30" s="194"/>
      <c r="AI30" s="194"/>
      <c r="AJ30" s="194"/>
      <c r="AK30" s="195"/>
      <c r="AL30" s="209" t="s">
        <v>89</v>
      </c>
      <c r="AM30" s="194"/>
      <c r="AN30" s="194"/>
      <c r="AO30" s="194"/>
      <c r="AP30" s="194"/>
      <c r="AQ30" s="195"/>
      <c r="AR30" s="68"/>
    </row>
    <row r="31" spans="1:44" ht="16.5" customHeight="1">
      <c r="A31" s="68"/>
      <c r="B31" s="209" t="s">
        <v>100</v>
      </c>
      <c r="C31" s="194"/>
      <c r="D31" s="194"/>
      <c r="E31" s="194"/>
      <c r="F31" s="195"/>
      <c r="G31" s="77">
        <f>GradeSheet!$H$83</f>
        <v>0</v>
      </c>
      <c r="H31" s="78" t="e">
        <f>G31/G30</f>
        <v>#DIV/0!</v>
      </c>
      <c r="I31" s="68"/>
      <c r="J31" s="209" t="s">
        <v>101</v>
      </c>
      <c r="K31" s="194"/>
      <c r="L31" s="194"/>
      <c r="M31" s="194"/>
      <c r="N31" s="194"/>
      <c r="O31" s="195"/>
      <c r="P31" s="79">
        <v>0</v>
      </c>
      <c r="Q31" s="78">
        <f>P31/P30</f>
        <v>0</v>
      </c>
      <c r="R31" s="68"/>
      <c r="S31" s="68"/>
      <c r="T31" s="205" t="s">
        <v>93</v>
      </c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5"/>
      <c r="AG31" s="205">
        <v>8</v>
      </c>
      <c r="AH31" s="194"/>
      <c r="AI31" s="194"/>
      <c r="AJ31" s="194"/>
      <c r="AK31" s="195"/>
      <c r="AL31" s="206">
        <f>AG31/P33</f>
        <v>0.42105263157894735</v>
      </c>
      <c r="AM31" s="194"/>
      <c r="AN31" s="194"/>
      <c r="AO31" s="194"/>
      <c r="AP31" s="194"/>
      <c r="AQ31" s="195"/>
      <c r="AR31" s="68"/>
    </row>
    <row r="32" spans="1:44" ht="16.5" customHeight="1">
      <c r="A32" s="80"/>
      <c r="B32" s="209" t="s">
        <v>102</v>
      </c>
      <c r="C32" s="194"/>
      <c r="D32" s="194"/>
      <c r="E32" s="194"/>
      <c r="F32" s="195"/>
      <c r="G32" s="79">
        <v>41</v>
      </c>
      <c r="H32" s="78" t="e">
        <f>G32/G30</f>
        <v>#DIV/0!</v>
      </c>
      <c r="I32" s="68"/>
      <c r="J32" s="209" t="s">
        <v>103</v>
      </c>
      <c r="K32" s="194"/>
      <c r="L32" s="194"/>
      <c r="M32" s="194"/>
      <c r="N32" s="194"/>
      <c r="O32" s="195"/>
      <c r="P32" s="79">
        <v>0</v>
      </c>
      <c r="Q32" s="78">
        <f>P32/P30</f>
        <v>0</v>
      </c>
      <c r="R32" s="68"/>
      <c r="S32" s="68"/>
      <c r="T32" s="205" t="s">
        <v>91</v>
      </c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5"/>
      <c r="AG32" s="205">
        <v>10</v>
      </c>
      <c r="AH32" s="194"/>
      <c r="AI32" s="194"/>
      <c r="AJ32" s="194"/>
      <c r="AK32" s="195"/>
      <c r="AL32" s="206">
        <f>AG32/P33</f>
        <v>0.52631578947368418</v>
      </c>
      <c r="AM32" s="194"/>
      <c r="AN32" s="194"/>
      <c r="AO32" s="194"/>
      <c r="AP32" s="194"/>
      <c r="AQ32" s="195"/>
      <c r="AR32" s="68"/>
    </row>
    <row r="33" spans="1:44" ht="17.25" customHeight="1">
      <c r="A33" s="68"/>
      <c r="B33" s="209" t="s">
        <v>104</v>
      </c>
      <c r="C33" s="194"/>
      <c r="D33" s="194"/>
      <c r="E33" s="194"/>
      <c r="F33" s="195"/>
      <c r="G33" s="77">
        <f>GradeSheet!$H$84-(GradeSheet!$H$81+GradeSheet!$H$82+GradeSheet!$H$83)</f>
        <v>0</v>
      </c>
      <c r="H33" s="78" t="e">
        <f>G33/G30</f>
        <v>#DIV/0!</v>
      </c>
      <c r="I33" s="68"/>
      <c r="J33" s="212" t="s">
        <v>105</v>
      </c>
      <c r="K33" s="213"/>
      <c r="L33" s="213"/>
      <c r="M33" s="213"/>
      <c r="N33" s="213"/>
      <c r="O33" s="214"/>
      <c r="P33" s="219">
        <v>19</v>
      </c>
      <c r="Q33" s="222">
        <f>P33/P30</f>
        <v>0.95</v>
      </c>
      <c r="R33" s="68"/>
      <c r="S33" s="68"/>
      <c r="T33" s="209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5"/>
      <c r="AG33" s="209"/>
      <c r="AH33" s="194"/>
      <c r="AI33" s="194"/>
      <c r="AJ33" s="194"/>
      <c r="AK33" s="195"/>
      <c r="AL33" s="209"/>
      <c r="AM33" s="194"/>
      <c r="AN33" s="194"/>
      <c r="AO33" s="194"/>
      <c r="AP33" s="194"/>
      <c r="AQ33" s="195"/>
      <c r="AR33" s="68"/>
    </row>
    <row r="34" spans="1:44" ht="16.5" customHeight="1">
      <c r="A34" s="68"/>
      <c r="B34" s="70"/>
      <c r="C34" s="70"/>
      <c r="D34" s="70"/>
      <c r="E34" s="70"/>
      <c r="F34" s="70"/>
      <c r="G34" s="70"/>
      <c r="H34" s="70"/>
      <c r="I34" s="68"/>
      <c r="J34" s="215"/>
      <c r="K34" s="190"/>
      <c r="L34" s="190"/>
      <c r="M34" s="190"/>
      <c r="N34" s="190"/>
      <c r="O34" s="216"/>
      <c r="P34" s="220"/>
      <c r="Q34" s="220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</row>
    <row r="35" spans="1:44" ht="16.5" customHeight="1">
      <c r="A35" s="68"/>
      <c r="B35" s="70"/>
      <c r="C35" s="70"/>
      <c r="D35" s="70"/>
      <c r="E35" s="70"/>
      <c r="F35" s="70"/>
      <c r="G35" s="70"/>
      <c r="H35" s="70"/>
      <c r="I35" s="68"/>
      <c r="J35" s="217"/>
      <c r="K35" s="203"/>
      <c r="L35" s="203"/>
      <c r="M35" s="203"/>
      <c r="N35" s="203"/>
      <c r="O35" s="218"/>
      <c r="P35" s="221"/>
      <c r="Q35" s="221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</row>
    <row r="36" spans="1:44" ht="16.5" customHeight="1">
      <c r="A36" s="68"/>
      <c r="B36" s="68"/>
      <c r="C36" s="68"/>
      <c r="D36" s="68"/>
      <c r="E36" s="68"/>
      <c r="F36" s="68"/>
      <c r="G36" s="68"/>
      <c r="H36" s="68"/>
      <c r="I36" s="68"/>
      <c r="J36" s="70"/>
      <c r="K36" s="70"/>
      <c r="L36" s="70"/>
      <c r="M36" s="70"/>
      <c r="N36" s="70"/>
      <c r="O36" s="70"/>
      <c r="P36" s="70"/>
      <c r="Q36" s="70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</row>
    <row r="37" spans="1:44" ht="16.5" customHeight="1">
      <c r="A37" s="68"/>
      <c r="B37" s="209" t="s">
        <v>106</v>
      </c>
      <c r="C37" s="194"/>
      <c r="D37" s="194"/>
      <c r="E37" s="194"/>
      <c r="F37" s="194"/>
      <c r="G37" s="195"/>
      <c r="H37" s="68"/>
      <c r="I37" s="68"/>
      <c r="J37" s="209"/>
      <c r="K37" s="194"/>
      <c r="L37" s="194"/>
      <c r="M37" s="194"/>
      <c r="N37" s="194"/>
      <c r="O37" s="195"/>
      <c r="P37" s="210" t="s">
        <v>96</v>
      </c>
      <c r="Q37" s="195"/>
      <c r="R37" s="68"/>
      <c r="S37" s="68"/>
      <c r="T37" s="211" t="s">
        <v>107</v>
      </c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5"/>
      <c r="AG37" s="209" t="s">
        <v>76</v>
      </c>
      <c r="AH37" s="194"/>
      <c r="AI37" s="194"/>
      <c r="AJ37" s="194"/>
      <c r="AK37" s="195"/>
      <c r="AL37" s="209" t="s">
        <v>89</v>
      </c>
      <c r="AM37" s="194"/>
      <c r="AN37" s="194"/>
      <c r="AO37" s="194"/>
      <c r="AP37" s="194"/>
      <c r="AQ37" s="195"/>
      <c r="AR37" s="68"/>
    </row>
    <row r="38" spans="1:44" ht="16.5" customHeight="1">
      <c r="A38" s="68"/>
      <c r="B38" s="209" t="s">
        <v>108</v>
      </c>
      <c r="C38" s="194"/>
      <c r="D38" s="194"/>
      <c r="E38" s="194"/>
      <c r="F38" s="195"/>
      <c r="G38" s="79">
        <v>2</v>
      </c>
      <c r="H38" s="68"/>
      <c r="I38" s="68"/>
      <c r="J38" s="209" t="s">
        <v>109</v>
      </c>
      <c r="K38" s="194"/>
      <c r="L38" s="194"/>
      <c r="M38" s="194"/>
      <c r="N38" s="194"/>
      <c r="O38" s="195"/>
      <c r="P38" s="205" t="s">
        <v>110</v>
      </c>
      <c r="Q38" s="195"/>
      <c r="R38" s="68"/>
      <c r="S38" s="68"/>
      <c r="T38" s="205" t="s">
        <v>111</v>
      </c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5"/>
      <c r="AG38" s="205">
        <v>0</v>
      </c>
      <c r="AH38" s="194"/>
      <c r="AI38" s="194"/>
      <c r="AJ38" s="194"/>
      <c r="AK38" s="195"/>
      <c r="AL38" s="206">
        <f>AG38/P33</f>
        <v>0</v>
      </c>
      <c r="AM38" s="194"/>
      <c r="AN38" s="194"/>
      <c r="AO38" s="194"/>
      <c r="AP38" s="194"/>
      <c r="AQ38" s="195"/>
      <c r="AR38" s="68"/>
    </row>
    <row r="39" spans="1:44" ht="16.5" customHeight="1">
      <c r="A39" s="68"/>
      <c r="B39" s="209" t="s">
        <v>112</v>
      </c>
      <c r="C39" s="194"/>
      <c r="D39" s="194"/>
      <c r="E39" s="194"/>
      <c r="F39" s="195"/>
      <c r="G39" s="79">
        <v>3</v>
      </c>
      <c r="H39" s="68"/>
      <c r="I39" s="68"/>
      <c r="J39" s="209" t="s">
        <v>113</v>
      </c>
      <c r="K39" s="194"/>
      <c r="L39" s="194"/>
      <c r="M39" s="194"/>
      <c r="N39" s="194"/>
      <c r="O39" s="195"/>
      <c r="P39" s="205" t="s">
        <v>110</v>
      </c>
      <c r="Q39" s="195"/>
      <c r="R39" s="68"/>
      <c r="S39" s="68"/>
      <c r="T39" s="205" t="s">
        <v>114</v>
      </c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5"/>
      <c r="AG39" s="205">
        <v>20</v>
      </c>
      <c r="AH39" s="194"/>
      <c r="AI39" s="194"/>
      <c r="AJ39" s="194"/>
      <c r="AK39" s="195"/>
      <c r="AL39" s="206">
        <f>AG39/P33</f>
        <v>1.0526315789473684</v>
      </c>
      <c r="AM39" s="194"/>
      <c r="AN39" s="194"/>
      <c r="AO39" s="194"/>
      <c r="AP39" s="194"/>
      <c r="AQ39" s="195"/>
      <c r="AR39" s="68"/>
    </row>
    <row r="40" spans="1:44" ht="16.5" customHeight="1">
      <c r="A40" s="68"/>
      <c r="B40" s="70"/>
      <c r="C40" s="70"/>
      <c r="D40" s="70"/>
      <c r="E40" s="70"/>
      <c r="F40" s="70"/>
      <c r="G40" s="70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205" t="s">
        <v>115</v>
      </c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5"/>
      <c r="AG40" s="205">
        <v>12</v>
      </c>
      <c r="AH40" s="194"/>
      <c r="AI40" s="194"/>
      <c r="AJ40" s="194"/>
      <c r="AK40" s="195"/>
      <c r="AL40" s="206">
        <f>AG40/P33</f>
        <v>0.63157894736842102</v>
      </c>
      <c r="AM40" s="194"/>
      <c r="AN40" s="194"/>
      <c r="AO40" s="194"/>
      <c r="AP40" s="194"/>
      <c r="AQ40" s="195"/>
      <c r="AR40" s="68"/>
    </row>
    <row r="41" spans="1:44" ht="16.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205" t="s">
        <v>116</v>
      </c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5"/>
      <c r="AG41" s="205">
        <v>0</v>
      </c>
      <c r="AH41" s="194"/>
      <c r="AI41" s="194"/>
      <c r="AJ41" s="194"/>
      <c r="AK41" s="195"/>
      <c r="AL41" s="206">
        <f>AG41/P33</f>
        <v>0</v>
      </c>
      <c r="AM41" s="194"/>
      <c r="AN41" s="194"/>
      <c r="AO41" s="194"/>
      <c r="AP41" s="194"/>
      <c r="AQ41" s="195"/>
      <c r="AR41" s="68"/>
    </row>
    <row r="42" spans="1:44" ht="16.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205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5"/>
      <c r="AG42" s="205"/>
      <c r="AH42" s="194"/>
      <c r="AI42" s="194"/>
      <c r="AJ42" s="194"/>
      <c r="AK42" s="195"/>
      <c r="AL42" s="206"/>
      <c r="AM42" s="194"/>
      <c r="AN42" s="194"/>
      <c r="AO42" s="194"/>
      <c r="AP42" s="194"/>
      <c r="AQ42" s="195"/>
      <c r="AR42" s="68"/>
    </row>
    <row r="43" spans="1:44" ht="16.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</row>
    <row r="44" spans="1:44" ht="16.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</row>
    <row r="45" spans="1:44" ht="16.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</row>
    <row r="46" spans="1:44" ht="16.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81"/>
      <c r="U46" s="81"/>
      <c r="V46" s="81"/>
      <c r="W46" s="81"/>
      <c r="X46" s="82" t="str">
        <f>GradeSheet!$H$5</f>
        <v>Rubaiya Hafiz</v>
      </c>
      <c r="Y46" s="81"/>
      <c r="Z46" s="81"/>
      <c r="AA46" s="81"/>
      <c r="AB46" s="81"/>
      <c r="AC46" s="81"/>
      <c r="AD46" s="81"/>
      <c r="AE46" s="81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</row>
    <row r="47" spans="1:44" ht="16.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83" t="s">
        <v>117</v>
      </c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</row>
    <row r="48" spans="1:44" ht="16.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</row>
    <row r="49" spans="1:44" ht="16.5" customHeight="1">
      <c r="A49" s="68"/>
      <c r="B49" s="68"/>
      <c r="C49" s="83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</row>
    <row r="50" spans="1:44" ht="16.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</row>
    <row r="51" spans="1:44" ht="16.5" customHeight="1">
      <c r="A51" s="68"/>
      <c r="B51" s="207" t="s">
        <v>0</v>
      </c>
      <c r="C51" s="194"/>
      <c r="D51" s="195"/>
      <c r="E51" s="208" t="str">
        <f>GradeSheet!$H$2</f>
        <v>CSE</v>
      </c>
      <c r="F51" s="194"/>
      <c r="G51" s="194"/>
      <c r="H51" s="194"/>
      <c r="I51" s="194"/>
      <c r="J51" s="194"/>
      <c r="K51" s="194"/>
      <c r="L51" s="194"/>
      <c r="M51" s="194"/>
      <c r="N51" s="195"/>
      <c r="O51" s="207" t="str">
        <f>CONCATENATE("Section ", GradeSheet!$L$2,)</f>
        <v>Section 1</v>
      </c>
      <c r="P51" s="194"/>
      <c r="Q51" s="195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</row>
    <row r="52" spans="1:44" ht="16.5" customHeight="1">
      <c r="A52" s="68"/>
      <c r="B52" s="198" t="s">
        <v>4</v>
      </c>
      <c r="C52" s="194"/>
      <c r="D52" s="195"/>
      <c r="E52" s="199" t="str">
        <f>GradeSheet!$H$3</f>
        <v>Operating Systems</v>
      </c>
      <c r="F52" s="194"/>
      <c r="G52" s="194"/>
      <c r="H52" s="194"/>
      <c r="I52" s="194"/>
      <c r="J52" s="194"/>
      <c r="K52" s="194"/>
      <c r="L52" s="194"/>
      <c r="M52" s="194"/>
      <c r="N52" s="195"/>
      <c r="O52" s="198" t="str">
        <f>CONCATENATE(GradeSheet!$H$84," students")</f>
        <v>0 students</v>
      </c>
      <c r="P52" s="194"/>
      <c r="Q52" s="195"/>
      <c r="R52" s="65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</row>
    <row r="53" spans="1:44" ht="16.5" customHeight="1">
      <c r="A53" s="68"/>
      <c r="B53" s="200" t="s">
        <v>8</v>
      </c>
      <c r="C53" s="194"/>
      <c r="D53" s="195"/>
      <c r="E53" s="201">
        <f>GradeSheet!$H$4</f>
        <v>3</v>
      </c>
      <c r="F53" s="194"/>
      <c r="G53" s="194"/>
      <c r="H53" s="194"/>
      <c r="I53" s="194"/>
      <c r="J53" s="194"/>
      <c r="K53" s="194"/>
      <c r="L53" s="194"/>
      <c r="M53" s="194"/>
      <c r="N53" s="195"/>
      <c r="O53" s="201" t="str">
        <f>GradeSheet!$L$3</f>
        <v>Spring 2025</v>
      </c>
      <c r="P53" s="194"/>
      <c r="Q53" s="195"/>
      <c r="R53" s="65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</row>
    <row r="54" spans="1:44" ht="16.5" customHeight="1">
      <c r="A54" s="68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</row>
    <row r="55" spans="1:44" ht="16.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</row>
    <row r="56" spans="1:44" ht="16.5" customHeight="1">
      <c r="A56" s="68"/>
      <c r="B56" s="68"/>
      <c r="C56" s="68"/>
      <c r="D56" s="68"/>
      <c r="E56" s="68"/>
      <c r="F56" s="68"/>
      <c r="G56" s="68"/>
      <c r="H56" s="68"/>
      <c r="I56" s="68"/>
      <c r="J56" s="84"/>
      <c r="K56" s="84"/>
      <c r="L56" s="84"/>
      <c r="M56" s="84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</row>
    <row r="57" spans="1:44" ht="16.5" customHeight="1">
      <c r="A57" s="68"/>
      <c r="B57" s="68"/>
      <c r="C57" s="68"/>
      <c r="D57" s="68"/>
      <c r="E57" s="202" t="s">
        <v>118</v>
      </c>
      <c r="F57" s="203"/>
      <c r="G57" s="203"/>
      <c r="H57" s="203"/>
      <c r="I57" s="203"/>
      <c r="J57" s="203"/>
      <c r="K57" s="203"/>
      <c r="L57" s="203"/>
      <c r="M57" s="203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</row>
    <row r="58" spans="1:44" ht="16.5" customHeight="1">
      <c r="A58" s="68"/>
      <c r="B58" s="68"/>
      <c r="C58" s="68"/>
      <c r="D58" s="68"/>
      <c r="E58" s="204"/>
      <c r="F58" s="194"/>
      <c r="G58" s="195"/>
      <c r="H58" s="72" t="s">
        <v>119</v>
      </c>
      <c r="I58" s="72" t="s">
        <v>120</v>
      </c>
      <c r="J58" s="72" t="s">
        <v>121</v>
      </c>
      <c r="K58" s="72" t="s">
        <v>122</v>
      </c>
      <c r="L58" s="72" t="s">
        <v>123</v>
      </c>
      <c r="M58" s="72" t="s">
        <v>124</v>
      </c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</row>
    <row r="59" spans="1:44" ht="16.5" customHeight="1">
      <c r="A59" s="68"/>
      <c r="B59" s="68"/>
      <c r="C59" s="68"/>
      <c r="D59" s="68"/>
      <c r="E59" s="197" t="s">
        <v>125</v>
      </c>
      <c r="F59" s="194"/>
      <c r="G59" s="195"/>
      <c r="H59" s="73">
        <f>CO_PO_AttainmentAnalysis!AN76</f>
        <v>0</v>
      </c>
      <c r="I59" s="73">
        <f>CO_PO_AttainmentAnalysis!AO76</f>
        <v>0</v>
      </c>
      <c r="J59" s="73">
        <f>CO_PO_AttainmentAnalysis!AP76</f>
        <v>0</v>
      </c>
      <c r="K59" s="73">
        <f>CO_PO_AttainmentAnalysis!AQ76</f>
        <v>0</v>
      </c>
      <c r="L59" s="73">
        <f>CO_PO_AttainmentAnalysis!AR76</f>
        <v>0</v>
      </c>
      <c r="M59" s="73">
        <f>CO_PO_AttainmentAnalysis!AS76</f>
        <v>0</v>
      </c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</row>
    <row r="60" spans="1:44" ht="16.5" customHeight="1">
      <c r="A60" s="68"/>
      <c r="B60" s="68"/>
      <c r="C60" s="68"/>
      <c r="D60" s="68"/>
      <c r="E60" s="197" t="s">
        <v>126</v>
      </c>
      <c r="F60" s="194"/>
      <c r="G60" s="195"/>
      <c r="H60" s="74" t="e">
        <f>CO_PO_AttainmentAnalysis!AH76</f>
        <v>#DIV/0!</v>
      </c>
      <c r="I60" s="74" t="e">
        <f>CO_PO_AttainmentAnalysis!AI76</f>
        <v>#DIV/0!</v>
      </c>
      <c r="J60" s="74" t="e">
        <f>CO_PO_AttainmentAnalysis!AJ76</f>
        <v>#DIV/0!</v>
      </c>
      <c r="K60" s="74" t="e">
        <f>CO_PO_AttainmentAnalysis!AK76</f>
        <v>#DIV/0!</v>
      </c>
      <c r="L60" s="74" t="e">
        <f>CO_PO_AttainmentAnalysis!AL76</f>
        <v>#DIV/0!</v>
      </c>
      <c r="M60" s="74" t="e">
        <f>CO_PO_AttainmentAnalysis!AM76</f>
        <v>#DIV/0!</v>
      </c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</row>
    <row r="61" spans="1:44" ht="16.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</row>
    <row r="62" spans="1:44" ht="16.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</row>
    <row r="63" spans="1:44" ht="16.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</row>
    <row r="64" spans="1:44" ht="16.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</row>
    <row r="65" spans="1:44" ht="16.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</row>
    <row r="66" spans="1:44" ht="16.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</row>
    <row r="67" spans="1:44" ht="16.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</row>
    <row r="68" spans="1:44" ht="16.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</row>
    <row r="69" spans="1:44" ht="16.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</row>
    <row r="70" spans="1:44" ht="16.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</row>
    <row r="71" spans="1:44" ht="16.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</row>
    <row r="72" spans="1:44" ht="16.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</row>
    <row r="73" spans="1:44" ht="16.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</row>
    <row r="74" spans="1:44" ht="16.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</row>
    <row r="75" spans="1:44" ht="16.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</row>
    <row r="76" spans="1:44" ht="16.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</row>
    <row r="77" spans="1:44" ht="16.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</row>
    <row r="78" spans="1:44" ht="16.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</row>
    <row r="79" spans="1:44" ht="16.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</row>
    <row r="80" spans="1:44" ht="16.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</row>
    <row r="81" spans="1:44" ht="16.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</row>
    <row r="82" spans="1:44" ht="16.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</row>
    <row r="83" spans="1:44" ht="16.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</row>
    <row r="84" spans="1:44" ht="16.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</row>
    <row r="85" spans="1:44" ht="16.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</row>
    <row r="86" spans="1:44" ht="16.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</row>
    <row r="87" spans="1:44" ht="16.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</row>
    <row r="88" spans="1:44" ht="16.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</row>
    <row r="89" spans="1:44" ht="16.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</row>
    <row r="90" spans="1:44" ht="16.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</row>
    <row r="91" spans="1:44" ht="16.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</row>
    <row r="92" spans="1:44" ht="16.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</row>
    <row r="93" spans="1:44" ht="16.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</row>
    <row r="94" spans="1:44" ht="16.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</row>
    <row r="95" spans="1:44" ht="16.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</row>
    <row r="96" spans="1:44" ht="16.5" customHeight="1">
      <c r="A96" s="68"/>
      <c r="B96" s="68"/>
      <c r="C96" s="83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</row>
    <row r="97" spans="1:44" ht="16.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</row>
    <row r="98" spans="1:44" ht="16.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</row>
    <row r="99" spans="1:44" ht="16.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</row>
    <row r="100" spans="1:44" ht="16.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</row>
    <row r="101" spans="1:44" ht="16.5" customHeight="1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</row>
    <row r="102" spans="1:44" ht="16.5" customHeight="1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</row>
    <row r="103" spans="1:44" ht="16.5" customHeight="1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</row>
    <row r="104" spans="1:44" ht="16.5" customHeight="1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</row>
    <row r="105" spans="1:44" ht="16.5" customHeight="1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</row>
    <row r="106" spans="1:44" ht="16.5" customHeight="1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</row>
    <row r="107" spans="1:44" ht="16.5" customHeight="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</row>
    <row r="108" spans="1:44" ht="16.5" customHeight="1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</row>
    <row r="109" spans="1:44" ht="16.5" customHeight="1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</row>
    <row r="110" spans="1:44" ht="16.5" customHeight="1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</row>
    <row r="111" spans="1:44" ht="16.5" customHeight="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</row>
    <row r="112" spans="1:44" ht="16.5" customHeight="1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</row>
    <row r="113" spans="1:44" ht="16.5" customHeight="1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</row>
    <row r="114" spans="1:44" ht="16.5" customHeight="1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</row>
    <row r="115" spans="1:44" ht="16.5" customHeight="1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</row>
    <row r="116" spans="1:44" ht="16.5" customHeight="1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</row>
    <row r="117" spans="1:44" ht="16.5" customHeight="1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</row>
    <row r="118" spans="1:44" ht="16.5" customHeight="1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</row>
    <row r="119" spans="1:44" ht="16.5" customHeight="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</row>
    <row r="120" spans="1:44" ht="16.5" customHeight="1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</row>
    <row r="121" spans="1:44" ht="16.5" customHeight="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</row>
    <row r="122" spans="1:44" ht="16.5" customHeight="1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</row>
    <row r="123" spans="1:44" ht="16.5" customHeight="1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</row>
    <row r="124" spans="1:44" ht="16.5" customHeight="1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</row>
    <row r="125" spans="1:44" ht="16.5" customHeight="1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</row>
    <row r="126" spans="1:44" ht="16.5" customHeight="1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</row>
    <row r="127" spans="1:44" ht="16.5" customHeight="1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</row>
    <row r="128" spans="1:44" ht="16.5" customHeight="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</row>
    <row r="129" spans="1:44" ht="16.5" customHeight="1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</row>
    <row r="130" spans="1:44" ht="16.5" customHeight="1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</row>
    <row r="131" spans="1:44" ht="16.5" customHeight="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</row>
    <row r="132" spans="1:44" ht="16.5" customHeight="1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</row>
    <row r="133" spans="1:44" ht="16.5" customHeight="1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</row>
    <row r="134" spans="1:44" ht="16.5" customHeight="1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</row>
    <row r="135" spans="1:44" ht="16.5" customHeight="1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</row>
    <row r="136" spans="1:44" ht="16.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</row>
    <row r="137" spans="1:44" ht="16.5" customHeight="1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</row>
    <row r="138" spans="1:44" ht="16.5" customHeight="1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</row>
    <row r="139" spans="1:44" ht="16.5" customHeight="1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</row>
    <row r="140" spans="1:44" ht="16.5" customHeight="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</row>
    <row r="141" spans="1:44" ht="16.5" customHeight="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</row>
    <row r="142" spans="1:44" ht="16.5" customHeight="1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</row>
    <row r="143" spans="1:44" ht="16.5" customHeight="1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</row>
    <row r="144" spans="1:44" ht="16.5" customHeight="1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</row>
    <row r="145" spans="1:44" ht="16.5" customHeight="1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</row>
    <row r="146" spans="1:44" ht="16.5" customHeight="1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</row>
    <row r="147" spans="1:44" ht="16.5" customHeight="1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</row>
    <row r="148" spans="1:44" ht="16.5" customHeight="1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</row>
    <row r="149" spans="1:44" ht="16.5" customHeight="1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</row>
    <row r="150" spans="1:44" ht="16.5" customHeight="1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</row>
    <row r="151" spans="1:44" ht="16.5" customHeight="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</row>
    <row r="152" spans="1:44" ht="16.5" customHeight="1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</row>
    <row r="153" spans="1:44" ht="16.5" customHeight="1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</row>
    <row r="154" spans="1:44" ht="16.5" customHeight="1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</row>
    <row r="155" spans="1:44" ht="16.5" customHeight="1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</row>
    <row r="156" spans="1:44" ht="16.5" customHeight="1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</row>
    <row r="157" spans="1:44" ht="16.5" customHeight="1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</row>
    <row r="158" spans="1:44" ht="16.5" customHeight="1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</row>
    <row r="159" spans="1:44" ht="16.5" customHeight="1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</row>
    <row r="160" spans="1:44" ht="16.5" customHeight="1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</row>
    <row r="161" spans="1:44" ht="16.5" customHeight="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</row>
    <row r="162" spans="1:44" ht="16.5" customHeight="1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</row>
    <row r="163" spans="1:44" ht="16.5" customHeight="1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</row>
    <row r="164" spans="1:44" ht="16.5" customHeight="1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</row>
    <row r="165" spans="1:44" ht="16.5" customHeight="1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</row>
    <row r="166" spans="1:44" ht="16.5" customHeight="1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</row>
    <row r="167" spans="1:44" ht="16.5" customHeight="1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</row>
    <row r="168" spans="1:44" ht="16.5" customHeight="1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</row>
    <row r="169" spans="1:44" ht="16.5" customHeight="1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</row>
    <row r="170" spans="1:44" ht="16.5" customHeight="1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</row>
    <row r="171" spans="1:44" ht="16.5" customHeight="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</row>
    <row r="172" spans="1:44" ht="16.5" customHeight="1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</row>
    <row r="173" spans="1:44" ht="16.5" customHeight="1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</row>
    <row r="174" spans="1:44" ht="16.5" customHeight="1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</row>
    <row r="175" spans="1:44" ht="16.5" customHeight="1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</row>
    <row r="176" spans="1:44" ht="16.5" customHeight="1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</row>
    <row r="177" spans="1:44" ht="16.5" customHeight="1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</row>
    <row r="178" spans="1:44" ht="16.5" customHeight="1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</row>
    <row r="179" spans="1:44" ht="16.5" customHeight="1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</row>
    <row r="180" spans="1:44" ht="16.5" customHeight="1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</row>
    <row r="181" spans="1:44" ht="16.5" customHeight="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</row>
    <row r="182" spans="1:44" ht="16.5" customHeight="1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</row>
    <row r="183" spans="1:44" ht="16.5" customHeight="1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</row>
    <row r="184" spans="1:44" ht="16.5" customHeight="1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</row>
    <row r="185" spans="1:44" ht="16.5" customHeight="1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</row>
    <row r="186" spans="1:44" ht="16.5" customHeight="1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</row>
    <row r="187" spans="1:44" ht="16.5" customHeight="1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</row>
    <row r="188" spans="1:44" ht="16.5" customHeight="1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</row>
    <row r="189" spans="1:44" ht="16.5" customHeight="1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</row>
    <row r="190" spans="1:44" ht="16.5" customHeight="1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</row>
    <row r="191" spans="1:44" ht="16.5" customHeight="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</row>
    <row r="192" spans="1:44" ht="16.5" customHeight="1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</row>
    <row r="193" spans="1:44" ht="16.5" customHeight="1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</row>
    <row r="194" spans="1:44" ht="16.5" customHeight="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</row>
    <row r="195" spans="1:44" ht="16.5" customHeight="1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</row>
    <row r="196" spans="1:44" ht="16.5" customHeight="1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</row>
    <row r="197" spans="1:44" ht="16.5" customHeight="1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</row>
    <row r="198" spans="1:44" ht="16.5" customHeight="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</row>
    <row r="199" spans="1:44" ht="16.5" customHeight="1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</row>
    <row r="200" spans="1:44" ht="16.5" customHeight="1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</row>
    <row r="201" spans="1:44" ht="16.5" customHeight="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</row>
    <row r="202" spans="1:44" ht="16.5" customHeight="1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</row>
    <row r="203" spans="1:44" ht="16.5" customHeight="1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</row>
    <row r="204" spans="1:44" ht="16.5" customHeight="1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</row>
    <row r="205" spans="1:44" ht="16.5" customHeight="1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</row>
    <row r="206" spans="1:44" ht="16.5" customHeight="1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</row>
    <row r="207" spans="1:44" ht="16.5" customHeight="1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</row>
    <row r="208" spans="1:44" ht="16.5" customHeight="1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</row>
    <row r="209" spans="1:44" ht="16.5" customHeight="1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</row>
    <row r="210" spans="1:44" ht="16.5" customHeight="1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</row>
    <row r="211" spans="1:44" ht="16.5" customHeight="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</row>
    <row r="212" spans="1:44" ht="16.5" customHeight="1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</row>
    <row r="213" spans="1:44" ht="16.5" customHeight="1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</row>
    <row r="214" spans="1:44" ht="16.5" customHeight="1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</row>
    <row r="215" spans="1:44" ht="16.5" customHeight="1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</row>
    <row r="216" spans="1:44" ht="16.5" customHeight="1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</row>
    <row r="217" spans="1:44" ht="16.5" customHeight="1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</row>
    <row r="218" spans="1:44" ht="16.5" customHeight="1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</row>
    <row r="219" spans="1:44" ht="16.5" customHeight="1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</row>
    <row r="220" spans="1:44" ht="16.5" customHeight="1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</row>
    <row r="221" spans="1:44" ht="16.5" customHeight="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</row>
    <row r="222" spans="1:44" ht="16.5" customHeight="1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</row>
    <row r="223" spans="1:44" ht="16.5" customHeight="1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</row>
    <row r="224" spans="1:44" ht="16.5" customHeight="1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</row>
    <row r="225" spans="1:44" ht="16.5" customHeight="1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</row>
    <row r="226" spans="1:44" ht="16.5" customHeight="1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</row>
    <row r="227" spans="1:44" ht="16.5" customHeight="1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</row>
    <row r="228" spans="1:44" ht="16.5" customHeight="1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</row>
    <row r="229" spans="1:44" ht="16.5" customHeight="1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</row>
    <row r="230" spans="1:44" ht="16.5" customHeight="1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</row>
    <row r="231" spans="1:44" ht="16.5" customHeight="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</row>
    <row r="232" spans="1:44" ht="16.5" customHeight="1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</row>
    <row r="233" spans="1:44" ht="16.5" customHeight="1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</row>
    <row r="234" spans="1:44" ht="16.5" customHeight="1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</row>
    <row r="235" spans="1:44" ht="16.5" customHeight="1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</row>
    <row r="236" spans="1:44" ht="16.5" customHeight="1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</row>
    <row r="237" spans="1:44" ht="16.5" customHeight="1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  <c r="AO237" s="68"/>
      <c r="AP237" s="68"/>
      <c r="AQ237" s="68"/>
      <c r="AR237" s="68"/>
    </row>
    <row r="238" spans="1:44" ht="16.5" customHeight="1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  <c r="AO238" s="68"/>
      <c r="AP238" s="68"/>
      <c r="AQ238" s="68"/>
      <c r="AR238" s="68"/>
    </row>
    <row r="239" spans="1:44" ht="16.5" customHeight="1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  <c r="AO239" s="68"/>
      <c r="AP239" s="68"/>
      <c r="AQ239" s="68"/>
      <c r="AR239" s="68"/>
    </row>
    <row r="240" spans="1:44" ht="16.5" customHeight="1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</row>
    <row r="241" spans="1:44" ht="16.5" customHeight="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</row>
    <row r="242" spans="1:44" ht="16.5" customHeight="1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  <c r="AO242" s="68"/>
      <c r="AP242" s="68"/>
      <c r="AQ242" s="68"/>
      <c r="AR242" s="68"/>
    </row>
    <row r="243" spans="1:44" ht="16.5" customHeight="1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</row>
    <row r="244" spans="1:44" ht="16.5" customHeight="1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  <c r="AO244" s="68"/>
      <c r="AP244" s="68"/>
      <c r="AQ244" s="68"/>
      <c r="AR244" s="68"/>
    </row>
    <row r="245" spans="1:44" ht="16.5" customHeight="1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  <c r="AO245" s="68"/>
      <c r="AP245" s="68"/>
      <c r="AQ245" s="68"/>
      <c r="AR245" s="68"/>
    </row>
    <row r="246" spans="1:44" ht="16.5" customHeight="1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  <c r="AO246" s="68"/>
      <c r="AP246" s="68"/>
      <c r="AQ246" s="68"/>
      <c r="AR246" s="68"/>
    </row>
    <row r="247" spans="1:44" ht="16.5" customHeight="1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</row>
    <row r="248" spans="1:44" ht="16.5" customHeight="1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</row>
    <row r="249" spans="1:44" ht="16.5" customHeight="1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  <c r="AO249" s="68"/>
      <c r="AP249" s="68"/>
      <c r="AQ249" s="68"/>
      <c r="AR249" s="68"/>
    </row>
    <row r="250" spans="1:44" ht="16.5" customHeight="1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</row>
    <row r="251" spans="1:44" ht="16.5" customHeight="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</row>
    <row r="252" spans="1:44" ht="16.5" customHeight="1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</row>
    <row r="253" spans="1:44" ht="16.5" customHeight="1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</row>
    <row r="254" spans="1:44" ht="16.5" customHeight="1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  <c r="AO254" s="68"/>
      <c r="AP254" s="68"/>
      <c r="AQ254" s="68"/>
      <c r="AR254" s="68"/>
    </row>
    <row r="255" spans="1:44" ht="16.5" customHeight="1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  <c r="AO255" s="68"/>
      <c r="AP255" s="68"/>
      <c r="AQ255" s="68"/>
      <c r="AR255" s="68"/>
    </row>
    <row r="256" spans="1:44" ht="16.5" customHeight="1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  <c r="AO256" s="68"/>
      <c r="AP256" s="68"/>
      <c r="AQ256" s="68"/>
      <c r="AR256" s="68"/>
    </row>
    <row r="257" spans="1:44" ht="16.5" customHeight="1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  <c r="AO257" s="68"/>
      <c r="AP257" s="68"/>
      <c r="AQ257" s="68"/>
      <c r="AR257" s="68"/>
    </row>
    <row r="258" spans="1:44" ht="16.5" customHeight="1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  <c r="AO258" s="68"/>
      <c r="AP258" s="68"/>
      <c r="AQ258" s="68"/>
      <c r="AR258" s="68"/>
    </row>
    <row r="259" spans="1:44" ht="16.5" customHeight="1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  <c r="AO259" s="68"/>
      <c r="AP259" s="68"/>
      <c r="AQ259" s="68"/>
      <c r="AR259" s="68"/>
    </row>
    <row r="260" spans="1:44" ht="16.5" customHeight="1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B2:D2"/>
    <mergeCell ref="E2:N2"/>
    <mergeCell ref="O2:Q2"/>
    <mergeCell ref="T2:AN2"/>
    <mergeCell ref="B3:D3"/>
    <mergeCell ref="E3:N3"/>
    <mergeCell ref="O3:Q3"/>
    <mergeCell ref="T3:AF3"/>
    <mergeCell ref="AG3:AN3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7:AF7"/>
    <mergeCell ref="AG7:AN7"/>
    <mergeCell ref="T8:AF8"/>
    <mergeCell ref="AG8:AN8"/>
    <mergeCell ref="T9:AF9"/>
    <mergeCell ref="AG9:AN9"/>
    <mergeCell ref="T10:AF10"/>
    <mergeCell ref="AG10:AN10"/>
    <mergeCell ref="T11:AF11"/>
    <mergeCell ref="AG11:AN11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17:AQ19"/>
    <mergeCell ref="T21:AQ21"/>
    <mergeCell ref="B22:O22"/>
    <mergeCell ref="T22:AF22"/>
    <mergeCell ref="AG22:AK22"/>
    <mergeCell ref="AL22:AQ22"/>
    <mergeCell ref="N23:O23"/>
    <mergeCell ref="T23:AF23"/>
    <mergeCell ref="AG23:AK23"/>
    <mergeCell ref="AL23:AQ23"/>
    <mergeCell ref="N24:O24"/>
    <mergeCell ref="T24:AF24"/>
    <mergeCell ref="AG24:AK24"/>
    <mergeCell ref="AL24:AQ24"/>
    <mergeCell ref="N25:O25"/>
    <mergeCell ref="T25:AF25"/>
    <mergeCell ref="AG25:AK25"/>
    <mergeCell ref="AL25:AQ25"/>
    <mergeCell ref="T26:AF26"/>
    <mergeCell ref="AG26:AK26"/>
    <mergeCell ref="AL26:AQ26"/>
    <mergeCell ref="T27:AF27"/>
    <mergeCell ref="AG27:AK27"/>
    <mergeCell ref="AL27:AQ27"/>
    <mergeCell ref="T28:AF28"/>
    <mergeCell ref="AG28:AK28"/>
    <mergeCell ref="AL28:AQ28"/>
    <mergeCell ref="B29:F29"/>
    <mergeCell ref="J29:O29"/>
    <mergeCell ref="T29:AF29"/>
    <mergeCell ref="AG29:AK29"/>
    <mergeCell ref="AL29:AQ29"/>
    <mergeCell ref="B30:F30"/>
    <mergeCell ref="J30:O30"/>
    <mergeCell ref="T30:AF30"/>
    <mergeCell ref="AG30:AK30"/>
    <mergeCell ref="AL30:AQ30"/>
    <mergeCell ref="B31:F31"/>
    <mergeCell ref="J31:O31"/>
    <mergeCell ref="T31:AF31"/>
    <mergeCell ref="AG31:AK31"/>
    <mergeCell ref="AL31:AQ31"/>
    <mergeCell ref="B32:F32"/>
    <mergeCell ref="J32:O32"/>
    <mergeCell ref="T32:AF32"/>
    <mergeCell ref="AG32:AK32"/>
    <mergeCell ref="AL32:AQ32"/>
    <mergeCell ref="B33:F33"/>
    <mergeCell ref="J33:O35"/>
    <mergeCell ref="T33:AF33"/>
    <mergeCell ref="AG33:AK33"/>
    <mergeCell ref="AL33:AQ33"/>
    <mergeCell ref="P33:P35"/>
    <mergeCell ref="Q33:Q35"/>
    <mergeCell ref="B37:G37"/>
    <mergeCell ref="J37:O37"/>
    <mergeCell ref="P37:Q37"/>
    <mergeCell ref="T37:AF37"/>
    <mergeCell ref="AG37:AK37"/>
    <mergeCell ref="AL37:AQ37"/>
    <mergeCell ref="B38:F38"/>
    <mergeCell ref="J38:O38"/>
    <mergeCell ref="P38:Q38"/>
    <mergeCell ref="T38:AF38"/>
    <mergeCell ref="AG38:AK38"/>
    <mergeCell ref="AL38:AQ38"/>
    <mergeCell ref="B39:F39"/>
    <mergeCell ref="J39:O39"/>
    <mergeCell ref="P39:Q39"/>
    <mergeCell ref="T39:AF39"/>
    <mergeCell ref="AG39:AK39"/>
    <mergeCell ref="AL39:AQ39"/>
    <mergeCell ref="T40:AF40"/>
    <mergeCell ref="AG40:AK40"/>
    <mergeCell ref="AL40:AQ40"/>
    <mergeCell ref="T41:AF41"/>
    <mergeCell ref="AG41:AK41"/>
    <mergeCell ref="AL41:AQ41"/>
    <mergeCell ref="T42:AF42"/>
    <mergeCell ref="AG42:AK42"/>
    <mergeCell ref="AL42:AQ42"/>
    <mergeCell ref="B51:D51"/>
    <mergeCell ref="E51:N51"/>
    <mergeCell ref="O51:Q51"/>
    <mergeCell ref="E60:G60"/>
    <mergeCell ref="B52:D52"/>
    <mergeCell ref="E52:N52"/>
    <mergeCell ref="O52:Q52"/>
    <mergeCell ref="B53:D53"/>
    <mergeCell ref="E53:N53"/>
    <mergeCell ref="O53:Q53"/>
    <mergeCell ref="E57:M57"/>
    <mergeCell ref="E58:G58"/>
    <mergeCell ref="E59:G59"/>
  </mergeCells>
  <pageMargins left="0.45" right="0.19302061950427407" top="0.75" bottom="0.75" header="0" footer="0"/>
  <pageSetup paperSize="9" orientation="portrait" useFirstPageNumber="1" horizontalDpi="4294967295" verticalDpi="4294967295"/>
  <headerFooter>
    <oddHeader>&amp;LDepartment of CSE, ULAB&amp;CCourse Summary&amp;RAC18(00) Page &amp;P of</oddHeader>
    <oddFooter>&amp;LGenerated on &amp;D &amp;T&amp;C &amp;RAC18(00) 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0"/>
  <sheetViews>
    <sheetView zoomScaleNormal="100" workbookViewId="0">
      <selection activeCell="L7" sqref="L7"/>
    </sheetView>
  </sheetViews>
  <sheetFormatPr defaultColWidth="14.375" defaultRowHeight="14.25"/>
  <cols>
    <col min="1" max="1" width="9.125" customWidth="1"/>
    <col min="2" max="2" width="15.75" customWidth="1"/>
    <col min="3" max="3" width="37.375" customWidth="1"/>
    <col min="4" max="4" width="8.25" customWidth="1"/>
    <col min="5" max="8" width="7.375" customWidth="1"/>
    <col min="9" max="9" width="8.25" customWidth="1"/>
    <col min="10" max="22" width="7.375" customWidth="1"/>
    <col min="23" max="23" width="7.75" customWidth="1"/>
    <col min="24" max="27" width="7.375" customWidth="1"/>
    <col min="28" max="29" width="7.75" customWidth="1"/>
    <col min="30" max="33" width="7.375" customWidth="1"/>
    <col min="34" max="34" width="10.875" customWidth="1"/>
    <col min="35" max="35" width="7.875" customWidth="1"/>
    <col min="36" max="39" width="7.375" customWidth="1"/>
    <col min="40" max="42" width="9.125" customWidth="1"/>
    <col min="43" max="45" width="10.375" customWidth="1"/>
    <col min="46" max="46" width="8.75" customWidth="1"/>
    <col min="47" max="47" width="10.125" customWidth="1"/>
    <col min="48" max="58" width="9.125" customWidth="1"/>
    <col min="59" max="59" width="9.75" customWidth="1"/>
    <col min="60" max="70" width="9.125" customWidth="1"/>
  </cols>
  <sheetData>
    <row r="1" spans="1:70" ht="15">
      <c r="A1" s="85"/>
      <c r="B1" s="85"/>
      <c r="C1" s="237"/>
      <c r="D1" s="190"/>
      <c r="E1" s="190"/>
      <c r="F1" s="190"/>
      <c r="G1" s="190"/>
      <c r="H1" s="190"/>
      <c r="I1" s="190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238" t="s">
        <v>127</v>
      </c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6"/>
      <c r="BH1" s="85"/>
      <c r="BI1" s="85"/>
      <c r="BJ1" s="85"/>
      <c r="BK1" s="85"/>
      <c r="BL1" s="85"/>
      <c r="BM1" s="85"/>
      <c r="BN1" s="85"/>
      <c r="BO1" s="85"/>
      <c r="BP1" s="85"/>
      <c r="BQ1" s="85"/>
      <c r="BR1" s="85"/>
    </row>
    <row r="2" spans="1:70" ht="15">
      <c r="A2" s="85"/>
      <c r="B2" s="85"/>
      <c r="C2" s="86" t="s">
        <v>128</v>
      </c>
      <c r="D2" s="87" t="s">
        <v>119</v>
      </c>
      <c r="E2" s="88" t="s">
        <v>120</v>
      </c>
      <c r="F2" s="88" t="s">
        <v>121</v>
      </c>
      <c r="G2" s="89" t="s">
        <v>122</v>
      </c>
      <c r="H2" s="89" t="s">
        <v>123</v>
      </c>
      <c r="I2" s="89" t="s">
        <v>124</v>
      </c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90"/>
      <c r="AT2" s="87" t="s">
        <v>129</v>
      </c>
      <c r="AU2" s="88" t="s">
        <v>130</v>
      </c>
      <c r="AV2" s="88" t="s">
        <v>131</v>
      </c>
      <c r="AW2" s="88" t="s">
        <v>132</v>
      </c>
      <c r="AX2" s="88" t="s">
        <v>133</v>
      </c>
      <c r="AY2" s="88" t="s">
        <v>134</v>
      </c>
      <c r="AZ2" s="88" t="s">
        <v>135</v>
      </c>
      <c r="BA2" s="88" t="s">
        <v>136</v>
      </c>
      <c r="BB2" s="88" t="s">
        <v>137</v>
      </c>
      <c r="BC2" s="88" t="s">
        <v>138</v>
      </c>
      <c r="BD2" s="88" t="s">
        <v>139</v>
      </c>
      <c r="BE2" s="89" t="s">
        <v>140</v>
      </c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91"/>
      <c r="BR2" s="91"/>
    </row>
    <row r="3" spans="1:70" ht="15">
      <c r="A3" s="85"/>
      <c r="B3" s="85"/>
      <c r="C3" s="92" t="s">
        <v>41</v>
      </c>
      <c r="D3" s="185">
        <v>0</v>
      </c>
      <c r="E3" s="185">
        <v>0</v>
      </c>
      <c r="F3" s="185">
        <v>0</v>
      </c>
      <c r="G3" s="185">
        <v>0</v>
      </c>
      <c r="H3" s="185">
        <v>0</v>
      </c>
      <c r="I3" s="185">
        <v>0</v>
      </c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5"/>
      <c r="AQ3" s="85"/>
      <c r="AR3" s="85"/>
      <c r="AS3" s="93" t="s">
        <v>119</v>
      </c>
      <c r="AT3" s="94">
        <v>0</v>
      </c>
      <c r="AU3" s="94">
        <v>0</v>
      </c>
      <c r="AV3" s="94">
        <v>0</v>
      </c>
      <c r="AW3" s="94">
        <v>0</v>
      </c>
      <c r="AX3" s="94">
        <v>0</v>
      </c>
      <c r="AY3" s="94">
        <v>0</v>
      </c>
      <c r="AZ3" s="94">
        <v>0</v>
      </c>
      <c r="BA3" s="94">
        <v>0</v>
      </c>
      <c r="BB3" s="94">
        <v>0</v>
      </c>
      <c r="BC3" s="94">
        <v>0</v>
      </c>
      <c r="BD3" s="94">
        <v>0</v>
      </c>
      <c r="BE3" s="94">
        <v>0</v>
      </c>
      <c r="BF3" s="85"/>
      <c r="BG3" s="85"/>
      <c r="BH3" s="85"/>
      <c r="BI3" s="85"/>
      <c r="BJ3" s="85"/>
      <c r="BK3" s="85"/>
      <c r="BL3" s="85"/>
      <c r="BM3" s="85"/>
      <c r="BN3" s="85"/>
      <c r="BO3" s="85"/>
      <c r="BP3" s="85"/>
      <c r="BQ3" s="91"/>
      <c r="BR3" s="91"/>
    </row>
    <row r="4" spans="1:70" ht="15">
      <c r="A4" s="85"/>
      <c r="B4" s="85"/>
      <c r="C4" s="95" t="s">
        <v>46</v>
      </c>
      <c r="D4" s="185">
        <v>0</v>
      </c>
      <c r="E4" s="185">
        <v>0</v>
      </c>
      <c r="F4" s="185">
        <v>0</v>
      </c>
      <c r="G4" s="185">
        <v>0</v>
      </c>
      <c r="H4" s="185">
        <v>0</v>
      </c>
      <c r="I4" s="185">
        <v>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96" t="s">
        <v>120</v>
      </c>
      <c r="AT4" s="94">
        <v>0</v>
      </c>
      <c r="AU4" s="94">
        <v>0</v>
      </c>
      <c r="AV4" s="94">
        <v>0</v>
      </c>
      <c r="AW4" s="94">
        <v>0</v>
      </c>
      <c r="AX4" s="94">
        <v>0</v>
      </c>
      <c r="AY4" s="94">
        <v>0</v>
      </c>
      <c r="AZ4" s="94">
        <v>0</v>
      </c>
      <c r="BA4" s="94">
        <v>0</v>
      </c>
      <c r="BB4" s="94">
        <v>0</v>
      </c>
      <c r="BC4" s="94">
        <v>0</v>
      </c>
      <c r="BD4" s="94">
        <v>0</v>
      </c>
      <c r="BE4" s="94">
        <v>0</v>
      </c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85"/>
      <c r="BQ4" s="91"/>
      <c r="BR4" s="91"/>
    </row>
    <row r="5" spans="1:70" ht="15">
      <c r="A5" s="85"/>
      <c r="B5" s="85"/>
      <c r="C5" s="97" t="s">
        <v>16</v>
      </c>
      <c r="D5" s="185">
        <v>0</v>
      </c>
      <c r="E5" s="185">
        <v>0</v>
      </c>
      <c r="F5" s="185">
        <v>0</v>
      </c>
      <c r="G5" s="185">
        <v>0</v>
      </c>
      <c r="H5" s="185">
        <v>0</v>
      </c>
      <c r="I5" s="185">
        <v>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85"/>
      <c r="AQ5" s="85"/>
      <c r="AR5" s="85"/>
      <c r="AS5" s="96" t="s">
        <v>121</v>
      </c>
      <c r="AT5" s="94">
        <v>0</v>
      </c>
      <c r="AU5" s="94">
        <v>0</v>
      </c>
      <c r="AV5" s="94">
        <v>0</v>
      </c>
      <c r="AW5" s="94">
        <v>0</v>
      </c>
      <c r="AX5" s="94">
        <v>0</v>
      </c>
      <c r="AY5" s="94">
        <v>0</v>
      </c>
      <c r="AZ5" s="94">
        <v>0</v>
      </c>
      <c r="BA5" s="94">
        <v>0</v>
      </c>
      <c r="BB5" s="94">
        <v>0</v>
      </c>
      <c r="BC5" s="94">
        <v>0</v>
      </c>
      <c r="BD5" s="94">
        <v>0</v>
      </c>
      <c r="BE5" s="94">
        <v>0</v>
      </c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85"/>
      <c r="BQ5" s="91"/>
      <c r="BR5" s="91"/>
    </row>
    <row r="6" spans="1:70" ht="15">
      <c r="A6" s="85"/>
      <c r="B6" s="85"/>
      <c r="C6" s="97" t="s">
        <v>92</v>
      </c>
      <c r="D6" s="185">
        <v>0</v>
      </c>
      <c r="E6" s="185">
        <v>0</v>
      </c>
      <c r="F6" s="185">
        <v>0</v>
      </c>
      <c r="G6" s="185">
        <v>0</v>
      </c>
      <c r="H6" s="185">
        <v>0</v>
      </c>
      <c r="I6" s="185">
        <v>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85"/>
      <c r="AS6" s="96" t="s">
        <v>122</v>
      </c>
      <c r="AT6" s="94">
        <v>0</v>
      </c>
      <c r="AU6" s="94">
        <v>0</v>
      </c>
      <c r="AV6" s="94">
        <v>0</v>
      </c>
      <c r="AW6" s="94">
        <v>0</v>
      </c>
      <c r="AX6" s="94">
        <v>0</v>
      </c>
      <c r="AY6" s="94">
        <v>0</v>
      </c>
      <c r="AZ6" s="94">
        <v>0</v>
      </c>
      <c r="BA6" s="94">
        <v>0</v>
      </c>
      <c r="BB6" s="94">
        <v>0</v>
      </c>
      <c r="BC6" s="94">
        <v>0</v>
      </c>
      <c r="BD6" s="94">
        <v>0</v>
      </c>
      <c r="BE6" s="94">
        <v>0</v>
      </c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85"/>
      <c r="BQ6" s="91"/>
      <c r="BR6" s="91"/>
    </row>
    <row r="7" spans="1:70" ht="15">
      <c r="A7" s="85"/>
      <c r="B7" s="85"/>
      <c r="C7" s="86" t="s">
        <v>49</v>
      </c>
      <c r="D7" s="186">
        <f t="shared" ref="D7:I7" si="0">SUM(D3:D6)</f>
        <v>0</v>
      </c>
      <c r="E7" s="187">
        <f t="shared" si="0"/>
        <v>0</v>
      </c>
      <c r="F7" s="187">
        <f t="shared" si="0"/>
        <v>0</v>
      </c>
      <c r="G7" s="188">
        <f t="shared" si="0"/>
        <v>0</v>
      </c>
      <c r="H7" s="188">
        <f t="shared" si="0"/>
        <v>0</v>
      </c>
      <c r="I7" s="188">
        <f t="shared" si="0"/>
        <v>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98" t="s">
        <v>123</v>
      </c>
      <c r="AT7" s="94">
        <v>0</v>
      </c>
      <c r="AU7" s="94">
        <v>0</v>
      </c>
      <c r="AV7" s="94">
        <v>0</v>
      </c>
      <c r="AW7" s="94">
        <v>0</v>
      </c>
      <c r="AX7" s="94">
        <v>0</v>
      </c>
      <c r="AY7" s="94">
        <v>0</v>
      </c>
      <c r="AZ7" s="94">
        <v>0</v>
      </c>
      <c r="BA7" s="94">
        <v>0</v>
      </c>
      <c r="BB7" s="94">
        <v>0</v>
      </c>
      <c r="BC7" s="94">
        <v>0</v>
      </c>
      <c r="BD7" s="94">
        <v>0</v>
      </c>
      <c r="BE7" s="94">
        <v>0</v>
      </c>
      <c r="BF7" s="85"/>
      <c r="BG7" s="85"/>
      <c r="BH7" s="85"/>
      <c r="BI7" s="85"/>
      <c r="BJ7" s="85"/>
      <c r="BK7" s="85"/>
      <c r="BL7" s="85"/>
      <c r="BM7" s="85"/>
      <c r="BN7" s="85"/>
      <c r="BO7" s="85"/>
      <c r="BP7" s="85"/>
      <c r="BQ7" s="91"/>
      <c r="BR7" s="91"/>
    </row>
    <row r="8" spans="1:70" ht="15">
      <c r="A8" s="85"/>
      <c r="B8" s="85"/>
      <c r="C8" s="91"/>
      <c r="D8" s="91"/>
      <c r="E8" s="91"/>
      <c r="F8" s="91"/>
      <c r="G8" s="91"/>
      <c r="H8" s="91"/>
      <c r="I8" s="91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99" t="s">
        <v>124</v>
      </c>
      <c r="AT8" s="94">
        <v>0</v>
      </c>
      <c r="AU8" s="94">
        <v>0</v>
      </c>
      <c r="AV8" s="94">
        <v>0</v>
      </c>
      <c r="AW8" s="94">
        <v>0</v>
      </c>
      <c r="AX8" s="94">
        <v>0</v>
      </c>
      <c r="AY8" s="94">
        <v>0</v>
      </c>
      <c r="AZ8" s="94">
        <v>0</v>
      </c>
      <c r="BA8" s="94">
        <v>0</v>
      </c>
      <c r="BB8" s="94">
        <v>0</v>
      </c>
      <c r="BC8" s="94">
        <v>0</v>
      </c>
      <c r="BD8" s="94">
        <v>0</v>
      </c>
      <c r="BE8" s="94">
        <v>0</v>
      </c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91"/>
      <c r="BR8" s="91"/>
    </row>
    <row r="9" spans="1:70" ht="15">
      <c r="A9" s="85"/>
      <c r="B9" s="85"/>
      <c r="C9" s="85"/>
      <c r="D9" s="100"/>
      <c r="E9" s="100"/>
      <c r="F9" s="100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90" t="s">
        <v>49</v>
      </c>
      <c r="AT9" s="87">
        <f t="shared" ref="AT9:BE9" si="1">SUM(AT3:AT8)</f>
        <v>0</v>
      </c>
      <c r="AU9" s="88">
        <f t="shared" si="1"/>
        <v>0</v>
      </c>
      <c r="AV9" s="88">
        <f t="shared" si="1"/>
        <v>0</v>
      </c>
      <c r="AW9" s="88">
        <f t="shared" si="1"/>
        <v>0</v>
      </c>
      <c r="AX9" s="88">
        <f t="shared" si="1"/>
        <v>0</v>
      </c>
      <c r="AY9" s="88">
        <f t="shared" si="1"/>
        <v>0</v>
      </c>
      <c r="AZ9" s="88">
        <f t="shared" si="1"/>
        <v>0</v>
      </c>
      <c r="BA9" s="88">
        <f t="shared" si="1"/>
        <v>0</v>
      </c>
      <c r="BB9" s="88">
        <f t="shared" si="1"/>
        <v>0</v>
      </c>
      <c r="BC9" s="88">
        <f t="shared" si="1"/>
        <v>0</v>
      </c>
      <c r="BD9" s="88">
        <f t="shared" si="1"/>
        <v>0</v>
      </c>
      <c r="BE9" s="89">
        <f t="shared" si="1"/>
        <v>0</v>
      </c>
      <c r="BF9" s="91"/>
      <c r="BG9" s="91"/>
      <c r="BH9" s="85"/>
      <c r="BI9" s="85"/>
      <c r="BJ9" s="85"/>
      <c r="BK9" s="85"/>
      <c r="BL9" s="85"/>
      <c r="BM9" s="85"/>
      <c r="BN9" s="85"/>
      <c r="BO9" s="85"/>
      <c r="BP9" s="85"/>
      <c r="BQ9" s="85"/>
      <c r="BR9" s="85"/>
    </row>
    <row r="10" spans="1:70" ht="15">
      <c r="A10" s="85"/>
      <c r="B10" s="85"/>
      <c r="C10" s="85"/>
      <c r="D10" s="100"/>
      <c r="E10" s="100"/>
      <c r="F10" s="100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</row>
    <row r="11" spans="1:70">
      <c r="A11" s="239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35"/>
      <c r="C11" s="236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2"/>
      <c r="AB11" s="245" t="s">
        <v>141</v>
      </c>
      <c r="AC11" s="232"/>
      <c r="AD11" s="232"/>
      <c r="AE11" s="232"/>
      <c r="AF11" s="232"/>
      <c r="AG11" s="232"/>
      <c r="AH11" s="232"/>
      <c r="AI11" s="232"/>
      <c r="AJ11" s="232"/>
      <c r="AK11" s="232"/>
      <c r="AL11" s="232"/>
      <c r="AM11" s="232"/>
      <c r="AN11" s="232"/>
      <c r="AO11" s="232"/>
      <c r="AP11" s="232"/>
      <c r="AQ11" s="232"/>
      <c r="AR11" s="232"/>
      <c r="AS11" s="233"/>
      <c r="AT11" s="100"/>
      <c r="AU11" s="246" t="s">
        <v>142</v>
      </c>
      <c r="AV11" s="232"/>
      <c r="AW11" s="232"/>
      <c r="AX11" s="232"/>
      <c r="AY11" s="232"/>
      <c r="AZ11" s="232"/>
      <c r="BA11" s="232"/>
      <c r="BB11" s="232"/>
      <c r="BC11" s="232"/>
      <c r="BD11" s="232"/>
      <c r="BE11" s="232"/>
      <c r="BF11" s="232"/>
      <c r="BG11" s="232"/>
      <c r="BH11" s="232"/>
      <c r="BI11" s="232"/>
      <c r="BJ11" s="232"/>
      <c r="BK11" s="232"/>
      <c r="BL11" s="232"/>
      <c r="BM11" s="232"/>
      <c r="BN11" s="232"/>
      <c r="BO11" s="232"/>
      <c r="BP11" s="232"/>
      <c r="BQ11" s="232"/>
      <c r="BR11" s="233"/>
    </row>
    <row r="12" spans="1:70">
      <c r="A12" s="240"/>
      <c r="B12" s="190"/>
      <c r="C12" s="241"/>
      <c r="D12" s="247" t="str">
        <f>C3</f>
        <v>Midterm Exam</v>
      </c>
      <c r="E12" s="243"/>
      <c r="F12" s="243"/>
      <c r="G12" s="243"/>
      <c r="H12" s="243"/>
      <c r="I12" s="244"/>
      <c r="J12" s="248" t="str">
        <f>C4</f>
        <v>Final Exam</v>
      </c>
      <c r="K12" s="243"/>
      <c r="L12" s="243"/>
      <c r="M12" s="243"/>
      <c r="N12" s="243"/>
      <c r="O12" s="244"/>
      <c r="P12" s="248" t="s">
        <v>16</v>
      </c>
      <c r="Q12" s="243"/>
      <c r="R12" s="243"/>
      <c r="S12" s="243"/>
      <c r="T12" s="243"/>
      <c r="U12" s="244"/>
      <c r="V12" s="248" t="str">
        <f>C6</f>
        <v>Presentation</v>
      </c>
      <c r="W12" s="243"/>
      <c r="X12" s="243"/>
      <c r="Y12" s="243"/>
      <c r="Z12" s="243"/>
      <c r="AA12" s="244"/>
      <c r="AB12" s="249" t="s">
        <v>143</v>
      </c>
      <c r="AC12" s="235"/>
      <c r="AD12" s="235"/>
      <c r="AE12" s="235"/>
      <c r="AF12" s="235"/>
      <c r="AG12" s="236"/>
      <c r="AH12" s="250" t="s">
        <v>144</v>
      </c>
      <c r="AI12" s="232"/>
      <c r="AJ12" s="232"/>
      <c r="AK12" s="232"/>
      <c r="AL12" s="232"/>
      <c r="AM12" s="233"/>
      <c r="AN12" s="250" t="s">
        <v>145</v>
      </c>
      <c r="AO12" s="232"/>
      <c r="AP12" s="232"/>
      <c r="AQ12" s="232"/>
      <c r="AR12" s="232"/>
      <c r="AS12" s="233"/>
      <c r="AT12" s="100"/>
      <c r="AU12" s="238" t="s">
        <v>144</v>
      </c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6"/>
      <c r="BG12" s="238" t="s">
        <v>146</v>
      </c>
      <c r="BH12" s="235"/>
      <c r="BI12" s="235"/>
      <c r="BJ12" s="235"/>
      <c r="BK12" s="235"/>
      <c r="BL12" s="235"/>
      <c r="BM12" s="235"/>
      <c r="BN12" s="235"/>
      <c r="BO12" s="235"/>
      <c r="BP12" s="235"/>
      <c r="BQ12" s="235"/>
      <c r="BR12" s="236"/>
    </row>
    <row r="13" spans="1:70" ht="15">
      <c r="A13" s="242"/>
      <c r="B13" s="243"/>
      <c r="C13" s="244"/>
      <c r="D13" s="103" t="s">
        <v>119</v>
      </c>
      <c r="E13" s="104" t="s">
        <v>120</v>
      </c>
      <c r="F13" s="104" t="s">
        <v>121</v>
      </c>
      <c r="G13" s="105" t="s">
        <v>122</v>
      </c>
      <c r="H13" s="105" t="s">
        <v>123</v>
      </c>
      <c r="I13" s="106" t="s">
        <v>124</v>
      </c>
      <c r="J13" s="107" t="s">
        <v>119</v>
      </c>
      <c r="K13" s="108" t="s">
        <v>120</v>
      </c>
      <c r="L13" s="108" t="s">
        <v>121</v>
      </c>
      <c r="M13" s="109" t="s">
        <v>122</v>
      </c>
      <c r="N13" s="109" t="s">
        <v>123</v>
      </c>
      <c r="O13" s="110" t="s">
        <v>124</v>
      </c>
      <c r="P13" s="111" t="s">
        <v>119</v>
      </c>
      <c r="Q13" s="112" t="s">
        <v>120</v>
      </c>
      <c r="R13" s="112" t="s">
        <v>121</v>
      </c>
      <c r="S13" s="112" t="s">
        <v>122</v>
      </c>
      <c r="T13" s="112" t="s">
        <v>123</v>
      </c>
      <c r="U13" s="113" t="s">
        <v>124</v>
      </c>
      <c r="V13" s="111" t="s">
        <v>119</v>
      </c>
      <c r="W13" s="112" t="s">
        <v>120</v>
      </c>
      <c r="X13" s="112" t="s">
        <v>121</v>
      </c>
      <c r="Y13" s="112" t="s">
        <v>122</v>
      </c>
      <c r="Z13" s="112" t="s">
        <v>123</v>
      </c>
      <c r="AA13" s="113" t="s">
        <v>124</v>
      </c>
      <c r="AB13" s="87" t="s">
        <v>119</v>
      </c>
      <c r="AC13" s="87" t="s">
        <v>120</v>
      </c>
      <c r="AD13" s="87" t="s">
        <v>121</v>
      </c>
      <c r="AE13" s="87" t="s">
        <v>122</v>
      </c>
      <c r="AF13" s="87" t="s">
        <v>123</v>
      </c>
      <c r="AG13" s="87" t="s">
        <v>124</v>
      </c>
      <c r="AH13" s="114" t="s">
        <v>119</v>
      </c>
      <c r="AI13" s="115" t="s">
        <v>120</v>
      </c>
      <c r="AJ13" s="115" t="s">
        <v>121</v>
      </c>
      <c r="AK13" s="116" t="s">
        <v>122</v>
      </c>
      <c r="AL13" s="117" t="s">
        <v>123</v>
      </c>
      <c r="AM13" s="116" t="s">
        <v>124</v>
      </c>
      <c r="AN13" s="114" t="s">
        <v>119</v>
      </c>
      <c r="AO13" s="115" t="s">
        <v>120</v>
      </c>
      <c r="AP13" s="115" t="s">
        <v>121</v>
      </c>
      <c r="AQ13" s="117" t="s">
        <v>122</v>
      </c>
      <c r="AR13" s="117" t="s">
        <v>123</v>
      </c>
      <c r="AS13" s="116" t="s">
        <v>124</v>
      </c>
      <c r="AT13" s="118"/>
      <c r="AU13" s="114" t="s">
        <v>129</v>
      </c>
      <c r="AV13" s="115" t="s">
        <v>130</v>
      </c>
      <c r="AW13" s="115" t="s">
        <v>131</v>
      </c>
      <c r="AX13" s="115" t="s">
        <v>132</v>
      </c>
      <c r="AY13" s="115" t="s">
        <v>133</v>
      </c>
      <c r="AZ13" s="115" t="s">
        <v>134</v>
      </c>
      <c r="BA13" s="115" t="s">
        <v>135</v>
      </c>
      <c r="BB13" s="115" t="s">
        <v>136</v>
      </c>
      <c r="BC13" s="115" t="s">
        <v>137</v>
      </c>
      <c r="BD13" s="115" t="s">
        <v>138</v>
      </c>
      <c r="BE13" s="115" t="s">
        <v>139</v>
      </c>
      <c r="BF13" s="116" t="s">
        <v>140</v>
      </c>
      <c r="BG13" s="87" t="s">
        <v>129</v>
      </c>
      <c r="BH13" s="88" t="s">
        <v>130</v>
      </c>
      <c r="BI13" s="88" t="s">
        <v>131</v>
      </c>
      <c r="BJ13" s="88" t="s">
        <v>132</v>
      </c>
      <c r="BK13" s="88" t="s">
        <v>133</v>
      </c>
      <c r="BL13" s="88" t="s">
        <v>134</v>
      </c>
      <c r="BM13" s="88" t="s">
        <v>135</v>
      </c>
      <c r="BN13" s="88" t="s">
        <v>136</v>
      </c>
      <c r="BO13" s="88" t="s">
        <v>137</v>
      </c>
      <c r="BP13" s="88" t="s">
        <v>138</v>
      </c>
      <c r="BQ13" s="88" t="s">
        <v>139</v>
      </c>
      <c r="BR13" s="89" t="s">
        <v>140</v>
      </c>
    </row>
    <row r="14" spans="1:70" ht="15">
      <c r="A14" s="119" t="s">
        <v>147</v>
      </c>
      <c r="B14" s="120" t="s">
        <v>19</v>
      </c>
      <c r="C14" s="121" t="s">
        <v>20</v>
      </c>
      <c r="D14" s="122">
        <f t="shared" ref="D14:I14" si="2">D3</f>
        <v>0</v>
      </c>
      <c r="E14" s="123">
        <f t="shared" si="2"/>
        <v>0</v>
      </c>
      <c r="F14" s="123">
        <f t="shared" si="2"/>
        <v>0</v>
      </c>
      <c r="G14" s="123">
        <f t="shared" si="2"/>
        <v>0</v>
      </c>
      <c r="H14" s="123">
        <f t="shared" si="2"/>
        <v>0</v>
      </c>
      <c r="I14" s="123">
        <f t="shared" si="2"/>
        <v>0</v>
      </c>
      <c r="J14" s="124">
        <f t="shared" ref="J14:O14" si="3">D4</f>
        <v>0</v>
      </c>
      <c r="K14" s="124">
        <f t="shared" si="3"/>
        <v>0</v>
      </c>
      <c r="L14" s="124">
        <f t="shared" si="3"/>
        <v>0</v>
      </c>
      <c r="M14" s="124">
        <f t="shared" si="3"/>
        <v>0</v>
      </c>
      <c r="N14" s="124">
        <f t="shared" si="3"/>
        <v>0</v>
      </c>
      <c r="O14" s="124">
        <f t="shared" si="3"/>
        <v>0</v>
      </c>
      <c r="P14" s="125">
        <f t="shared" ref="P14:U14" si="4">D5</f>
        <v>0</v>
      </c>
      <c r="Q14" s="125">
        <f t="shared" si="4"/>
        <v>0</v>
      </c>
      <c r="R14" s="125">
        <f t="shared" si="4"/>
        <v>0</v>
      </c>
      <c r="S14" s="125">
        <f t="shared" si="4"/>
        <v>0</v>
      </c>
      <c r="T14" s="125">
        <f t="shared" si="4"/>
        <v>0</v>
      </c>
      <c r="U14" s="125">
        <f t="shared" si="4"/>
        <v>0</v>
      </c>
      <c r="V14" s="125">
        <f t="shared" ref="V14:AA14" si="5">D6</f>
        <v>0</v>
      </c>
      <c r="W14" s="125">
        <f t="shared" si="5"/>
        <v>0</v>
      </c>
      <c r="X14" s="125">
        <f t="shared" si="5"/>
        <v>0</v>
      </c>
      <c r="Y14" s="125">
        <f t="shared" si="5"/>
        <v>0</v>
      </c>
      <c r="Z14" s="125">
        <f t="shared" si="5"/>
        <v>0</v>
      </c>
      <c r="AA14" s="125">
        <f t="shared" si="5"/>
        <v>0</v>
      </c>
      <c r="AB14" s="126">
        <f>SUM(P14,D14,J14)</f>
        <v>0</v>
      </c>
      <c r="AC14" s="124">
        <f t="shared" ref="AC14:AG14" si="6">SUM(K14,E14,Q14)</f>
        <v>0</v>
      </c>
      <c r="AD14" s="124">
        <f t="shared" si="6"/>
        <v>0</v>
      </c>
      <c r="AE14" s="124">
        <f t="shared" si="6"/>
        <v>0</v>
      </c>
      <c r="AF14" s="124">
        <f t="shared" si="6"/>
        <v>0</v>
      </c>
      <c r="AG14" s="124">
        <f t="shared" si="6"/>
        <v>0</v>
      </c>
      <c r="AH14" s="127">
        <v>1</v>
      </c>
      <c r="AI14" s="128">
        <v>1</v>
      </c>
      <c r="AJ14" s="128">
        <v>1</v>
      </c>
      <c r="AK14" s="129">
        <v>1</v>
      </c>
      <c r="AL14" s="130">
        <v>1</v>
      </c>
      <c r="AM14" s="129">
        <v>1</v>
      </c>
      <c r="AN14" s="231" t="s">
        <v>148</v>
      </c>
      <c r="AO14" s="232"/>
      <c r="AP14" s="232"/>
      <c r="AQ14" s="232"/>
      <c r="AR14" s="232"/>
      <c r="AS14" s="233"/>
      <c r="AT14" s="118"/>
      <c r="AU14" s="131">
        <v>1</v>
      </c>
      <c r="AV14" s="132">
        <v>1</v>
      </c>
      <c r="AW14" s="132">
        <v>1</v>
      </c>
      <c r="AX14" s="132">
        <v>1</v>
      </c>
      <c r="AY14" s="132">
        <v>1</v>
      </c>
      <c r="AZ14" s="132">
        <v>1</v>
      </c>
      <c r="BA14" s="132">
        <v>1</v>
      </c>
      <c r="BB14" s="132">
        <v>1</v>
      </c>
      <c r="BC14" s="132">
        <v>1</v>
      </c>
      <c r="BD14" s="132">
        <v>1</v>
      </c>
      <c r="BE14" s="132">
        <v>1</v>
      </c>
      <c r="BF14" s="133">
        <v>1</v>
      </c>
      <c r="BG14" s="234" t="s">
        <v>149</v>
      </c>
      <c r="BH14" s="235"/>
      <c r="BI14" s="235"/>
      <c r="BJ14" s="235"/>
      <c r="BK14" s="235"/>
      <c r="BL14" s="235"/>
      <c r="BM14" s="235"/>
      <c r="BN14" s="235"/>
      <c r="BO14" s="235"/>
      <c r="BP14" s="235"/>
      <c r="BQ14" s="235"/>
      <c r="BR14" s="236"/>
    </row>
    <row r="15" spans="1:70" ht="15.75">
      <c r="A15" s="134">
        <v>1</v>
      </c>
      <c r="B15" s="23">
        <f>GradeSheet!X10</f>
        <v>0</v>
      </c>
      <c r="C15" s="23">
        <f>GradeSheet!W10</f>
        <v>0</v>
      </c>
      <c r="D15" s="182">
        <v>0</v>
      </c>
      <c r="E15" s="183">
        <v>0</v>
      </c>
      <c r="F15" s="183">
        <v>0</v>
      </c>
      <c r="G15" s="183">
        <v>0</v>
      </c>
      <c r="H15" s="183">
        <v>0</v>
      </c>
      <c r="I15" s="183">
        <v>0</v>
      </c>
      <c r="J15" s="183">
        <v>0</v>
      </c>
      <c r="K15" s="183">
        <v>0</v>
      </c>
      <c r="L15" s="183">
        <v>0</v>
      </c>
      <c r="M15" s="183">
        <v>0</v>
      </c>
      <c r="N15" s="183">
        <v>0</v>
      </c>
      <c r="O15" s="183">
        <v>0</v>
      </c>
      <c r="P15" s="183">
        <v>0</v>
      </c>
      <c r="Q15" s="183">
        <v>0</v>
      </c>
      <c r="R15" s="183">
        <v>0</v>
      </c>
      <c r="S15" s="183">
        <v>0</v>
      </c>
      <c r="T15" s="183">
        <v>0</v>
      </c>
      <c r="U15" s="183">
        <v>0</v>
      </c>
      <c r="V15" s="183">
        <v>0</v>
      </c>
      <c r="W15" s="183">
        <v>0</v>
      </c>
      <c r="X15" s="183">
        <v>0</v>
      </c>
      <c r="Y15" s="183">
        <v>0</v>
      </c>
      <c r="Z15" s="183">
        <v>0</v>
      </c>
      <c r="AA15" s="183">
        <v>0</v>
      </c>
      <c r="AB15" s="135">
        <f t="shared" ref="AB15:AE15" si="7">SUM(V15,D15,J15, P15)</f>
        <v>0</v>
      </c>
      <c r="AC15" s="136">
        <f t="shared" si="7"/>
        <v>0</v>
      </c>
      <c r="AD15" s="136">
        <f t="shared" si="7"/>
        <v>0</v>
      </c>
      <c r="AE15" s="136">
        <f t="shared" si="7"/>
        <v>0</v>
      </c>
      <c r="AF15" s="136">
        <f>SUM(T15,H15,N15, Z15)</f>
        <v>0</v>
      </c>
      <c r="AG15" s="136">
        <f>SUM(AA15,I15,O15, U15)</f>
        <v>0</v>
      </c>
      <c r="AH15" s="137">
        <f t="shared" ref="AH15:AM15" si="8">IF(AB15 = 0, 0, AB15/AB$14)</f>
        <v>0</v>
      </c>
      <c r="AI15" s="137">
        <f t="shared" si="8"/>
        <v>0</v>
      </c>
      <c r="AJ15" s="137">
        <f t="shared" si="8"/>
        <v>0</v>
      </c>
      <c r="AK15" s="137">
        <f t="shared" si="8"/>
        <v>0</v>
      </c>
      <c r="AL15" s="137">
        <f t="shared" si="8"/>
        <v>0</v>
      </c>
      <c r="AM15" s="137">
        <f t="shared" si="8"/>
        <v>0</v>
      </c>
      <c r="AN15" s="138">
        <f>IF(OR(GradeSheet!$M10="W (Withdrawn)", GradeSheet!$M10="I (Incomplete)"), 0, IF(AH15&gt;=55%, 1, 0))</f>
        <v>0</v>
      </c>
      <c r="AO15" s="138">
        <f>IF(OR(GradeSheet!$M10="W (Withdrawn)", GradeSheet!$M10="I (Incomplete)"), 0, IF(AI15&gt;=55%, 1, 0))</f>
        <v>0</v>
      </c>
      <c r="AP15" s="138">
        <f>IF(OR(GradeSheet!$M10="W (Withdrawn)", GradeSheet!$M10="I (Incomplete)"), 0, IF(AJ15&gt;=55%, 1, 0))</f>
        <v>0</v>
      </c>
      <c r="AQ15" s="138">
        <f>IF(OR(GradeSheet!$M10="W (Withdrawn)", GradeSheet!$M10="I (Incomplete)"), 0, IF(AK15&gt;=55%, 1, 0))</f>
        <v>0</v>
      </c>
      <c r="AR15" s="138">
        <f>IF(OR(GradeSheet!$M10="W (Withdrawn)", GradeSheet!$M10="I (Incomplete)"), 0, IF(AL15&gt;=55%, 1, 0))</f>
        <v>0</v>
      </c>
      <c r="AS15" s="138">
        <f>IF(OR(GradeSheet!$M10="W (Withdrawn)", GradeSheet!$M10="I (Incomplete)"), 0, IF(AM15&gt;=55%, 1, 0))</f>
        <v>0</v>
      </c>
      <c r="AT15" s="118"/>
      <c r="AU15" s="139">
        <f t="shared" ref="AU15:AU55" si="9">IF($AT$9=0,0,MMULT($AH15:$AM15, AT$3:AT$8)/$AT$9)</f>
        <v>0</v>
      </c>
      <c r="AV15" s="139">
        <f t="shared" ref="AV15:AV55" si="10">IF($AU$9=0,0,MMULT($AH15:$AM15, AU$3:AU$8)/$AU$9)</f>
        <v>0</v>
      </c>
      <c r="AW15" s="139">
        <f t="array" ref="AW15">IF($AV$9=0,0,MMULT($AH15:$AM15, AV$3:AV$8)/$AV$9)</f>
        <v>0</v>
      </c>
      <c r="AX15" s="139">
        <f t="array" ref="AX15">IF($AW$9=0,0,MMULT($AH15:$AM15, AW$3:AW$8)/$AW$9)</f>
        <v>0</v>
      </c>
      <c r="AY15" s="139">
        <f t="shared" ref="AY15:AY55" si="11">IF($AX$9=0,0,MMULT($AH15:$AM15, AX$3:AX$8)/$AX$9)</f>
        <v>0</v>
      </c>
      <c r="AZ15" s="139">
        <f t="array" ref="AZ15">IF($AY$9=0,0,MMULT($AH15:$AM15, AY$3:AY$8)/$AY$9)</f>
        <v>0</v>
      </c>
      <c r="BA15" s="139">
        <f t="array" ref="BA15">IF($AZ$9=0,0,MMULT($AH15:$AM15, AZ$3:AZ$8)/$AZ$9)</f>
        <v>0</v>
      </c>
      <c r="BB15" s="139">
        <f t="array" ref="BB15">IF($BA$9=0,0,MMULT($AH15:$AM15, BA$3:BA$8)/$BA$9)</f>
        <v>0</v>
      </c>
      <c r="BC15" s="139">
        <f t="array" ref="BC15">IF($BB$9=0,0,MMULT($AH15:$AM15, BB$3:BB$8)/$BB$9)</f>
        <v>0</v>
      </c>
      <c r="BD15" s="139">
        <f t="array" ref="BD15">IF($BC$9=0,0,MMULT($AH15:$AM15, BC$3:BC$8)/$BC$9)</f>
        <v>0</v>
      </c>
      <c r="BE15" s="139">
        <f t="shared" ref="BE15:BE55" si="12">IF($BD$9=0,0,MMULT($AH15:$AM15, BD$3:BD$8)/$BD$9)</f>
        <v>0</v>
      </c>
      <c r="BF15" s="139">
        <f t="shared" ref="BF15:BF55" si="13">IF($BE$9=0,0,MMULT($AH15:$AM15, BE$3:BE$8)/$BE$9)</f>
        <v>0</v>
      </c>
      <c r="BG15" s="138">
        <f>IF(OR(GradeSheet!$M10="W (Withdrawn)", GradeSheet!$M10="I (Incomplete)"), 0, IF(AU15&gt;=65%, 1, 0))</f>
        <v>0</v>
      </c>
      <c r="BH15" s="138">
        <f>IF(OR(GradeSheet!$M10="W (Withdrawn)", GradeSheet!$M10="I (Incomplete)"), 0, IF(AV15&gt;=65%, 1, 0))</f>
        <v>0</v>
      </c>
      <c r="BI15" s="138">
        <f>IF(OR(GradeSheet!$M10="W (Withdrawn)", GradeSheet!$M10="I (Incomplete)"), 0, IF(AW15&gt;=65%, 1, 0))</f>
        <v>0</v>
      </c>
      <c r="BJ15" s="138">
        <f>IF(OR(GradeSheet!$M10="W (Withdrawn)", GradeSheet!$M10="I (Incomplete)"), 0, IF(AX15&gt;=65%, 1, 0))</f>
        <v>0</v>
      </c>
      <c r="BK15" s="138">
        <f>IF(OR(GradeSheet!$M10="W (Withdrawn)", GradeSheet!$M10="I (Incomplete)"), 0, IF(AY15&gt;=65%, 1, 0))</f>
        <v>0</v>
      </c>
      <c r="BL15" s="138">
        <f>IF(OR(GradeSheet!$M10="W (Withdrawn)", GradeSheet!$M10="I (Incomplete)"), 0, IF(AZ15&gt;=65%, 1, 0))</f>
        <v>0</v>
      </c>
      <c r="BM15" s="138">
        <f>IF(OR(GradeSheet!$M10="W (Withdrawn)", GradeSheet!$M10="I (Incomplete)"), 0, IF(BA15&gt;=65%, 1, 0))</f>
        <v>0</v>
      </c>
      <c r="BN15" s="138">
        <f>IF(OR(GradeSheet!$M10="W (Withdrawn)", GradeSheet!$M10="I (Incomplete)"), 0, IF(BB15&gt;=65%, 1, 0))</f>
        <v>0</v>
      </c>
      <c r="BO15" s="138">
        <f>IF(OR(GradeSheet!$M10="W (Withdrawn)", GradeSheet!$M10="I (Incomplete)"), 0, IF(BC15&gt;=65%, 1, 0))</f>
        <v>0</v>
      </c>
      <c r="BP15" s="138">
        <f>IF(OR(GradeSheet!$M10="W (Withdrawn)", GradeSheet!$M10="I (Incomplete)"), 0, IF(BD15&gt;=65%, 1, 0))</f>
        <v>0</v>
      </c>
      <c r="BQ15" s="138">
        <f>IF(OR(GradeSheet!$M10="W (Withdrawn)", GradeSheet!$M10="I (Incomplete)"), 0, IF(BE15&gt;=65%, 1, 0))</f>
        <v>0</v>
      </c>
      <c r="BR15" s="138">
        <f>IF(OR(GradeSheet!$M10="W (Withdrawn)", GradeSheet!$M10="I (Incomplete)"), 0, IF(BF15&gt;=65%, 1, 0))</f>
        <v>0</v>
      </c>
    </row>
    <row r="16" spans="1:70" ht="15.75">
      <c r="A16" s="140">
        <v>2</v>
      </c>
      <c r="B16" s="35">
        <f>GradeSheet!X11</f>
        <v>0</v>
      </c>
      <c r="C16" s="23">
        <f>GradeSheet!W11</f>
        <v>0</v>
      </c>
      <c r="D16" s="182">
        <v>0</v>
      </c>
      <c r="E16" s="183">
        <v>0</v>
      </c>
      <c r="F16" s="183">
        <v>0</v>
      </c>
      <c r="G16" s="183">
        <v>0</v>
      </c>
      <c r="H16" s="183">
        <v>0</v>
      </c>
      <c r="I16" s="183">
        <v>0</v>
      </c>
      <c r="J16" s="183">
        <v>0</v>
      </c>
      <c r="K16" s="183">
        <v>0</v>
      </c>
      <c r="L16" s="183">
        <v>0</v>
      </c>
      <c r="M16" s="183">
        <v>0</v>
      </c>
      <c r="N16" s="183">
        <v>0</v>
      </c>
      <c r="O16" s="183">
        <v>0</v>
      </c>
      <c r="P16" s="183">
        <v>0</v>
      </c>
      <c r="Q16" s="183">
        <v>0</v>
      </c>
      <c r="R16" s="183">
        <v>0</v>
      </c>
      <c r="S16" s="183">
        <v>0</v>
      </c>
      <c r="T16" s="183">
        <v>0</v>
      </c>
      <c r="U16" s="183">
        <v>0</v>
      </c>
      <c r="V16" s="183">
        <v>0</v>
      </c>
      <c r="W16" s="183">
        <v>0</v>
      </c>
      <c r="X16" s="183">
        <v>0</v>
      </c>
      <c r="Y16" s="183">
        <v>0</v>
      </c>
      <c r="Z16" s="183">
        <v>0</v>
      </c>
      <c r="AA16" s="183">
        <v>0</v>
      </c>
      <c r="AB16" s="135">
        <f t="shared" ref="AB16:AE16" si="14">SUM(V16,D16,J16, P16)</f>
        <v>0</v>
      </c>
      <c r="AC16" s="136">
        <f t="shared" si="14"/>
        <v>0</v>
      </c>
      <c r="AD16" s="136">
        <f t="shared" si="14"/>
        <v>0</v>
      </c>
      <c r="AE16" s="136">
        <f t="shared" si="14"/>
        <v>0</v>
      </c>
      <c r="AF16" s="136">
        <f t="shared" ref="AF16:AF74" si="15">SUM(T16,H16,N16)</f>
        <v>0</v>
      </c>
      <c r="AG16" s="141">
        <f t="shared" ref="AG16:AG74" si="16">SUM(AA16,I16,O16)</f>
        <v>0</v>
      </c>
      <c r="AH16" s="137">
        <f t="shared" ref="AH16:AM16" si="17">IF(AB16 = 0, 0, AB16/AB$14)</f>
        <v>0</v>
      </c>
      <c r="AI16" s="137">
        <f t="shared" si="17"/>
        <v>0</v>
      </c>
      <c r="AJ16" s="137">
        <f t="shared" si="17"/>
        <v>0</v>
      </c>
      <c r="AK16" s="137">
        <f t="shared" si="17"/>
        <v>0</v>
      </c>
      <c r="AL16" s="137">
        <f t="shared" si="17"/>
        <v>0</v>
      </c>
      <c r="AM16" s="137">
        <f t="shared" si="17"/>
        <v>0</v>
      </c>
      <c r="AN16" s="138">
        <f>IF(OR(GradeSheet!$M11="W (Withdrawn)", GradeSheet!$M11="I (Incomplete)"), 0, IF(AH16&gt;=55%, 1, 0))</f>
        <v>0</v>
      </c>
      <c r="AO16" s="138">
        <f>IF(OR(GradeSheet!$M11="W (Withdrawn)", GradeSheet!$M11="I (Incomplete)"), 0, IF(AI16&gt;=55%, 1, 0))</f>
        <v>0</v>
      </c>
      <c r="AP16" s="138">
        <f>IF(OR(GradeSheet!$M11="W (Withdrawn)", GradeSheet!$M11="I (Incomplete)"), 0, IF(AJ16&gt;=55%, 1, 0))</f>
        <v>0</v>
      </c>
      <c r="AQ16" s="138">
        <f>IF(OR(GradeSheet!$M11="W (Withdrawn)", GradeSheet!$M11="I (Incomplete)"), 0, IF(AK16&gt;=55%, 1, 0))</f>
        <v>0</v>
      </c>
      <c r="AR16" s="138">
        <f>IF(OR(GradeSheet!$M11="W (Withdrawn)", GradeSheet!$M11="I (Incomplete)"), 0, IF(AL16&gt;=55%, 1, 0))</f>
        <v>0</v>
      </c>
      <c r="AS16" s="138">
        <f>IF(OR(GradeSheet!$M11="W (Withdrawn)", GradeSheet!$M11="I (Incomplete)"), 0, IF(AM16&gt;=55%, 1, 0))</f>
        <v>0</v>
      </c>
      <c r="AT16" s="118"/>
      <c r="AU16" s="139">
        <f t="shared" si="9"/>
        <v>0</v>
      </c>
      <c r="AV16" s="139">
        <f t="shared" si="10"/>
        <v>0</v>
      </c>
      <c r="AW16" s="139">
        <f t="array" ref="AW16">IF($AV$9=0,0,MMULT($AH16:$AM16, AV$3:AV$8)/$AV$9)</f>
        <v>0</v>
      </c>
      <c r="AX16" s="139">
        <f t="array" ref="AX16">IF($AW$9=0,0,MMULT($AH16:$AM16, AW$3:AW$8)/$AW$9)</f>
        <v>0</v>
      </c>
      <c r="AY16" s="139">
        <f t="shared" si="11"/>
        <v>0</v>
      </c>
      <c r="AZ16" s="139">
        <f t="array" ref="AZ16">IF($AY$9=0,0,MMULT($AH16:$AM16, AY$3:AY$8)/$AY$9)</f>
        <v>0</v>
      </c>
      <c r="BA16" s="139">
        <f t="array" ref="BA16">IF($AZ$9=0,0,MMULT($AH16:$AM16, AZ$3:AZ$8)/$AZ$9)</f>
        <v>0</v>
      </c>
      <c r="BB16" s="139">
        <f t="array" ref="BB16">IF($BA$9=0,0,MMULT($AH16:$AM16, BA$3:BA$8)/$BA$9)</f>
        <v>0</v>
      </c>
      <c r="BC16" s="139">
        <f t="array" ref="BC16">IF($BB$9=0,0,MMULT($AH16:$AM16, BB$3:BB$8)/$BB$9)</f>
        <v>0</v>
      </c>
      <c r="BD16" s="139">
        <f t="array" ref="BD16">IF($BC$9=0,0,MMULT($AH16:$AM16, BC$3:BC$8)/$BC$9)</f>
        <v>0</v>
      </c>
      <c r="BE16" s="139">
        <f t="shared" si="12"/>
        <v>0</v>
      </c>
      <c r="BF16" s="139">
        <f t="shared" si="13"/>
        <v>0</v>
      </c>
      <c r="BG16" s="138">
        <f>IF(OR(GradeSheet!$M11="W (Withdrawn)", GradeSheet!$M11="I (Incomplete)"), 0, IF(AU16&gt;=65%, 1, 0))</f>
        <v>0</v>
      </c>
      <c r="BH16" s="138">
        <f>IF(OR(GradeSheet!$M11="W (Withdrawn)", GradeSheet!$M11="I (Incomplete)"), 0, IF(AV16&gt;=65%, 1, 0))</f>
        <v>0</v>
      </c>
      <c r="BI16" s="138">
        <f>IF(OR(GradeSheet!$M11="W (Withdrawn)", GradeSheet!$M11="I (Incomplete)"), 0, IF(AW16&gt;=65%, 1, 0))</f>
        <v>0</v>
      </c>
      <c r="BJ16" s="138">
        <f>IF(OR(GradeSheet!$M11="W (Withdrawn)", GradeSheet!$M11="I (Incomplete)"), 0, IF(AX16&gt;=65%, 1, 0))</f>
        <v>0</v>
      </c>
      <c r="BK16" s="138">
        <f>IF(OR(GradeSheet!$M11="W (Withdrawn)", GradeSheet!$M11="I (Incomplete)"), 0, IF(AY16&gt;=65%, 1, 0))</f>
        <v>0</v>
      </c>
      <c r="BL16" s="138">
        <f>IF(OR(GradeSheet!$M11="W (Withdrawn)", GradeSheet!$M11="I (Incomplete)"), 0, IF(AZ16&gt;=65%, 1, 0))</f>
        <v>0</v>
      </c>
      <c r="BM16" s="138">
        <f>IF(OR(GradeSheet!$M11="W (Withdrawn)", GradeSheet!$M11="I (Incomplete)"), 0, IF(BA16&gt;=65%, 1, 0))</f>
        <v>0</v>
      </c>
      <c r="BN16" s="138">
        <f>IF(OR(GradeSheet!$M11="W (Withdrawn)", GradeSheet!$M11="I (Incomplete)"), 0, IF(BB16&gt;=65%, 1, 0))</f>
        <v>0</v>
      </c>
      <c r="BO16" s="138">
        <f>IF(OR(GradeSheet!$M11="W (Withdrawn)", GradeSheet!$M11="I (Incomplete)"), 0, IF(BC16&gt;=65%, 1, 0))</f>
        <v>0</v>
      </c>
      <c r="BP16" s="138">
        <f>IF(OR(GradeSheet!$M11="W (Withdrawn)", GradeSheet!$M11="I (Incomplete)"), 0, IF(BD16&gt;=65%, 1, 0))</f>
        <v>0</v>
      </c>
      <c r="BQ16" s="138">
        <f>IF(OR(GradeSheet!$M11="W (Withdrawn)", GradeSheet!$M11="I (Incomplete)"), 0, IF(BE16&gt;=65%, 1, 0))</f>
        <v>0</v>
      </c>
      <c r="BR16" s="138">
        <f>IF(OR(GradeSheet!$M11="W (Withdrawn)", GradeSheet!$M11="I (Incomplete)"), 0, IF(BF16&gt;=65%, 1, 0))</f>
        <v>0</v>
      </c>
    </row>
    <row r="17" spans="1:70" ht="15.75">
      <c r="A17" s="134">
        <v>3</v>
      </c>
      <c r="B17" s="35">
        <f>GradeSheet!X12</f>
        <v>0</v>
      </c>
      <c r="C17" s="23">
        <f>GradeSheet!W12</f>
        <v>0</v>
      </c>
      <c r="D17" s="183">
        <v>0</v>
      </c>
      <c r="E17" s="183">
        <v>0</v>
      </c>
      <c r="F17" s="183">
        <v>0</v>
      </c>
      <c r="G17" s="183">
        <v>0</v>
      </c>
      <c r="H17" s="183">
        <v>0</v>
      </c>
      <c r="I17" s="183">
        <v>0</v>
      </c>
      <c r="J17" s="183">
        <v>0</v>
      </c>
      <c r="K17" s="183">
        <v>0</v>
      </c>
      <c r="L17" s="183">
        <v>0</v>
      </c>
      <c r="M17" s="183">
        <v>0</v>
      </c>
      <c r="N17" s="183">
        <v>0</v>
      </c>
      <c r="O17" s="183">
        <v>0</v>
      </c>
      <c r="P17" s="183">
        <v>0</v>
      </c>
      <c r="Q17" s="183">
        <v>0</v>
      </c>
      <c r="R17" s="183">
        <v>0</v>
      </c>
      <c r="S17" s="183">
        <v>0</v>
      </c>
      <c r="T17" s="183">
        <v>0</v>
      </c>
      <c r="U17" s="183">
        <v>0</v>
      </c>
      <c r="V17" s="183">
        <v>0</v>
      </c>
      <c r="W17" s="183">
        <v>0</v>
      </c>
      <c r="X17" s="183">
        <v>0</v>
      </c>
      <c r="Y17" s="183">
        <v>0</v>
      </c>
      <c r="Z17" s="183">
        <v>0</v>
      </c>
      <c r="AA17" s="183">
        <v>0</v>
      </c>
      <c r="AB17" s="135">
        <f t="shared" ref="AB17:AE17" si="18">SUM(V17,D17,J17, P17)</f>
        <v>0</v>
      </c>
      <c r="AC17" s="136">
        <f t="shared" si="18"/>
        <v>0</v>
      </c>
      <c r="AD17" s="136">
        <f t="shared" si="18"/>
        <v>0</v>
      </c>
      <c r="AE17" s="136">
        <f t="shared" si="18"/>
        <v>0</v>
      </c>
      <c r="AF17" s="136">
        <f t="shared" si="15"/>
        <v>0</v>
      </c>
      <c r="AG17" s="141">
        <f t="shared" si="16"/>
        <v>0</v>
      </c>
      <c r="AH17" s="137">
        <f t="shared" ref="AH17:AM17" si="19">IF(AB17 = 0, 0, AB17/AB$14)</f>
        <v>0</v>
      </c>
      <c r="AI17" s="137">
        <f t="shared" si="19"/>
        <v>0</v>
      </c>
      <c r="AJ17" s="137">
        <f t="shared" si="19"/>
        <v>0</v>
      </c>
      <c r="AK17" s="137">
        <f t="shared" si="19"/>
        <v>0</v>
      </c>
      <c r="AL17" s="137">
        <f t="shared" si="19"/>
        <v>0</v>
      </c>
      <c r="AM17" s="137">
        <f t="shared" si="19"/>
        <v>0</v>
      </c>
      <c r="AN17" s="138">
        <f>IF(OR(GradeSheet!$M12="W (Withdrawn)", GradeSheet!$M12="I (Incomplete)"), 0, IF(AH17&gt;=55%, 1, 0))</f>
        <v>0</v>
      </c>
      <c r="AO17" s="138">
        <f>IF(OR(GradeSheet!$M12="W (Withdrawn)", GradeSheet!$M12="I (Incomplete)"), 0, IF(AI17&gt;=55%, 1, 0))</f>
        <v>0</v>
      </c>
      <c r="AP17" s="138">
        <f>IF(OR(GradeSheet!$M12="W (Withdrawn)", GradeSheet!$M12="I (Incomplete)"), 0, IF(AJ17&gt;=55%, 1, 0))</f>
        <v>0</v>
      </c>
      <c r="AQ17" s="138">
        <f>IF(OR(GradeSheet!$M12="W (Withdrawn)", GradeSheet!$M12="I (Incomplete)"), 0, IF(AK17&gt;=55%, 1, 0))</f>
        <v>0</v>
      </c>
      <c r="AR17" s="138">
        <f>IF(OR(GradeSheet!$M12="W (Withdrawn)", GradeSheet!$M12="I (Incomplete)"), 0, IF(AL17&gt;=55%, 1, 0))</f>
        <v>0</v>
      </c>
      <c r="AS17" s="138">
        <f>IF(OR(GradeSheet!$M12="W (Withdrawn)", GradeSheet!$M12="I (Incomplete)"), 0, IF(AM17&gt;=55%, 1, 0))</f>
        <v>0</v>
      </c>
      <c r="AT17" s="118"/>
      <c r="AU17" s="139">
        <f t="shared" si="9"/>
        <v>0</v>
      </c>
      <c r="AV17" s="139">
        <f t="shared" si="10"/>
        <v>0</v>
      </c>
      <c r="AW17" s="139">
        <f t="array" ref="AW17">IF($AV$9=0,0,MMULT($AH17:$AM17, AV$3:AV$8)/$AV$9)</f>
        <v>0</v>
      </c>
      <c r="AX17" s="139">
        <f t="array" ref="AX17">IF($AW$9=0,0,MMULT($AH17:$AM17, AW$3:AW$8)/$AW$9)</f>
        <v>0</v>
      </c>
      <c r="AY17" s="139">
        <f t="shared" si="11"/>
        <v>0</v>
      </c>
      <c r="AZ17" s="139">
        <f t="array" ref="AZ17">IF($AY$9=0,0,MMULT($AH17:$AM17, AY$3:AY$8)/$AY$9)</f>
        <v>0</v>
      </c>
      <c r="BA17" s="139">
        <f t="array" ref="BA17">IF($AZ$9=0,0,MMULT($AH17:$AM17, AZ$3:AZ$8)/$AZ$9)</f>
        <v>0</v>
      </c>
      <c r="BB17" s="139">
        <f t="array" ref="BB17">IF($BA$9=0,0,MMULT($AH17:$AM17, BA$3:BA$8)/$BA$9)</f>
        <v>0</v>
      </c>
      <c r="BC17" s="139">
        <f t="array" ref="BC17">IF($BB$9=0,0,MMULT($AH17:$AM17, BB$3:BB$8)/$BB$9)</f>
        <v>0</v>
      </c>
      <c r="BD17" s="139">
        <f t="array" ref="BD17">IF($BC$9=0,0,MMULT($AH17:$AM17, BC$3:BC$8)/$BC$9)</f>
        <v>0</v>
      </c>
      <c r="BE17" s="139">
        <f t="shared" si="12"/>
        <v>0</v>
      </c>
      <c r="BF17" s="139">
        <f t="shared" si="13"/>
        <v>0</v>
      </c>
      <c r="BG17" s="138">
        <f>IF(OR(GradeSheet!$M12="W (Withdrawn)", GradeSheet!$M12="I (Incomplete)"), 0, IF(AU17&gt;=65%, 1, 0))</f>
        <v>0</v>
      </c>
      <c r="BH17" s="138">
        <f>IF(OR(GradeSheet!$M12="W (Withdrawn)", GradeSheet!$M12="I (Incomplete)"), 0, IF(AV17&gt;=65%, 1, 0))</f>
        <v>0</v>
      </c>
      <c r="BI17" s="138">
        <f>IF(OR(GradeSheet!$M12="W (Withdrawn)", GradeSheet!$M12="I (Incomplete)"), 0, IF(AW17&gt;=65%, 1, 0))</f>
        <v>0</v>
      </c>
      <c r="BJ17" s="138">
        <f>IF(OR(GradeSheet!$M12="W (Withdrawn)", GradeSheet!$M12="I (Incomplete)"), 0, IF(AX17&gt;=65%, 1, 0))</f>
        <v>0</v>
      </c>
      <c r="BK17" s="138">
        <f>IF(OR(GradeSheet!$M12="W (Withdrawn)", GradeSheet!$M12="I (Incomplete)"), 0, IF(AY17&gt;=65%, 1, 0))</f>
        <v>0</v>
      </c>
      <c r="BL17" s="138">
        <f>IF(OR(GradeSheet!$M12="W (Withdrawn)", GradeSheet!$M12="I (Incomplete)"), 0, IF(AZ17&gt;=65%, 1, 0))</f>
        <v>0</v>
      </c>
      <c r="BM17" s="138">
        <f>IF(OR(GradeSheet!$M12="W (Withdrawn)", GradeSheet!$M12="I (Incomplete)"), 0, IF(BA17&gt;=65%, 1, 0))</f>
        <v>0</v>
      </c>
      <c r="BN17" s="138">
        <f>IF(OR(GradeSheet!$M12="W (Withdrawn)", GradeSheet!$M12="I (Incomplete)"), 0, IF(BB17&gt;=65%, 1, 0))</f>
        <v>0</v>
      </c>
      <c r="BO17" s="138">
        <f>IF(OR(GradeSheet!$M12="W (Withdrawn)", GradeSheet!$M12="I (Incomplete)"), 0, IF(BC17&gt;=65%, 1, 0))</f>
        <v>0</v>
      </c>
      <c r="BP17" s="138">
        <f>IF(OR(GradeSheet!$M12="W (Withdrawn)", GradeSheet!$M12="I (Incomplete)"), 0, IF(BD17&gt;=65%, 1, 0))</f>
        <v>0</v>
      </c>
      <c r="BQ17" s="138">
        <f>IF(OR(GradeSheet!$M12="W (Withdrawn)", GradeSheet!$M12="I (Incomplete)"), 0, IF(BE17&gt;=65%, 1, 0))</f>
        <v>0</v>
      </c>
      <c r="BR17" s="138">
        <f>IF(OR(GradeSheet!$M12="W (Withdrawn)", GradeSheet!$M12="I (Incomplete)"), 0, IF(BF17&gt;=65%, 1, 0))</f>
        <v>0</v>
      </c>
    </row>
    <row r="18" spans="1:70" ht="15.75">
      <c r="A18" s="140">
        <v>4</v>
      </c>
      <c r="B18" s="35">
        <f>GradeSheet!X13</f>
        <v>0</v>
      </c>
      <c r="C18" s="23">
        <f>GradeSheet!W13</f>
        <v>0</v>
      </c>
      <c r="D18" s="183">
        <v>0</v>
      </c>
      <c r="E18" s="183">
        <v>0</v>
      </c>
      <c r="F18" s="183">
        <v>0</v>
      </c>
      <c r="G18" s="183">
        <v>0</v>
      </c>
      <c r="H18" s="183">
        <v>0</v>
      </c>
      <c r="I18" s="183">
        <v>0</v>
      </c>
      <c r="J18" s="183">
        <v>0</v>
      </c>
      <c r="K18" s="183">
        <v>0</v>
      </c>
      <c r="L18" s="183">
        <v>0</v>
      </c>
      <c r="M18" s="183">
        <v>0</v>
      </c>
      <c r="N18" s="183">
        <v>0</v>
      </c>
      <c r="O18" s="183">
        <v>0</v>
      </c>
      <c r="P18" s="183">
        <v>0</v>
      </c>
      <c r="Q18" s="183">
        <v>0</v>
      </c>
      <c r="R18" s="183">
        <v>0</v>
      </c>
      <c r="S18" s="183">
        <v>0</v>
      </c>
      <c r="T18" s="183">
        <v>0</v>
      </c>
      <c r="U18" s="183">
        <v>0</v>
      </c>
      <c r="V18" s="183">
        <v>0</v>
      </c>
      <c r="W18" s="183">
        <v>0</v>
      </c>
      <c r="X18" s="183">
        <v>0</v>
      </c>
      <c r="Y18" s="183">
        <v>0</v>
      </c>
      <c r="Z18" s="183">
        <v>0</v>
      </c>
      <c r="AA18" s="183">
        <v>0</v>
      </c>
      <c r="AB18" s="135">
        <f t="shared" ref="AB18:AE18" si="20">SUM(V18,D18,J18, P18)</f>
        <v>0</v>
      </c>
      <c r="AC18" s="136">
        <f t="shared" si="20"/>
        <v>0</v>
      </c>
      <c r="AD18" s="136">
        <f t="shared" si="20"/>
        <v>0</v>
      </c>
      <c r="AE18" s="136">
        <f t="shared" si="20"/>
        <v>0</v>
      </c>
      <c r="AF18" s="136">
        <f t="shared" si="15"/>
        <v>0</v>
      </c>
      <c r="AG18" s="141">
        <f t="shared" si="16"/>
        <v>0</v>
      </c>
      <c r="AH18" s="137">
        <f t="shared" ref="AH18:AM18" si="21">IF(AB18 = 0, 0, AB18/AB$14)</f>
        <v>0</v>
      </c>
      <c r="AI18" s="137">
        <f t="shared" si="21"/>
        <v>0</v>
      </c>
      <c r="AJ18" s="137">
        <f t="shared" si="21"/>
        <v>0</v>
      </c>
      <c r="AK18" s="137">
        <f t="shared" si="21"/>
        <v>0</v>
      </c>
      <c r="AL18" s="137">
        <f t="shared" si="21"/>
        <v>0</v>
      </c>
      <c r="AM18" s="137">
        <f t="shared" si="21"/>
        <v>0</v>
      </c>
      <c r="AN18" s="138">
        <f>IF(OR(GradeSheet!$M13="W (Withdrawn)", GradeSheet!$M13="I (Incomplete)"), 0, IF(AH18&gt;=55%, 1, 0))</f>
        <v>0</v>
      </c>
      <c r="AO18" s="138">
        <f>IF(OR(GradeSheet!$M13="W (Withdrawn)", GradeSheet!$M13="I (Incomplete)"), 0, IF(AI18&gt;=55%, 1, 0))</f>
        <v>0</v>
      </c>
      <c r="AP18" s="138">
        <f>IF(OR(GradeSheet!$M13="W (Withdrawn)", GradeSheet!$M13="I (Incomplete)"), 0, IF(AJ18&gt;=55%, 1, 0))</f>
        <v>0</v>
      </c>
      <c r="AQ18" s="138">
        <f>IF(OR(GradeSheet!$M13="W (Withdrawn)", GradeSheet!$M13="I (Incomplete)"), 0, IF(AK18&gt;=55%, 1, 0))</f>
        <v>0</v>
      </c>
      <c r="AR18" s="138">
        <f>IF(OR(GradeSheet!$M13="W (Withdrawn)", GradeSheet!$M13="I (Incomplete)"), 0, IF(AL18&gt;=55%, 1, 0))</f>
        <v>0</v>
      </c>
      <c r="AS18" s="138">
        <f>IF(OR(GradeSheet!$M13="W (Withdrawn)", GradeSheet!$M13="I (Incomplete)"), 0, IF(AM18&gt;=55%, 1, 0))</f>
        <v>0</v>
      </c>
      <c r="AT18" s="118"/>
      <c r="AU18" s="139">
        <f t="shared" si="9"/>
        <v>0</v>
      </c>
      <c r="AV18" s="139">
        <f t="shared" si="10"/>
        <v>0</v>
      </c>
      <c r="AW18" s="139">
        <f t="array" ref="AW18">IF($AV$9=0,0,MMULT($AH18:$AM18, AV$3:AV$8)/$AV$9)</f>
        <v>0</v>
      </c>
      <c r="AX18" s="139">
        <f t="array" ref="AX18">IF($AW$9=0,0,MMULT($AH18:$AM18, AW$3:AW$8)/$AW$9)</f>
        <v>0</v>
      </c>
      <c r="AY18" s="139">
        <f t="shared" si="11"/>
        <v>0</v>
      </c>
      <c r="AZ18" s="139">
        <f t="array" ref="AZ18">IF($AY$9=0,0,MMULT($AH18:$AM18, AY$3:AY$8)/$AY$9)</f>
        <v>0</v>
      </c>
      <c r="BA18" s="139">
        <f t="array" ref="BA18">IF($AZ$9=0,0,MMULT($AH18:$AM18, AZ$3:AZ$8)/$AZ$9)</f>
        <v>0</v>
      </c>
      <c r="BB18" s="139">
        <f t="array" ref="BB18">IF($BA$9=0,0,MMULT($AH18:$AM18, BA$3:BA$8)/$BA$9)</f>
        <v>0</v>
      </c>
      <c r="BC18" s="139">
        <f t="array" ref="BC18">IF($BB$9=0,0,MMULT($AH18:$AM18, BB$3:BB$8)/$BB$9)</f>
        <v>0</v>
      </c>
      <c r="BD18" s="139">
        <f t="array" ref="BD18">IF($BC$9=0,0,MMULT($AH18:$AM18, BC$3:BC$8)/$BC$9)</f>
        <v>0</v>
      </c>
      <c r="BE18" s="139">
        <f t="shared" si="12"/>
        <v>0</v>
      </c>
      <c r="BF18" s="139">
        <f t="shared" si="13"/>
        <v>0</v>
      </c>
      <c r="BG18" s="138">
        <f>IF(OR(GradeSheet!$M13="W (Withdrawn)", GradeSheet!$M13="I (Incomplete)"), 0, IF(AU18&gt;=65%, 1, 0))</f>
        <v>0</v>
      </c>
      <c r="BH18" s="138">
        <f>IF(OR(GradeSheet!$M13="W (Withdrawn)", GradeSheet!$M13="I (Incomplete)"), 0, IF(AV18&gt;=65%, 1, 0))</f>
        <v>0</v>
      </c>
      <c r="BI18" s="138">
        <f>IF(OR(GradeSheet!$M13="W (Withdrawn)", GradeSheet!$M13="I (Incomplete)"), 0, IF(AW18&gt;=65%, 1, 0))</f>
        <v>0</v>
      </c>
      <c r="BJ18" s="138">
        <f>IF(OR(GradeSheet!$M13="W (Withdrawn)", GradeSheet!$M13="I (Incomplete)"), 0, IF(AX18&gt;=65%, 1, 0))</f>
        <v>0</v>
      </c>
      <c r="BK18" s="138">
        <f>IF(OR(GradeSheet!$M13="W (Withdrawn)", GradeSheet!$M13="I (Incomplete)"), 0, IF(AY18&gt;=65%, 1, 0))</f>
        <v>0</v>
      </c>
      <c r="BL18" s="138">
        <f>IF(OR(GradeSheet!$M13="W (Withdrawn)", GradeSheet!$M13="I (Incomplete)"), 0, IF(AZ18&gt;=65%, 1, 0))</f>
        <v>0</v>
      </c>
      <c r="BM18" s="138">
        <f>IF(OR(GradeSheet!$M13="W (Withdrawn)", GradeSheet!$M13="I (Incomplete)"), 0, IF(BA18&gt;=65%, 1, 0))</f>
        <v>0</v>
      </c>
      <c r="BN18" s="138">
        <f>IF(OR(GradeSheet!$M13="W (Withdrawn)", GradeSheet!$M13="I (Incomplete)"), 0, IF(BB18&gt;=65%, 1, 0))</f>
        <v>0</v>
      </c>
      <c r="BO18" s="138">
        <f>IF(OR(GradeSheet!$M13="W (Withdrawn)", GradeSheet!$M13="I (Incomplete)"), 0, IF(BC18&gt;=65%, 1, 0))</f>
        <v>0</v>
      </c>
      <c r="BP18" s="138">
        <f>IF(OR(GradeSheet!$M13="W (Withdrawn)", GradeSheet!$M13="I (Incomplete)"), 0, IF(BD18&gt;=65%, 1, 0))</f>
        <v>0</v>
      </c>
      <c r="BQ18" s="138">
        <f>IF(OR(GradeSheet!$M13="W (Withdrawn)", GradeSheet!$M13="I (Incomplete)"), 0, IF(BE18&gt;=65%, 1, 0))</f>
        <v>0</v>
      </c>
      <c r="BR18" s="138">
        <f>IF(OR(GradeSheet!$M13="W (Withdrawn)", GradeSheet!$M13="I (Incomplete)"), 0, IF(BF18&gt;=65%, 1, 0))</f>
        <v>0</v>
      </c>
    </row>
    <row r="19" spans="1:70" ht="15.75">
      <c r="A19" s="134">
        <v>5</v>
      </c>
      <c r="B19" s="35">
        <f>GradeSheet!X14</f>
        <v>0</v>
      </c>
      <c r="C19" s="23">
        <f>GradeSheet!W14</f>
        <v>0</v>
      </c>
      <c r="D19" s="183">
        <v>0</v>
      </c>
      <c r="E19" s="183">
        <v>0</v>
      </c>
      <c r="F19" s="183">
        <v>0</v>
      </c>
      <c r="G19" s="183">
        <v>0</v>
      </c>
      <c r="H19" s="183">
        <v>0</v>
      </c>
      <c r="I19" s="183">
        <v>0</v>
      </c>
      <c r="J19" s="183">
        <v>0</v>
      </c>
      <c r="K19" s="183">
        <v>0</v>
      </c>
      <c r="L19" s="183">
        <v>0</v>
      </c>
      <c r="M19" s="183">
        <v>0</v>
      </c>
      <c r="N19" s="183">
        <v>0</v>
      </c>
      <c r="O19" s="183">
        <v>0</v>
      </c>
      <c r="P19" s="183">
        <v>0</v>
      </c>
      <c r="Q19" s="183">
        <v>0</v>
      </c>
      <c r="R19" s="183">
        <v>0</v>
      </c>
      <c r="S19" s="183">
        <v>0</v>
      </c>
      <c r="T19" s="183">
        <v>0</v>
      </c>
      <c r="U19" s="183">
        <v>0</v>
      </c>
      <c r="V19" s="183">
        <v>0</v>
      </c>
      <c r="W19" s="183">
        <v>0</v>
      </c>
      <c r="X19" s="183">
        <v>0</v>
      </c>
      <c r="Y19" s="183">
        <v>0</v>
      </c>
      <c r="Z19" s="183">
        <v>0</v>
      </c>
      <c r="AA19" s="183">
        <v>0</v>
      </c>
      <c r="AB19" s="135">
        <f t="shared" ref="AB19:AE19" si="22">SUM(V19,D19,J19, P19)</f>
        <v>0</v>
      </c>
      <c r="AC19" s="136">
        <f t="shared" si="22"/>
        <v>0</v>
      </c>
      <c r="AD19" s="136">
        <f t="shared" si="22"/>
        <v>0</v>
      </c>
      <c r="AE19" s="136">
        <f t="shared" si="22"/>
        <v>0</v>
      </c>
      <c r="AF19" s="136">
        <f t="shared" si="15"/>
        <v>0</v>
      </c>
      <c r="AG19" s="141">
        <f t="shared" si="16"/>
        <v>0</v>
      </c>
      <c r="AH19" s="137">
        <f t="shared" ref="AH19:AM19" si="23">IF(AB19 = 0, 0, AB19/AB$14)</f>
        <v>0</v>
      </c>
      <c r="AI19" s="137">
        <f t="shared" si="23"/>
        <v>0</v>
      </c>
      <c r="AJ19" s="137">
        <f t="shared" si="23"/>
        <v>0</v>
      </c>
      <c r="AK19" s="137">
        <f t="shared" si="23"/>
        <v>0</v>
      </c>
      <c r="AL19" s="137">
        <f t="shared" si="23"/>
        <v>0</v>
      </c>
      <c r="AM19" s="137">
        <f t="shared" si="23"/>
        <v>0</v>
      </c>
      <c r="AN19" s="138">
        <f>IF(OR(GradeSheet!$M14="W (Withdrawn)", GradeSheet!$M14="I (Incomplete)"), 0, IF(AH19&gt;=55%, 1, 0))</f>
        <v>0</v>
      </c>
      <c r="AO19" s="138">
        <f>IF(OR(GradeSheet!$M14="W (Withdrawn)", GradeSheet!$M14="I (Incomplete)"), 0, IF(AI19&gt;=55%, 1, 0))</f>
        <v>0</v>
      </c>
      <c r="AP19" s="138">
        <f>IF(OR(GradeSheet!$M14="W (Withdrawn)", GradeSheet!$M14="I (Incomplete)"), 0, IF(AJ19&gt;=55%, 1, 0))</f>
        <v>0</v>
      </c>
      <c r="AQ19" s="138">
        <f>IF(OR(GradeSheet!$M14="W (Withdrawn)", GradeSheet!$M14="I (Incomplete)"), 0, IF(AK19&gt;=55%, 1, 0))</f>
        <v>0</v>
      </c>
      <c r="AR19" s="138">
        <f>IF(OR(GradeSheet!$M14="W (Withdrawn)", GradeSheet!$M14="I (Incomplete)"), 0, IF(AL19&gt;=55%, 1, 0))</f>
        <v>0</v>
      </c>
      <c r="AS19" s="138">
        <f>IF(OR(GradeSheet!$M14="W (Withdrawn)", GradeSheet!$M14="I (Incomplete)"), 0, IF(AM19&gt;=55%, 1, 0))</f>
        <v>0</v>
      </c>
      <c r="AT19" s="118"/>
      <c r="AU19" s="139">
        <f t="shared" si="9"/>
        <v>0</v>
      </c>
      <c r="AV19" s="139">
        <f t="shared" si="10"/>
        <v>0</v>
      </c>
      <c r="AW19" s="139">
        <f t="array" ref="AW19">IF($AV$9=0,0,MMULT($AH19:$AM19, AV$3:AV$8)/$AV$9)</f>
        <v>0</v>
      </c>
      <c r="AX19" s="139">
        <f t="array" ref="AX19">IF($AW$9=0,0,MMULT($AH19:$AM19, AW$3:AW$8)/$AW$9)</f>
        <v>0</v>
      </c>
      <c r="AY19" s="139">
        <f t="shared" si="11"/>
        <v>0</v>
      </c>
      <c r="AZ19" s="139">
        <f t="array" ref="AZ19">IF($AY$9=0,0,MMULT($AH19:$AM19, AY$3:AY$8)/$AY$9)</f>
        <v>0</v>
      </c>
      <c r="BA19" s="139">
        <f t="array" ref="BA19">IF($AZ$9=0,0,MMULT($AH19:$AM19, AZ$3:AZ$8)/$AZ$9)</f>
        <v>0</v>
      </c>
      <c r="BB19" s="139">
        <f t="array" ref="BB19">IF($BA$9=0,0,MMULT($AH19:$AM19, BA$3:BA$8)/$BA$9)</f>
        <v>0</v>
      </c>
      <c r="BC19" s="139">
        <f t="array" ref="BC19">IF($BB$9=0,0,MMULT($AH19:$AM19, BB$3:BB$8)/$BB$9)</f>
        <v>0</v>
      </c>
      <c r="BD19" s="139">
        <f t="array" ref="BD19">IF($BC$9=0,0,MMULT($AH19:$AM19, BC$3:BC$8)/$BC$9)</f>
        <v>0</v>
      </c>
      <c r="BE19" s="139">
        <f t="shared" si="12"/>
        <v>0</v>
      </c>
      <c r="BF19" s="139">
        <f t="shared" si="13"/>
        <v>0</v>
      </c>
      <c r="BG19" s="138">
        <f>IF(OR(GradeSheet!$M14="W (Withdrawn)", GradeSheet!$M14="I (Incomplete)"), 0, IF(AU19&gt;=65%, 1, 0))</f>
        <v>0</v>
      </c>
      <c r="BH19" s="138">
        <f>IF(OR(GradeSheet!$M14="W (Withdrawn)", GradeSheet!$M14="I (Incomplete)"), 0, IF(AV19&gt;=65%, 1, 0))</f>
        <v>0</v>
      </c>
      <c r="BI19" s="138">
        <f>IF(OR(GradeSheet!$M14="W (Withdrawn)", GradeSheet!$M14="I (Incomplete)"), 0, IF(AW19&gt;=65%, 1, 0))</f>
        <v>0</v>
      </c>
      <c r="BJ19" s="138">
        <f>IF(OR(GradeSheet!$M14="W (Withdrawn)", GradeSheet!$M14="I (Incomplete)"), 0, IF(AX19&gt;=65%, 1, 0))</f>
        <v>0</v>
      </c>
      <c r="BK19" s="138">
        <f>IF(OR(GradeSheet!$M14="W (Withdrawn)", GradeSheet!$M14="I (Incomplete)"), 0, IF(AY19&gt;=65%, 1, 0))</f>
        <v>0</v>
      </c>
      <c r="BL19" s="138">
        <f>IF(OR(GradeSheet!$M14="W (Withdrawn)", GradeSheet!$M14="I (Incomplete)"), 0, IF(AZ19&gt;=65%, 1, 0))</f>
        <v>0</v>
      </c>
      <c r="BM19" s="138">
        <f>IF(OR(GradeSheet!$M14="W (Withdrawn)", GradeSheet!$M14="I (Incomplete)"), 0, IF(BA19&gt;=65%, 1, 0))</f>
        <v>0</v>
      </c>
      <c r="BN19" s="138">
        <f>IF(OR(GradeSheet!$M14="W (Withdrawn)", GradeSheet!$M14="I (Incomplete)"), 0, IF(BB19&gt;=65%, 1, 0))</f>
        <v>0</v>
      </c>
      <c r="BO19" s="138">
        <f>IF(OR(GradeSheet!$M14="W (Withdrawn)", GradeSheet!$M14="I (Incomplete)"), 0, IF(BC19&gt;=65%, 1, 0))</f>
        <v>0</v>
      </c>
      <c r="BP19" s="138">
        <f>IF(OR(GradeSheet!$M14="W (Withdrawn)", GradeSheet!$M14="I (Incomplete)"), 0, IF(BD19&gt;=65%, 1, 0))</f>
        <v>0</v>
      </c>
      <c r="BQ19" s="138">
        <f>IF(OR(GradeSheet!$M14="W (Withdrawn)", GradeSheet!$M14="I (Incomplete)"), 0, IF(BE19&gt;=65%, 1, 0))</f>
        <v>0</v>
      </c>
      <c r="BR19" s="138">
        <f>IF(OR(GradeSheet!$M14="W (Withdrawn)", GradeSheet!$M14="I (Incomplete)"), 0, IF(BF19&gt;=65%, 1, 0))</f>
        <v>0</v>
      </c>
    </row>
    <row r="20" spans="1:70" ht="15.75">
      <c r="A20" s="140">
        <v>6</v>
      </c>
      <c r="B20" s="35">
        <f>GradeSheet!X15</f>
        <v>0</v>
      </c>
      <c r="C20" s="23">
        <f>GradeSheet!W15</f>
        <v>0</v>
      </c>
      <c r="D20" s="183">
        <v>0</v>
      </c>
      <c r="E20" s="183">
        <v>0</v>
      </c>
      <c r="F20" s="183">
        <v>0</v>
      </c>
      <c r="G20" s="183">
        <v>0</v>
      </c>
      <c r="H20" s="183">
        <v>0</v>
      </c>
      <c r="I20" s="183">
        <v>0</v>
      </c>
      <c r="J20" s="183">
        <v>0</v>
      </c>
      <c r="K20" s="183">
        <v>0</v>
      </c>
      <c r="L20" s="183">
        <v>0</v>
      </c>
      <c r="M20" s="183">
        <v>0</v>
      </c>
      <c r="N20" s="183">
        <v>0</v>
      </c>
      <c r="O20" s="183">
        <v>0</v>
      </c>
      <c r="P20" s="183">
        <v>0</v>
      </c>
      <c r="Q20" s="183">
        <v>0</v>
      </c>
      <c r="R20" s="183">
        <v>0</v>
      </c>
      <c r="S20" s="183">
        <v>0</v>
      </c>
      <c r="T20" s="183">
        <v>0</v>
      </c>
      <c r="U20" s="183">
        <v>0</v>
      </c>
      <c r="V20" s="183">
        <v>0</v>
      </c>
      <c r="W20" s="183">
        <v>0</v>
      </c>
      <c r="X20" s="183">
        <v>0</v>
      </c>
      <c r="Y20" s="183">
        <v>0</v>
      </c>
      <c r="Z20" s="183">
        <v>0</v>
      </c>
      <c r="AA20" s="183">
        <v>0</v>
      </c>
      <c r="AB20" s="135">
        <f t="shared" ref="AB20:AE20" si="24">SUM(V20,D20,J20, P20)</f>
        <v>0</v>
      </c>
      <c r="AC20" s="136">
        <f t="shared" si="24"/>
        <v>0</v>
      </c>
      <c r="AD20" s="136">
        <f t="shared" si="24"/>
        <v>0</v>
      </c>
      <c r="AE20" s="136">
        <f t="shared" si="24"/>
        <v>0</v>
      </c>
      <c r="AF20" s="136">
        <f t="shared" si="15"/>
        <v>0</v>
      </c>
      <c r="AG20" s="141">
        <f t="shared" si="16"/>
        <v>0</v>
      </c>
      <c r="AH20" s="137">
        <f t="shared" ref="AH20:AM20" si="25">IF(AB20 = 0, 0, AB20/AB$14)</f>
        <v>0</v>
      </c>
      <c r="AI20" s="137">
        <f t="shared" si="25"/>
        <v>0</v>
      </c>
      <c r="AJ20" s="137">
        <f t="shared" si="25"/>
        <v>0</v>
      </c>
      <c r="AK20" s="137">
        <f t="shared" si="25"/>
        <v>0</v>
      </c>
      <c r="AL20" s="137">
        <f t="shared" si="25"/>
        <v>0</v>
      </c>
      <c r="AM20" s="137">
        <f t="shared" si="25"/>
        <v>0</v>
      </c>
      <c r="AN20" s="138">
        <f>IF(OR(GradeSheet!$M15="W (Withdrawn)", GradeSheet!$M15="I (Incomplete)"), 0, IF(AH20&gt;=55%, 1, 0))</f>
        <v>0</v>
      </c>
      <c r="AO20" s="138">
        <f>IF(OR(GradeSheet!$M15="W (Withdrawn)", GradeSheet!$M15="I (Incomplete)"), 0, IF(AI20&gt;=55%, 1, 0))</f>
        <v>0</v>
      </c>
      <c r="AP20" s="138">
        <f>IF(OR(GradeSheet!$M15="W (Withdrawn)", GradeSheet!$M15="I (Incomplete)"), 0, IF(AJ20&gt;=55%, 1, 0))</f>
        <v>0</v>
      </c>
      <c r="AQ20" s="138">
        <f>IF(OR(GradeSheet!$M15="W (Withdrawn)", GradeSheet!$M15="I (Incomplete)"), 0, IF(AK20&gt;=55%, 1, 0))</f>
        <v>0</v>
      </c>
      <c r="AR20" s="138">
        <f>IF(OR(GradeSheet!$M15="W (Withdrawn)", GradeSheet!$M15="I (Incomplete)"), 0, IF(AL20&gt;=55%, 1, 0))</f>
        <v>0</v>
      </c>
      <c r="AS20" s="138">
        <f>IF(OR(GradeSheet!$M15="W (Withdrawn)", GradeSheet!$M15="I (Incomplete)"), 0, IF(AM20&gt;=55%, 1, 0))</f>
        <v>0</v>
      </c>
      <c r="AT20" s="118"/>
      <c r="AU20" s="139">
        <f t="shared" si="9"/>
        <v>0</v>
      </c>
      <c r="AV20" s="139">
        <f t="shared" si="10"/>
        <v>0</v>
      </c>
      <c r="AW20" s="139">
        <f t="array" ref="AW20">IF($AV$9=0,0,MMULT($AH20:$AM20, AV$3:AV$8)/$AV$9)</f>
        <v>0</v>
      </c>
      <c r="AX20" s="139">
        <f t="array" ref="AX20">IF($AW$9=0,0,MMULT($AH20:$AM20, AW$3:AW$8)/$AW$9)</f>
        <v>0</v>
      </c>
      <c r="AY20" s="139">
        <f t="shared" si="11"/>
        <v>0</v>
      </c>
      <c r="AZ20" s="139">
        <f t="array" ref="AZ20">IF($AY$9=0,0,MMULT($AH20:$AM20, AY$3:AY$8)/$AY$9)</f>
        <v>0</v>
      </c>
      <c r="BA20" s="139">
        <f t="array" ref="BA20">IF($AZ$9=0,0,MMULT($AH20:$AM20, AZ$3:AZ$8)/$AZ$9)</f>
        <v>0</v>
      </c>
      <c r="BB20" s="139">
        <f t="array" ref="BB20">IF($BA$9=0,0,MMULT($AH20:$AM20, BA$3:BA$8)/$BA$9)</f>
        <v>0</v>
      </c>
      <c r="BC20" s="139">
        <f t="array" ref="BC20">IF($BB$9=0,0,MMULT($AH20:$AM20, BB$3:BB$8)/$BB$9)</f>
        <v>0</v>
      </c>
      <c r="BD20" s="139">
        <f t="array" ref="BD20">IF($BC$9=0,0,MMULT($AH20:$AM20, BC$3:BC$8)/$BC$9)</f>
        <v>0</v>
      </c>
      <c r="BE20" s="139">
        <f t="shared" si="12"/>
        <v>0</v>
      </c>
      <c r="BF20" s="139">
        <f t="shared" si="13"/>
        <v>0</v>
      </c>
      <c r="BG20" s="138">
        <f>IF(OR(GradeSheet!$M15="W (Withdrawn)", GradeSheet!$M15="I (Incomplete)"), 0, IF(AU20&gt;=65%, 1, 0))</f>
        <v>0</v>
      </c>
      <c r="BH20" s="138">
        <f>IF(OR(GradeSheet!$M15="W (Withdrawn)", GradeSheet!$M15="I (Incomplete)"), 0, IF(AV20&gt;=65%, 1, 0))</f>
        <v>0</v>
      </c>
      <c r="BI20" s="138">
        <f>IF(OR(GradeSheet!$M15="W (Withdrawn)", GradeSheet!$M15="I (Incomplete)"), 0, IF(AW20&gt;=65%, 1, 0))</f>
        <v>0</v>
      </c>
      <c r="BJ20" s="138">
        <f>IF(OR(GradeSheet!$M15="W (Withdrawn)", GradeSheet!$M15="I (Incomplete)"), 0, IF(AX20&gt;=65%, 1, 0))</f>
        <v>0</v>
      </c>
      <c r="BK20" s="138">
        <f>IF(OR(GradeSheet!$M15="W (Withdrawn)", GradeSheet!$M15="I (Incomplete)"), 0, IF(AY20&gt;=65%, 1, 0))</f>
        <v>0</v>
      </c>
      <c r="BL20" s="138">
        <f>IF(OR(GradeSheet!$M15="W (Withdrawn)", GradeSheet!$M15="I (Incomplete)"), 0, IF(AZ20&gt;=65%, 1, 0))</f>
        <v>0</v>
      </c>
      <c r="BM20" s="138">
        <f>IF(OR(GradeSheet!$M15="W (Withdrawn)", GradeSheet!$M15="I (Incomplete)"), 0, IF(BA20&gt;=65%, 1, 0))</f>
        <v>0</v>
      </c>
      <c r="BN20" s="138">
        <f>IF(OR(GradeSheet!$M15="W (Withdrawn)", GradeSheet!$M15="I (Incomplete)"), 0, IF(BB20&gt;=65%, 1, 0))</f>
        <v>0</v>
      </c>
      <c r="BO20" s="138">
        <f>IF(OR(GradeSheet!$M15="W (Withdrawn)", GradeSheet!$M15="I (Incomplete)"), 0, IF(BC20&gt;=65%, 1, 0))</f>
        <v>0</v>
      </c>
      <c r="BP20" s="138">
        <f>IF(OR(GradeSheet!$M15="W (Withdrawn)", GradeSheet!$M15="I (Incomplete)"), 0, IF(BD20&gt;=65%, 1, 0))</f>
        <v>0</v>
      </c>
      <c r="BQ20" s="138">
        <f>IF(OR(GradeSheet!$M15="W (Withdrawn)", GradeSheet!$M15="I (Incomplete)"), 0, IF(BE20&gt;=65%, 1, 0))</f>
        <v>0</v>
      </c>
      <c r="BR20" s="138">
        <f>IF(OR(GradeSheet!$M15="W (Withdrawn)", GradeSheet!$M15="I (Incomplete)"), 0, IF(BF20&gt;=65%, 1, 0))</f>
        <v>0</v>
      </c>
    </row>
    <row r="21" spans="1:70" ht="15.75" customHeight="1">
      <c r="A21" s="134">
        <v>7</v>
      </c>
      <c r="B21" s="35">
        <f>GradeSheet!X16</f>
        <v>0</v>
      </c>
      <c r="C21" s="23">
        <f>GradeSheet!W16</f>
        <v>0</v>
      </c>
      <c r="D21" s="183">
        <v>0</v>
      </c>
      <c r="E21" s="183">
        <v>0</v>
      </c>
      <c r="F21" s="183">
        <v>0</v>
      </c>
      <c r="G21" s="183">
        <v>0</v>
      </c>
      <c r="H21" s="183">
        <v>0</v>
      </c>
      <c r="I21" s="183">
        <v>0</v>
      </c>
      <c r="J21" s="183">
        <v>0</v>
      </c>
      <c r="K21" s="183">
        <v>0</v>
      </c>
      <c r="L21" s="183">
        <v>0</v>
      </c>
      <c r="M21" s="183">
        <v>0</v>
      </c>
      <c r="N21" s="183">
        <v>0</v>
      </c>
      <c r="O21" s="183">
        <v>0</v>
      </c>
      <c r="P21" s="183">
        <v>0</v>
      </c>
      <c r="Q21" s="183">
        <v>0</v>
      </c>
      <c r="R21" s="183">
        <v>0</v>
      </c>
      <c r="S21" s="183">
        <v>0</v>
      </c>
      <c r="T21" s="183">
        <v>0</v>
      </c>
      <c r="U21" s="183">
        <v>0</v>
      </c>
      <c r="V21" s="183">
        <v>0</v>
      </c>
      <c r="W21" s="183">
        <v>0</v>
      </c>
      <c r="X21" s="183">
        <v>0</v>
      </c>
      <c r="Y21" s="183">
        <v>0</v>
      </c>
      <c r="Z21" s="183">
        <v>0</v>
      </c>
      <c r="AA21" s="183">
        <v>0</v>
      </c>
      <c r="AB21" s="135">
        <f t="shared" ref="AB21:AE21" si="26">SUM(V21,D21,J21, P21)</f>
        <v>0</v>
      </c>
      <c r="AC21" s="136">
        <f t="shared" si="26"/>
        <v>0</v>
      </c>
      <c r="AD21" s="136">
        <f t="shared" si="26"/>
        <v>0</v>
      </c>
      <c r="AE21" s="136">
        <f t="shared" si="26"/>
        <v>0</v>
      </c>
      <c r="AF21" s="136">
        <f t="shared" si="15"/>
        <v>0</v>
      </c>
      <c r="AG21" s="141">
        <f t="shared" si="16"/>
        <v>0</v>
      </c>
      <c r="AH21" s="137">
        <f t="shared" ref="AH21:AM21" si="27">IF(AB21 = 0, 0, AB21/AB$14)</f>
        <v>0</v>
      </c>
      <c r="AI21" s="137">
        <f t="shared" si="27"/>
        <v>0</v>
      </c>
      <c r="AJ21" s="137">
        <f t="shared" si="27"/>
        <v>0</v>
      </c>
      <c r="AK21" s="137">
        <f t="shared" si="27"/>
        <v>0</v>
      </c>
      <c r="AL21" s="137">
        <f t="shared" si="27"/>
        <v>0</v>
      </c>
      <c r="AM21" s="137">
        <f t="shared" si="27"/>
        <v>0</v>
      </c>
      <c r="AN21" s="138">
        <f>IF(OR(GradeSheet!$M16="W (Withdrawn)", GradeSheet!$M16="I (Incomplete)"), 0, IF(AH21&gt;=55%, 1, 0))</f>
        <v>0</v>
      </c>
      <c r="AO21" s="138">
        <f>IF(OR(GradeSheet!$M16="W (Withdrawn)", GradeSheet!$M16="I (Incomplete)"), 0, IF(AI21&gt;=55%, 1, 0))</f>
        <v>0</v>
      </c>
      <c r="AP21" s="138">
        <f>IF(OR(GradeSheet!$M16="W (Withdrawn)", GradeSheet!$M16="I (Incomplete)"), 0, IF(AJ21&gt;=55%, 1, 0))</f>
        <v>0</v>
      </c>
      <c r="AQ21" s="138">
        <f>IF(OR(GradeSheet!$M16="W (Withdrawn)", GradeSheet!$M16="I (Incomplete)"), 0, IF(AK21&gt;=55%, 1, 0))</f>
        <v>0</v>
      </c>
      <c r="AR21" s="138">
        <f>IF(OR(GradeSheet!$M16="W (Withdrawn)", GradeSheet!$M16="I (Incomplete)"), 0, IF(AL21&gt;=55%, 1, 0))</f>
        <v>0</v>
      </c>
      <c r="AS21" s="138">
        <f>IF(OR(GradeSheet!$M16="W (Withdrawn)", GradeSheet!$M16="I (Incomplete)"), 0, IF(AM21&gt;=55%, 1, 0))</f>
        <v>0</v>
      </c>
      <c r="AT21" s="118"/>
      <c r="AU21" s="139">
        <f t="shared" si="9"/>
        <v>0</v>
      </c>
      <c r="AV21" s="139">
        <f t="shared" si="10"/>
        <v>0</v>
      </c>
      <c r="AW21" s="139">
        <f t="array" ref="AW21">IF($AV$9=0,0,MMULT($AH21:$AM21, AV$3:AV$8)/$AV$9)</f>
        <v>0</v>
      </c>
      <c r="AX21" s="139">
        <f t="array" ref="AX21">IF($AW$9=0,0,MMULT($AH21:$AM21, AW$3:AW$8)/$AW$9)</f>
        <v>0</v>
      </c>
      <c r="AY21" s="139">
        <f t="shared" si="11"/>
        <v>0</v>
      </c>
      <c r="AZ21" s="139">
        <f t="array" ref="AZ21">IF($AY$9=0,0,MMULT($AH21:$AM21, AY$3:AY$8)/$AY$9)</f>
        <v>0</v>
      </c>
      <c r="BA21" s="139">
        <f t="array" ref="BA21">IF($AZ$9=0,0,MMULT($AH21:$AM21, AZ$3:AZ$8)/$AZ$9)</f>
        <v>0</v>
      </c>
      <c r="BB21" s="139">
        <f t="array" ref="BB21">IF($BA$9=0,0,MMULT($AH21:$AM21, BA$3:BA$8)/$BA$9)</f>
        <v>0</v>
      </c>
      <c r="BC21" s="139">
        <f t="array" ref="BC21">IF($BB$9=0,0,MMULT($AH21:$AM21, BB$3:BB$8)/$BB$9)</f>
        <v>0</v>
      </c>
      <c r="BD21" s="139">
        <f t="array" ref="BD21">IF($BC$9=0,0,MMULT($AH21:$AM21, BC$3:BC$8)/$BC$9)</f>
        <v>0</v>
      </c>
      <c r="BE21" s="139">
        <f t="shared" si="12"/>
        <v>0</v>
      </c>
      <c r="BF21" s="139">
        <f t="shared" si="13"/>
        <v>0</v>
      </c>
      <c r="BG21" s="138">
        <f>IF(OR(GradeSheet!$M16="W (Withdrawn)", GradeSheet!$M16="I (Incomplete)"), 0, IF(AU21&gt;=65%, 1, 0))</f>
        <v>0</v>
      </c>
      <c r="BH21" s="138">
        <f>IF(OR(GradeSheet!$M16="W (Withdrawn)", GradeSheet!$M16="I (Incomplete)"), 0, IF(AV21&gt;=65%, 1, 0))</f>
        <v>0</v>
      </c>
      <c r="BI21" s="138">
        <f>IF(OR(GradeSheet!$M16="W (Withdrawn)", GradeSheet!$M16="I (Incomplete)"), 0, IF(AW21&gt;=65%, 1, 0))</f>
        <v>0</v>
      </c>
      <c r="BJ21" s="138">
        <f>IF(OR(GradeSheet!$M16="W (Withdrawn)", GradeSheet!$M16="I (Incomplete)"), 0, IF(AX21&gt;=65%, 1, 0))</f>
        <v>0</v>
      </c>
      <c r="BK21" s="138">
        <f>IF(OR(GradeSheet!$M16="W (Withdrawn)", GradeSheet!$M16="I (Incomplete)"), 0, IF(AY21&gt;=65%, 1, 0))</f>
        <v>0</v>
      </c>
      <c r="BL21" s="138">
        <f>IF(OR(GradeSheet!$M16="W (Withdrawn)", GradeSheet!$M16="I (Incomplete)"), 0, IF(AZ21&gt;=65%, 1, 0))</f>
        <v>0</v>
      </c>
      <c r="BM21" s="138">
        <f>IF(OR(GradeSheet!$M16="W (Withdrawn)", GradeSheet!$M16="I (Incomplete)"), 0, IF(BA21&gt;=65%, 1, 0))</f>
        <v>0</v>
      </c>
      <c r="BN21" s="138">
        <f>IF(OR(GradeSheet!$M16="W (Withdrawn)", GradeSheet!$M16="I (Incomplete)"), 0, IF(BB21&gt;=65%, 1, 0))</f>
        <v>0</v>
      </c>
      <c r="BO21" s="138">
        <f>IF(OR(GradeSheet!$M16="W (Withdrawn)", GradeSheet!$M16="I (Incomplete)"), 0, IF(BC21&gt;=65%, 1, 0))</f>
        <v>0</v>
      </c>
      <c r="BP21" s="138">
        <f>IF(OR(GradeSheet!$M16="W (Withdrawn)", GradeSheet!$M16="I (Incomplete)"), 0, IF(BD21&gt;=65%, 1, 0))</f>
        <v>0</v>
      </c>
      <c r="BQ21" s="138">
        <f>IF(OR(GradeSheet!$M16="W (Withdrawn)", GradeSheet!$M16="I (Incomplete)"), 0, IF(BE21&gt;=65%, 1, 0))</f>
        <v>0</v>
      </c>
      <c r="BR21" s="138">
        <f>IF(OR(GradeSheet!$M16="W (Withdrawn)", GradeSheet!$M16="I (Incomplete)"), 0, IF(BF21&gt;=65%, 1, 0))</f>
        <v>0</v>
      </c>
    </row>
    <row r="22" spans="1:70" ht="15.75" customHeight="1">
      <c r="A22" s="140">
        <v>8</v>
      </c>
      <c r="B22" s="35">
        <f>GradeSheet!X17</f>
        <v>0</v>
      </c>
      <c r="C22" s="23">
        <f>GradeSheet!W17</f>
        <v>0</v>
      </c>
      <c r="D22" s="183">
        <v>0</v>
      </c>
      <c r="E22" s="183">
        <v>0</v>
      </c>
      <c r="F22" s="183">
        <v>0</v>
      </c>
      <c r="G22" s="183">
        <v>0</v>
      </c>
      <c r="H22" s="183">
        <v>0</v>
      </c>
      <c r="I22" s="183">
        <v>0</v>
      </c>
      <c r="J22" s="183">
        <v>0</v>
      </c>
      <c r="K22" s="183">
        <v>0</v>
      </c>
      <c r="L22" s="183">
        <v>0</v>
      </c>
      <c r="M22" s="183">
        <v>0</v>
      </c>
      <c r="N22" s="183">
        <v>0</v>
      </c>
      <c r="O22" s="183">
        <v>0</v>
      </c>
      <c r="P22" s="183">
        <v>0</v>
      </c>
      <c r="Q22" s="183">
        <v>0</v>
      </c>
      <c r="R22" s="183">
        <v>0</v>
      </c>
      <c r="S22" s="183">
        <v>0</v>
      </c>
      <c r="T22" s="183">
        <v>0</v>
      </c>
      <c r="U22" s="183">
        <v>0</v>
      </c>
      <c r="V22" s="183">
        <v>0</v>
      </c>
      <c r="W22" s="183">
        <v>0</v>
      </c>
      <c r="X22" s="183">
        <v>0</v>
      </c>
      <c r="Y22" s="183">
        <v>0</v>
      </c>
      <c r="Z22" s="183">
        <v>0</v>
      </c>
      <c r="AA22" s="183">
        <v>0</v>
      </c>
      <c r="AB22" s="135">
        <f t="shared" ref="AB22:AE22" si="28">SUM(V22,D22,J22, P22)</f>
        <v>0</v>
      </c>
      <c r="AC22" s="136">
        <f t="shared" si="28"/>
        <v>0</v>
      </c>
      <c r="AD22" s="136">
        <f t="shared" si="28"/>
        <v>0</v>
      </c>
      <c r="AE22" s="136">
        <f t="shared" si="28"/>
        <v>0</v>
      </c>
      <c r="AF22" s="136">
        <f t="shared" si="15"/>
        <v>0</v>
      </c>
      <c r="AG22" s="141">
        <f t="shared" si="16"/>
        <v>0</v>
      </c>
      <c r="AH22" s="137">
        <f t="shared" ref="AH22:AM22" si="29">IF(AB22 = 0, 0, AB22/AB$14)</f>
        <v>0</v>
      </c>
      <c r="AI22" s="137">
        <f t="shared" si="29"/>
        <v>0</v>
      </c>
      <c r="AJ22" s="137">
        <f t="shared" si="29"/>
        <v>0</v>
      </c>
      <c r="AK22" s="137">
        <f t="shared" si="29"/>
        <v>0</v>
      </c>
      <c r="AL22" s="137">
        <f t="shared" si="29"/>
        <v>0</v>
      </c>
      <c r="AM22" s="137">
        <f t="shared" si="29"/>
        <v>0</v>
      </c>
      <c r="AN22" s="138">
        <f>IF(OR(GradeSheet!$M17="W (Withdrawn)", GradeSheet!$M17="I (Incomplete)"), 0, IF(AH22&gt;=55%, 1, 0))</f>
        <v>0</v>
      </c>
      <c r="AO22" s="138">
        <f>IF(OR(GradeSheet!$M17="W (Withdrawn)", GradeSheet!$M17="I (Incomplete)"), 0, IF(AI22&gt;=55%, 1, 0))</f>
        <v>0</v>
      </c>
      <c r="AP22" s="138">
        <f>IF(OR(GradeSheet!$M17="W (Withdrawn)", GradeSheet!$M17="I (Incomplete)"), 0, IF(AJ22&gt;=55%, 1, 0))</f>
        <v>0</v>
      </c>
      <c r="AQ22" s="138">
        <f>IF(OR(GradeSheet!$M17="W (Withdrawn)", GradeSheet!$M17="I (Incomplete)"), 0, IF(AK22&gt;=55%, 1, 0))</f>
        <v>0</v>
      </c>
      <c r="AR22" s="138">
        <f>IF(OR(GradeSheet!$M17="W (Withdrawn)", GradeSheet!$M17="I (Incomplete)"), 0, IF(AL22&gt;=55%, 1, 0))</f>
        <v>0</v>
      </c>
      <c r="AS22" s="138">
        <f>IF(OR(GradeSheet!$M17="W (Withdrawn)", GradeSheet!$M17="I (Incomplete)"), 0, IF(AM22&gt;=55%, 1, 0))</f>
        <v>0</v>
      </c>
      <c r="AT22" s="118"/>
      <c r="AU22" s="139">
        <f t="shared" si="9"/>
        <v>0</v>
      </c>
      <c r="AV22" s="139">
        <f t="shared" si="10"/>
        <v>0</v>
      </c>
      <c r="AW22" s="139">
        <f t="array" ref="AW22">IF($AV$9=0,0,MMULT($AH22:$AM22, AV$3:AV$8)/$AV$9)</f>
        <v>0</v>
      </c>
      <c r="AX22" s="139">
        <f t="array" ref="AX22">IF($AW$9=0,0,MMULT($AH22:$AM22, AW$3:AW$8)/$AW$9)</f>
        <v>0</v>
      </c>
      <c r="AY22" s="139">
        <f t="shared" si="11"/>
        <v>0</v>
      </c>
      <c r="AZ22" s="139">
        <f t="array" ref="AZ22">IF($AY$9=0,0,MMULT($AH22:$AM22, AY$3:AY$8)/$AY$9)</f>
        <v>0</v>
      </c>
      <c r="BA22" s="139">
        <f t="array" ref="BA22">IF($AZ$9=0,0,MMULT($AH22:$AM22, AZ$3:AZ$8)/$AZ$9)</f>
        <v>0</v>
      </c>
      <c r="BB22" s="139">
        <f t="array" ref="BB22">IF($BA$9=0,0,MMULT($AH22:$AM22, BA$3:BA$8)/$BA$9)</f>
        <v>0</v>
      </c>
      <c r="BC22" s="139">
        <f t="array" ref="BC22">IF($BB$9=0,0,MMULT($AH22:$AM22, BB$3:BB$8)/$BB$9)</f>
        <v>0</v>
      </c>
      <c r="BD22" s="139">
        <f t="array" ref="BD22">IF($BC$9=0,0,MMULT($AH22:$AM22, BC$3:BC$8)/$BC$9)</f>
        <v>0</v>
      </c>
      <c r="BE22" s="139">
        <f t="shared" si="12"/>
        <v>0</v>
      </c>
      <c r="BF22" s="139">
        <f t="shared" si="13"/>
        <v>0</v>
      </c>
      <c r="BG22" s="138">
        <f>IF(OR(GradeSheet!$M17="W (Withdrawn)", GradeSheet!$M17="I (Incomplete)"), 0, IF(AU22&gt;=65%, 1, 0))</f>
        <v>0</v>
      </c>
      <c r="BH22" s="138">
        <f>IF(OR(GradeSheet!$M17="W (Withdrawn)", GradeSheet!$M17="I (Incomplete)"), 0, IF(AV22&gt;=65%, 1, 0))</f>
        <v>0</v>
      </c>
      <c r="BI22" s="138">
        <f>IF(OR(GradeSheet!$M17="W (Withdrawn)", GradeSheet!$M17="I (Incomplete)"), 0, IF(AW22&gt;=65%, 1, 0))</f>
        <v>0</v>
      </c>
      <c r="BJ22" s="138">
        <f>IF(OR(GradeSheet!$M17="W (Withdrawn)", GradeSheet!$M17="I (Incomplete)"), 0, IF(AX22&gt;=65%, 1, 0))</f>
        <v>0</v>
      </c>
      <c r="BK22" s="138">
        <f>IF(OR(GradeSheet!$M17="W (Withdrawn)", GradeSheet!$M17="I (Incomplete)"), 0, IF(AY22&gt;=65%, 1, 0))</f>
        <v>0</v>
      </c>
      <c r="BL22" s="138">
        <f>IF(OR(GradeSheet!$M17="W (Withdrawn)", GradeSheet!$M17="I (Incomplete)"), 0, IF(AZ22&gt;=65%, 1, 0))</f>
        <v>0</v>
      </c>
      <c r="BM22" s="138">
        <f>IF(OR(GradeSheet!$M17="W (Withdrawn)", GradeSheet!$M17="I (Incomplete)"), 0, IF(BA22&gt;=65%, 1, 0))</f>
        <v>0</v>
      </c>
      <c r="BN22" s="138">
        <f>IF(OR(GradeSheet!$M17="W (Withdrawn)", GradeSheet!$M17="I (Incomplete)"), 0, IF(BB22&gt;=65%, 1, 0))</f>
        <v>0</v>
      </c>
      <c r="BO22" s="138">
        <f>IF(OR(GradeSheet!$M17="W (Withdrawn)", GradeSheet!$M17="I (Incomplete)"), 0, IF(BC22&gt;=65%, 1, 0))</f>
        <v>0</v>
      </c>
      <c r="BP22" s="138">
        <f>IF(OR(GradeSheet!$M17="W (Withdrawn)", GradeSheet!$M17="I (Incomplete)"), 0, IF(BD22&gt;=65%, 1, 0))</f>
        <v>0</v>
      </c>
      <c r="BQ22" s="138">
        <f>IF(OR(GradeSheet!$M17="W (Withdrawn)", GradeSheet!$M17="I (Incomplete)"), 0, IF(BE22&gt;=65%, 1, 0))</f>
        <v>0</v>
      </c>
      <c r="BR22" s="138">
        <f>IF(OR(GradeSheet!$M17="W (Withdrawn)", GradeSheet!$M17="I (Incomplete)"), 0, IF(BF22&gt;=65%, 1, 0))</f>
        <v>0</v>
      </c>
    </row>
    <row r="23" spans="1:70" ht="15.75" customHeight="1">
      <c r="A23" s="134">
        <v>9</v>
      </c>
      <c r="B23" s="35">
        <f>GradeSheet!X18</f>
        <v>0</v>
      </c>
      <c r="C23" s="23">
        <f>GradeSheet!W18</f>
        <v>0</v>
      </c>
      <c r="D23" s="183">
        <v>0</v>
      </c>
      <c r="E23" s="183">
        <v>0</v>
      </c>
      <c r="F23" s="183">
        <v>0</v>
      </c>
      <c r="G23" s="183">
        <v>0</v>
      </c>
      <c r="H23" s="183">
        <v>0</v>
      </c>
      <c r="I23" s="183">
        <v>0</v>
      </c>
      <c r="J23" s="183">
        <v>0</v>
      </c>
      <c r="K23" s="183">
        <v>0</v>
      </c>
      <c r="L23" s="183">
        <v>0</v>
      </c>
      <c r="M23" s="183">
        <v>0</v>
      </c>
      <c r="N23" s="183">
        <v>0</v>
      </c>
      <c r="O23" s="183">
        <v>0</v>
      </c>
      <c r="P23" s="183">
        <v>0</v>
      </c>
      <c r="Q23" s="183">
        <v>0</v>
      </c>
      <c r="R23" s="183">
        <v>0</v>
      </c>
      <c r="S23" s="183">
        <v>0</v>
      </c>
      <c r="T23" s="183">
        <v>0</v>
      </c>
      <c r="U23" s="183">
        <v>0</v>
      </c>
      <c r="V23" s="183">
        <v>0</v>
      </c>
      <c r="W23" s="183">
        <v>0</v>
      </c>
      <c r="X23" s="183">
        <v>0</v>
      </c>
      <c r="Y23" s="183">
        <v>0</v>
      </c>
      <c r="Z23" s="183">
        <v>0</v>
      </c>
      <c r="AA23" s="183">
        <v>0</v>
      </c>
      <c r="AB23" s="135">
        <f t="shared" ref="AB23:AE23" si="30">SUM(V23,D23,J23, P23)</f>
        <v>0</v>
      </c>
      <c r="AC23" s="136">
        <f t="shared" si="30"/>
        <v>0</v>
      </c>
      <c r="AD23" s="136">
        <f t="shared" si="30"/>
        <v>0</v>
      </c>
      <c r="AE23" s="136">
        <f t="shared" si="30"/>
        <v>0</v>
      </c>
      <c r="AF23" s="136">
        <f t="shared" si="15"/>
        <v>0</v>
      </c>
      <c r="AG23" s="141">
        <f t="shared" si="16"/>
        <v>0</v>
      </c>
      <c r="AH23" s="137">
        <f t="shared" ref="AH23:AM23" si="31">IF(AB23 = 0, 0, AB23/AB$14)</f>
        <v>0</v>
      </c>
      <c r="AI23" s="137">
        <f t="shared" si="31"/>
        <v>0</v>
      </c>
      <c r="AJ23" s="137">
        <f t="shared" si="31"/>
        <v>0</v>
      </c>
      <c r="AK23" s="137">
        <f t="shared" si="31"/>
        <v>0</v>
      </c>
      <c r="AL23" s="137">
        <f t="shared" si="31"/>
        <v>0</v>
      </c>
      <c r="AM23" s="137">
        <f t="shared" si="31"/>
        <v>0</v>
      </c>
      <c r="AN23" s="138">
        <f>IF(OR(GradeSheet!$M18="W (Withdrawn)", GradeSheet!$M18="I (Incomplete)"), 0, IF(AH23&gt;=55%, 1, 0))</f>
        <v>0</v>
      </c>
      <c r="AO23" s="138">
        <f>IF(OR(GradeSheet!$M18="W (Withdrawn)", GradeSheet!$M18="I (Incomplete)"), 0, IF(AI23&gt;=55%, 1, 0))</f>
        <v>0</v>
      </c>
      <c r="AP23" s="138">
        <f>IF(OR(GradeSheet!$M18="W (Withdrawn)", GradeSheet!$M18="I (Incomplete)"), 0, IF(AJ23&gt;=55%, 1, 0))</f>
        <v>0</v>
      </c>
      <c r="AQ23" s="138">
        <f>IF(OR(GradeSheet!$M18="W (Withdrawn)", GradeSheet!$M18="I (Incomplete)"), 0, IF(AK23&gt;=55%, 1, 0))</f>
        <v>0</v>
      </c>
      <c r="AR23" s="138">
        <f>IF(OR(GradeSheet!$M18="W (Withdrawn)", GradeSheet!$M18="I (Incomplete)"), 0, IF(AL23&gt;=55%, 1, 0))</f>
        <v>0</v>
      </c>
      <c r="AS23" s="138">
        <f>IF(OR(GradeSheet!$M18="W (Withdrawn)", GradeSheet!$M18="I (Incomplete)"), 0, IF(AM23&gt;=55%, 1, 0))</f>
        <v>0</v>
      </c>
      <c r="AT23" s="118"/>
      <c r="AU23" s="139">
        <f t="shared" si="9"/>
        <v>0</v>
      </c>
      <c r="AV23" s="139">
        <f t="shared" si="10"/>
        <v>0</v>
      </c>
      <c r="AW23" s="139">
        <f t="array" ref="AW23">IF($AV$9=0,0,MMULT($AH23:$AM23, AV$3:AV$8)/$AV$9)</f>
        <v>0</v>
      </c>
      <c r="AX23" s="139">
        <f t="array" ref="AX23">IF($AW$9=0,0,MMULT($AH23:$AM23, AW$3:AW$8)/$AW$9)</f>
        <v>0</v>
      </c>
      <c r="AY23" s="139">
        <f t="shared" si="11"/>
        <v>0</v>
      </c>
      <c r="AZ23" s="139">
        <f t="array" ref="AZ23">IF($AY$9=0,0,MMULT($AH23:$AM23, AY$3:AY$8)/$AY$9)</f>
        <v>0</v>
      </c>
      <c r="BA23" s="139">
        <f t="array" ref="BA23">IF($AZ$9=0,0,MMULT($AH23:$AM23, AZ$3:AZ$8)/$AZ$9)</f>
        <v>0</v>
      </c>
      <c r="BB23" s="139">
        <f t="array" ref="BB23">IF($BA$9=0,0,MMULT($AH23:$AM23, BA$3:BA$8)/$BA$9)</f>
        <v>0</v>
      </c>
      <c r="BC23" s="139">
        <f t="array" ref="BC23">IF($BB$9=0,0,MMULT($AH23:$AM23, BB$3:BB$8)/$BB$9)</f>
        <v>0</v>
      </c>
      <c r="BD23" s="139">
        <f t="array" ref="BD23">IF($BC$9=0,0,MMULT($AH23:$AM23, BC$3:BC$8)/$BC$9)</f>
        <v>0</v>
      </c>
      <c r="BE23" s="139">
        <f t="shared" si="12"/>
        <v>0</v>
      </c>
      <c r="BF23" s="139">
        <f t="shared" si="13"/>
        <v>0</v>
      </c>
      <c r="BG23" s="138">
        <f>IF(OR(GradeSheet!$M18="W (Withdrawn)", GradeSheet!$M18="I (Incomplete)"), 0, IF(AU23&gt;=65%, 1, 0))</f>
        <v>0</v>
      </c>
      <c r="BH23" s="138">
        <f>IF(OR(GradeSheet!$M18="W (Withdrawn)", GradeSheet!$M18="I (Incomplete)"), 0, IF(AV23&gt;=65%, 1, 0))</f>
        <v>0</v>
      </c>
      <c r="BI23" s="138">
        <f>IF(OR(GradeSheet!$M18="W (Withdrawn)", GradeSheet!$M18="I (Incomplete)"), 0, IF(AW23&gt;=65%, 1, 0))</f>
        <v>0</v>
      </c>
      <c r="BJ23" s="138">
        <f>IF(OR(GradeSheet!$M18="W (Withdrawn)", GradeSheet!$M18="I (Incomplete)"), 0, IF(AX23&gt;=65%, 1, 0))</f>
        <v>0</v>
      </c>
      <c r="BK23" s="138">
        <f>IF(OR(GradeSheet!$M18="W (Withdrawn)", GradeSheet!$M18="I (Incomplete)"), 0, IF(AY23&gt;=65%, 1, 0))</f>
        <v>0</v>
      </c>
      <c r="BL23" s="138">
        <f>IF(OR(GradeSheet!$M18="W (Withdrawn)", GradeSheet!$M18="I (Incomplete)"), 0, IF(AZ23&gt;=65%, 1, 0))</f>
        <v>0</v>
      </c>
      <c r="BM23" s="138">
        <f>IF(OR(GradeSheet!$M18="W (Withdrawn)", GradeSheet!$M18="I (Incomplete)"), 0, IF(BA23&gt;=65%, 1, 0))</f>
        <v>0</v>
      </c>
      <c r="BN23" s="138">
        <f>IF(OR(GradeSheet!$M18="W (Withdrawn)", GradeSheet!$M18="I (Incomplete)"), 0, IF(BB23&gt;=65%, 1, 0))</f>
        <v>0</v>
      </c>
      <c r="BO23" s="138">
        <f>IF(OR(GradeSheet!$M18="W (Withdrawn)", GradeSheet!$M18="I (Incomplete)"), 0, IF(BC23&gt;=65%, 1, 0))</f>
        <v>0</v>
      </c>
      <c r="BP23" s="138">
        <f>IF(OR(GradeSheet!$M18="W (Withdrawn)", GradeSheet!$M18="I (Incomplete)"), 0, IF(BD23&gt;=65%, 1, 0))</f>
        <v>0</v>
      </c>
      <c r="BQ23" s="138">
        <f>IF(OR(GradeSheet!$M18="W (Withdrawn)", GradeSheet!$M18="I (Incomplete)"), 0, IF(BE23&gt;=65%, 1, 0))</f>
        <v>0</v>
      </c>
      <c r="BR23" s="138">
        <f>IF(OR(GradeSheet!$M18="W (Withdrawn)", GradeSheet!$M18="I (Incomplete)"), 0, IF(BF23&gt;=65%, 1, 0))</f>
        <v>0</v>
      </c>
    </row>
    <row r="24" spans="1:70" ht="15.75" customHeight="1">
      <c r="A24" s="140">
        <v>10</v>
      </c>
      <c r="B24" s="23">
        <f>GradeSheet!X19</f>
        <v>0</v>
      </c>
      <c r="C24" s="23">
        <f>GradeSheet!W19</f>
        <v>0</v>
      </c>
      <c r="D24" s="183">
        <v>0</v>
      </c>
      <c r="E24" s="183">
        <v>0</v>
      </c>
      <c r="F24" s="183">
        <v>0</v>
      </c>
      <c r="G24" s="183">
        <v>0</v>
      </c>
      <c r="H24" s="183">
        <v>0</v>
      </c>
      <c r="I24" s="183">
        <v>0</v>
      </c>
      <c r="J24" s="183">
        <v>0</v>
      </c>
      <c r="K24" s="183">
        <v>0</v>
      </c>
      <c r="L24" s="183">
        <v>0</v>
      </c>
      <c r="M24" s="183">
        <v>0</v>
      </c>
      <c r="N24" s="183">
        <v>0</v>
      </c>
      <c r="O24" s="183">
        <v>0</v>
      </c>
      <c r="P24" s="183">
        <v>0</v>
      </c>
      <c r="Q24" s="183">
        <v>0</v>
      </c>
      <c r="R24" s="183">
        <v>0</v>
      </c>
      <c r="S24" s="183">
        <v>0</v>
      </c>
      <c r="T24" s="183">
        <v>0</v>
      </c>
      <c r="U24" s="183">
        <v>0</v>
      </c>
      <c r="V24" s="183">
        <v>0</v>
      </c>
      <c r="W24" s="183">
        <v>0</v>
      </c>
      <c r="X24" s="183">
        <v>0</v>
      </c>
      <c r="Y24" s="183">
        <v>0</v>
      </c>
      <c r="Z24" s="183">
        <v>0</v>
      </c>
      <c r="AA24" s="183">
        <v>0</v>
      </c>
      <c r="AB24" s="135">
        <f t="shared" ref="AB24:AE24" si="32">SUM(V24,D24,J24, P24)</f>
        <v>0</v>
      </c>
      <c r="AC24" s="136">
        <f t="shared" si="32"/>
        <v>0</v>
      </c>
      <c r="AD24" s="136">
        <f t="shared" si="32"/>
        <v>0</v>
      </c>
      <c r="AE24" s="136">
        <f t="shared" si="32"/>
        <v>0</v>
      </c>
      <c r="AF24" s="136">
        <f t="shared" si="15"/>
        <v>0</v>
      </c>
      <c r="AG24" s="141">
        <f t="shared" si="16"/>
        <v>0</v>
      </c>
      <c r="AH24" s="137">
        <f t="shared" ref="AH24:AM24" si="33">IF(AB24 = 0, 0, AB24/AB$14)</f>
        <v>0</v>
      </c>
      <c r="AI24" s="137">
        <f t="shared" si="33"/>
        <v>0</v>
      </c>
      <c r="AJ24" s="137">
        <f t="shared" si="33"/>
        <v>0</v>
      </c>
      <c r="AK24" s="137">
        <f t="shared" si="33"/>
        <v>0</v>
      </c>
      <c r="AL24" s="137">
        <f t="shared" si="33"/>
        <v>0</v>
      </c>
      <c r="AM24" s="137">
        <f t="shared" si="33"/>
        <v>0</v>
      </c>
      <c r="AN24" s="138">
        <f>IF(OR(GradeSheet!$M19="W (Withdrawn)", GradeSheet!$M19="I (Incomplete)"), 0, IF(AH24&gt;=55%, 1, 0))</f>
        <v>0</v>
      </c>
      <c r="AO24" s="138">
        <f>IF(OR(GradeSheet!$M19="W (Withdrawn)", GradeSheet!$M19="I (Incomplete)"), 0, IF(AI24&gt;=55%, 1, 0))</f>
        <v>0</v>
      </c>
      <c r="AP24" s="138">
        <f>IF(OR(GradeSheet!$M19="W (Withdrawn)", GradeSheet!$M19="I (Incomplete)"), 0, IF(AJ24&gt;=55%, 1, 0))</f>
        <v>0</v>
      </c>
      <c r="AQ24" s="138">
        <f>IF(OR(GradeSheet!$M19="W (Withdrawn)", GradeSheet!$M19="I (Incomplete)"), 0, IF(AK24&gt;=55%, 1, 0))</f>
        <v>0</v>
      </c>
      <c r="AR24" s="138">
        <f>IF(OR(GradeSheet!$M19="W (Withdrawn)", GradeSheet!$M19="I (Incomplete)"), 0, IF(AL24&gt;=55%, 1, 0))</f>
        <v>0</v>
      </c>
      <c r="AS24" s="138">
        <f>IF(OR(GradeSheet!$M19="W (Withdrawn)", GradeSheet!$M19="I (Incomplete)"), 0, IF(AM24&gt;=55%, 1, 0))</f>
        <v>0</v>
      </c>
      <c r="AT24" s="118"/>
      <c r="AU24" s="139">
        <f t="shared" si="9"/>
        <v>0</v>
      </c>
      <c r="AV24" s="139">
        <f t="shared" si="10"/>
        <v>0</v>
      </c>
      <c r="AW24" s="139">
        <f t="array" ref="AW24">IF($AV$9=0,0,MMULT($AH24:$AM24, AV$3:AV$8)/$AV$9)</f>
        <v>0</v>
      </c>
      <c r="AX24" s="139">
        <f t="array" ref="AX24">IF($AW$9=0,0,MMULT($AH24:$AM24, AW$3:AW$8)/$AW$9)</f>
        <v>0</v>
      </c>
      <c r="AY24" s="139">
        <f t="shared" si="11"/>
        <v>0</v>
      </c>
      <c r="AZ24" s="139">
        <f t="array" ref="AZ24">IF($AY$9=0,0,MMULT($AH24:$AM24, AY$3:AY$8)/$AY$9)</f>
        <v>0</v>
      </c>
      <c r="BA24" s="139">
        <f t="array" ref="BA24">IF($AZ$9=0,0,MMULT($AH24:$AM24, AZ$3:AZ$8)/$AZ$9)</f>
        <v>0</v>
      </c>
      <c r="BB24" s="139">
        <f t="array" ref="BB24">IF($BA$9=0,0,MMULT($AH24:$AM24, BA$3:BA$8)/$BA$9)</f>
        <v>0</v>
      </c>
      <c r="BC24" s="139">
        <f t="array" ref="BC24">IF($BB$9=0,0,MMULT($AH24:$AM24, BB$3:BB$8)/$BB$9)</f>
        <v>0</v>
      </c>
      <c r="BD24" s="139">
        <f t="array" ref="BD24">IF($BC$9=0,0,MMULT($AH24:$AM24, BC$3:BC$8)/$BC$9)</f>
        <v>0</v>
      </c>
      <c r="BE24" s="139">
        <f t="shared" si="12"/>
        <v>0</v>
      </c>
      <c r="BF24" s="139">
        <f t="shared" si="13"/>
        <v>0</v>
      </c>
      <c r="BG24" s="138">
        <f>IF(OR(GradeSheet!$M19="W (Withdrawn)", GradeSheet!$M19="I (Incomplete)"), 0, IF(AU24&gt;=65%, 1, 0))</f>
        <v>0</v>
      </c>
      <c r="BH24" s="138">
        <f>IF(OR(GradeSheet!$M19="W (Withdrawn)", GradeSheet!$M19="I (Incomplete)"), 0, IF(AV24&gt;=65%, 1, 0))</f>
        <v>0</v>
      </c>
      <c r="BI24" s="138">
        <f>IF(OR(GradeSheet!$M19="W (Withdrawn)", GradeSheet!$M19="I (Incomplete)"), 0, IF(AW24&gt;=65%, 1, 0))</f>
        <v>0</v>
      </c>
      <c r="BJ24" s="138">
        <f>IF(OR(GradeSheet!$M19="W (Withdrawn)", GradeSheet!$M19="I (Incomplete)"), 0, IF(AX24&gt;=65%, 1, 0))</f>
        <v>0</v>
      </c>
      <c r="BK24" s="138">
        <f>IF(OR(GradeSheet!$M19="W (Withdrawn)", GradeSheet!$M19="I (Incomplete)"), 0, IF(AY24&gt;=65%, 1, 0))</f>
        <v>0</v>
      </c>
      <c r="BL24" s="138">
        <f>IF(OR(GradeSheet!$M19="W (Withdrawn)", GradeSheet!$M19="I (Incomplete)"), 0, IF(AZ24&gt;=65%, 1, 0))</f>
        <v>0</v>
      </c>
      <c r="BM24" s="138">
        <f>IF(OR(GradeSheet!$M19="W (Withdrawn)", GradeSheet!$M19="I (Incomplete)"), 0, IF(BA24&gt;=65%, 1, 0))</f>
        <v>0</v>
      </c>
      <c r="BN24" s="138">
        <f>IF(OR(GradeSheet!$M19="W (Withdrawn)", GradeSheet!$M19="I (Incomplete)"), 0, IF(BB24&gt;=65%, 1, 0))</f>
        <v>0</v>
      </c>
      <c r="BO24" s="138">
        <f>IF(OR(GradeSheet!$M19="W (Withdrawn)", GradeSheet!$M19="I (Incomplete)"), 0, IF(BC24&gt;=65%, 1, 0))</f>
        <v>0</v>
      </c>
      <c r="BP24" s="138">
        <f>IF(OR(GradeSheet!$M19="W (Withdrawn)", GradeSheet!$M19="I (Incomplete)"), 0, IF(BD24&gt;=65%, 1, 0))</f>
        <v>0</v>
      </c>
      <c r="BQ24" s="138">
        <f>IF(OR(GradeSheet!$M19="W (Withdrawn)", GradeSheet!$M19="I (Incomplete)"), 0, IF(BE24&gt;=65%, 1, 0))</f>
        <v>0</v>
      </c>
      <c r="BR24" s="138">
        <f>IF(OR(GradeSheet!$M19="W (Withdrawn)", GradeSheet!$M19="I (Incomplete)"), 0, IF(BF24&gt;=65%, 1, 0))</f>
        <v>0</v>
      </c>
    </row>
    <row r="25" spans="1:70" ht="15.75" customHeight="1">
      <c r="A25" s="134">
        <v>11</v>
      </c>
      <c r="B25" s="35">
        <f>GradeSheet!X20</f>
        <v>0</v>
      </c>
      <c r="C25" s="23">
        <f>GradeSheet!W20</f>
        <v>0</v>
      </c>
      <c r="D25" s="183">
        <v>0</v>
      </c>
      <c r="E25" s="183">
        <v>0</v>
      </c>
      <c r="F25" s="183">
        <v>0</v>
      </c>
      <c r="G25" s="183">
        <v>0</v>
      </c>
      <c r="H25" s="183">
        <v>0</v>
      </c>
      <c r="I25" s="183">
        <v>0</v>
      </c>
      <c r="J25" s="183">
        <v>0</v>
      </c>
      <c r="K25" s="183">
        <v>0</v>
      </c>
      <c r="L25" s="183">
        <v>0</v>
      </c>
      <c r="M25" s="183">
        <v>0</v>
      </c>
      <c r="N25" s="183">
        <v>0</v>
      </c>
      <c r="O25" s="183">
        <v>0</v>
      </c>
      <c r="P25" s="183">
        <v>0</v>
      </c>
      <c r="Q25" s="183">
        <v>0</v>
      </c>
      <c r="R25" s="183">
        <v>0</v>
      </c>
      <c r="S25" s="183">
        <v>0</v>
      </c>
      <c r="T25" s="183">
        <v>0</v>
      </c>
      <c r="U25" s="183">
        <v>0</v>
      </c>
      <c r="V25" s="183">
        <v>0</v>
      </c>
      <c r="W25" s="183">
        <v>0</v>
      </c>
      <c r="X25" s="183">
        <v>0</v>
      </c>
      <c r="Y25" s="183">
        <v>0</v>
      </c>
      <c r="Z25" s="183">
        <v>0</v>
      </c>
      <c r="AA25" s="183">
        <v>0</v>
      </c>
      <c r="AB25" s="135">
        <f t="shared" ref="AB25:AE25" si="34">SUM(V25,D25,J25, P25)</f>
        <v>0</v>
      </c>
      <c r="AC25" s="136">
        <f t="shared" si="34"/>
        <v>0</v>
      </c>
      <c r="AD25" s="136">
        <f t="shared" si="34"/>
        <v>0</v>
      </c>
      <c r="AE25" s="136">
        <f t="shared" si="34"/>
        <v>0</v>
      </c>
      <c r="AF25" s="136">
        <f t="shared" si="15"/>
        <v>0</v>
      </c>
      <c r="AG25" s="141">
        <f t="shared" si="16"/>
        <v>0</v>
      </c>
      <c r="AH25" s="137">
        <f t="shared" ref="AH25:AM25" si="35">IF(AB25 = 0, 0, AB25/AB$14)</f>
        <v>0</v>
      </c>
      <c r="AI25" s="137">
        <f t="shared" si="35"/>
        <v>0</v>
      </c>
      <c r="AJ25" s="137">
        <f t="shared" si="35"/>
        <v>0</v>
      </c>
      <c r="AK25" s="137">
        <f t="shared" si="35"/>
        <v>0</v>
      </c>
      <c r="AL25" s="137">
        <f t="shared" si="35"/>
        <v>0</v>
      </c>
      <c r="AM25" s="137">
        <f t="shared" si="35"/>
        <v>0</v>
      </c>
      <c r="AN25" s="138">
        <f>IF(OR(GradeSheet!$M20="W (Withdrawn)", GradeSheet!$M20="I (Incomplete)"), 0, IF(AH25&gt;=55%, 1, 0))</f>
        <v>0</v>
      </c>
      <c r="AO25" s="138">
        <f>IF(OR(GradeSheet!$M20="W (Withdrawn)", GradeSheet!$M20="I (Incomplete)"), 0, IF(AI25&gt;=55%, 1, 0))</f>
        <v>0</v>
      </c>
      <c r="AP25" s="138">
        <f>IF(OR(GradeSheet!$M20="W (Withdrawn)", GradeSheet!$M20="I (Incomplete)"), 0, IF(AJ25&gt;=55%, 1, 0))</f>
        <v>0</v>
      </c>
      <c r="AQ25" s="138">
        <f>IF(OR(GradeSheet!$M20="W (Withdrawn)", GradeSheet!$M20="I (Incomplete)"), 0, IF(AK25&gt;=55%, 1, 0))</f>
        <v>0</v>
      </c>
      <c r="AR25" s="138">
        <f>IF(OR(GradeSheet!$M20="W (Withdrawn)", GradeSheet!$M20="I (Incomplete)"), 0, IF(AL25&gt;=55%, 1, 0))</f>
        <v>0</v>
      </c>
      <c r="AS25" s="138">
        <f>IF(OR(GradeSheet!$M20="W (Withdrawn)", GradeSheet!$M20="I (Incomplete)"), 0, IF(AM25&gt;=55%, 1, 0))</f>
        <v>0</v>
      </c>
      <c r="AT25" s="118"/>
      <c r="AU25" s="139">
        <f t="shared" si="9"/>
        <v>0</v>
      </c>
      <c r="AV25" s="139">
        <f t="shared" si="10"/>
        <v>0</v>
      </c>
      <c r="AW25" s="139">
        <f t="array" ref="AW25">IF($AV$9=0,0,MMULT($AH25:$AM25, AV$3:AV$8)/$AV$9)</f>
        <v>0</v>
      </c>
      <c r="AX25" s="139">
        <f t="array" ref="AX25">IF($AW$9=0,0,MMULT($AH25:$AM25, AW$3:AW$8)/$AW$9)</f>
        <v>0</v>
      </c>
      <c r="AY25" s="139">
        <f t="shared" si="11"/>
        <v>0</v>
      </c>
      <c r="AZ25" s="139">
        <f t="array" ref="AZ25">IF($AY$9=0,0,MMULT($AH25:$AM25, AY$3:AY$8)/$AY$9)</f>
        <v>0</v>
      </c>
      <c r="BA25" s="139">
        <f t="array" ref="BA25">IF($AZ$9=0,0,MMULT($AH25:$AM25, AZ$3:AZ$8)/$AZ$9)</f>
        <v>0</v>
      </c>
      <c r="BB25" s="139">
        <f t="array" ref="BB25">IF($BA$9=0,0,MMULT($AH25:$AM25, BA$3:BA$8)/$BA$9)</f>
        <v>0</v>
      </c>
      <c r="BC25" s="139">
        <f t="array" ref="BC25">IF($BB$9=0,0,MMULT($AH25:$AM25, BB$3:BB$8)/$BB$9)</f>
        <v>0</v>
      </c>
      <c r="BD25" s="139">
        <f t="array" ref="BD25">IF($BC$9=0,0,MMULT($AH25:$AM25, BC$3:BC$8)/$BC$9)</f>
        <v>0</v>
      </c>
      <c r="BE25" s="139">
        <f t="shared" si="12"/>
        <v>0</v>
      </c>
      <c r="BF25" s="139">
        <f t="shared" si="13"/>
        <v>0</v>
      </c>
      <c r="BG25" s="138">
        <f>IF(OR(GradeSheet!$M20="W (Withdrawn)", GradeSheet!$M20="I (Incomplete)"), 0, IF(AU25&gt;=65%, 1, 0))</f>
        <v>0</v>
      </c>
      <c r="BH25" s="138">
        <f>IF(OR(GradeSheet!$M20="W (Withdrawn)", GradeSheet!$M20="I (Incomplete)"), 0, IF(AV25&gt;=65%, 1, 0))</f>
        <v>0</v>
      </c>
      <c r="BI25" s="138">
        <f>IF(OR(GradeSheet!$M20="W (Withdrawn)", GradeSheet!$M20="I (Incomplete)"), 0, IF(AW25&gt;=65%, 1, 0))</f>
        <v>0</v>
      </c>
      <c r="BJ25" s="138">
        <f>IF(OR(GradeSheet!$M20="W (Withdrawn)", GradeSheet!$M20="I (Incomplete)"), 0, IF(AX25&gt;=65%, 1, 0))</f>
        <v>0</v>
      </c>
      <c r="BK25" s="138">
        <f>IF(OR(GradeSheet!$M20="W (Withdrawn)", GradeSheet!$M20="I (Incomplete)"), 0, IF(AY25&gt;=65%, 1, 0))</f>
        <v>0</v>
      </c>
      <c r="BL25" s="138">
        <f>IF(OR(GradeSheet!$M20="W (Withdrawn)", GradeSheet!$M20="I (Incomplete)"), 0, IF(AZ25&gt;=65%, 1, 0))</f>
        <v>0</v>
      </c>
      <c r="BM25" s="138">
        <f>IF(OR(GradeSheet!$M20="W (Withdrawn)", GradeSheet!$M20="I (Incomplete)"), 0, IF(BA25&gt;=65%, 1, 0))</f>
        <v>0</v>
      </c>
      <c r="BN25" s="138">
        <f>IF(OR(GradeSheet!$M20="W (Withdrawn)", GradeSheet!$M20="I (Incomplete)"), 0, IF(BB25&gt;=65%, 1, 0))</f>
        <v>0</v>
      </c>
      <c r="BO25" s="138">
        <f>IF(OR(GradeSheet!$M20="W (Withdrawn)", GradeSheet!$M20="I (Incomplete)"), 0, IF(BC25&gt;=65%, 1, 0))</f>
        <v>0</v>
      </c>
      <c r="BP25" s="138">
        <f>IF(OR(GradeSheet!$M20="W (Withdrawn)", GradeSheet!$M20="I (Incomplete)"), 0, IF(BD25&gt;=65%, 1, 0))</f>
        <v>0</v>
      </c>
      <c r="BQ25" s="138">
        <f>IF(OR(GradeSheet!$M20="W (Withdrawn)", GradeSheet!$M20="I (Incomplete)"), 0, IF(BE25&gt;=65%, 1, 0))</f>
        <v>0</v>
      </c>
      <c r="BR25" s="138">
        <f>IF(OR(GradeSheet!$M20="W (Withdrawn)", GradeSheet!$M20="I (Incomplete)"), 0, IF(BF25&gt;=65%, 1, 0))</f>
        <v>0</v>
      </c>
    </row>
    <row r="26" spans="1:70" ht="15.75" customHeight="1">
      <c r="A26" s="140">
        <v>12</v>
      </c>
      <c r="B26" s="35">
        <f>GradeSheet!X21</f>
        <v>0</v>
      </c>
      <c r="C26" s="23">
        <f>GradeSheet!W21</f>
        <v>0</v>
      </c>
      <c r="D26" s="183">
        <v>0</v>
      </c>
      <c r="E26" s="183">
        <v>0</v>
      </c>
      <c r="F26" s="183">
        <v>0</v>
      </c>
      <c r="G26" s="183">
        <v>0</v>
      </c>
      <c r="H26" s="183">
        <v>0</v>
      </c>
      <c r="I26" s="183">
        <v>0</v>
      </c>
      <c r="J26" s="183">
        <v>0</v>
      </c>
      <c r="K26" s="183">
        <v>0</v>
      </c>
      <c r="L26" s="183">
        <v>0</v>
      </c>
      <c r="M26" s="183">
        <v>0</v>
      </c>
      <c r="N26" s="183">
        <v>0</v>
      </c>
      <c r="O26" s="183">
        <v>0</v>
      </c>
      <c r="P26" s="183">
        <v>0</v>
      </c>
      <c r="Q26" s="183">
        <v>0</v>
      </c>
      <c r="R26" s="183">
        <v>0</v>
      </c>
      <c r="S26" s="183">
        <v>0</v>
      </c>
      <c r="T26" s="183">
        <v>0</v>
      </c>
      <c r="U26" s="183">
        <v>0</v>
      </c>
      <c r="V26" s="183">
        <v>0</v>
      </c>
      <c r="W26" s="183">
        <v>0</v>
      </c>
      <c r="X26" s="183">
        <v>0</v>
      </c>
      <c r="Y26" s="183">
        <v>0</v>
      </c>
      <c r="Z26" s="183">
        <v>0</v>
      </c>
      <c r="AA26" s="183">
        <v>0</v>
      </c>
      <c r="AB26" s="135">
        <f t="shared" ref="AB26:AE26" si="36">SUM(V26,D26,J26, P26)</f>
        <v>0</v>
      </c>
      <c r="AC26" s="136">
        <f t="shared" si="36"/>
        <v>0</v>
      </c>
      <c r="AD26" s="136">
        <f t="shared" si="36"/>
        <v>0</v>
      </c>
      <c r="AE26" s="136">
        <f t="shared" si="36"/>
        <v>0</v>
      </c>
      <c r="AF26" s="136">
        <f t="shared" si="15"/>
        <v>0</v>
      </c>
      <c r="AG26" s="141">
        <f t="shared" si="16"/>
        <v>0</v>
      </c>
      <c r="AH26" s="137">
        <f t="shared" ref="AH26:AM26" si="37">IF(AB26 = 0, 0, AB26/AB$14)</f>
        <v>0</v>
      </c>
      <c r="AI26" s="137">
        <f t="shared" si="37"/>
        <v>0</v>
      </c>
      <c r="AJ26" s="137">
        <f t="shared" si="37"/>
        <v>0</v>
      </c>
      <c r="AK26" s="137">
        <f t="shared" si="37"/>
        <v>0</v>
      </c>
      <c r="AL26" s="137">
        <f t="shared" si="37"/>
        <v>0</v>
      </c>
      <c r="AM26" s="137">
        <f t="shared" si="37"/>
        <v>0</v>
      </c>
      <c r="AN26" s="138">
        <f>IF(OR(GradeSheet!$M21="W (Withdrawn)", GradeSheet!$M21="I (Incomplete)"), 0, IF(AH26&gt;=55%, 1, 0))</f>
        <v>0</v>
      </c>
      <c r="AO26" s="138">
        <f>IF(OR(GradeSheet!$M21="W (Withdrawn)", GradeSheet!$M21="I (Incomplete)"), 0, IF(AI26&gt;=55%, 1, 0))</f>
        <v>0</v>
      </c>
      <c r="AP26" s="138">
        <f>IF(OR(GradeSheet!$M21="W (Withdrawn)", GradeSheet!$M21="I (Incomplete)"), 0, IF(AJ26&gt;=55%, 1, 0))</f>
        <v>0</v>
      </c>
      <c r="AQ26" s="138">
        <f>IF(OR(GradeSheet!$M21="W (Withdrawn)", GradeSheet!$M21="I (Incomplete)"), 0, IF(AK26&gt;=55%, 1, 0))</f>
        <v>0</v>
      </c>
      <c r="AR26" s="138">
        <f>IF(OR(GradeSheet!$M21="W (Withdrawn)", GradeSheet!$M21="I (Incomplete)"), 0, IF(AL26&gt;=55%, 1, 0))</f>
        <v>0</v>
      </c>
      <c r="AS26" s="138">
        <f>IF(OR(GradeSheet!$M21="W (Withdrawn)", GradeSheet!$M21="I (Incomplete)"), 0, IF(AM26&gt;=55%, 1, 0))</f>
        <v>0</v>
      </c>
      <c r="AT26" s="118"/>
      <c r="AU26" s="139">
        <f t="shared" si="9"/>
        <v>0</v>
      </c>
      <c r="AV26" s="139">
        <f t="shared" si="10"/>
        <v>0</v>
      </c>
      <c r="AW26" s="139">
        <f t="array" ref="AW26">IF($AV$9=0,0,MMULT($AH26:$AM26, AV$3:AV$8)/$AV$9)</f>
        <v>0</v>
      </c>
      <c r="AX26" s="139">
        <f t="array" ref="AX26">IF($AW$9=0,0,MMULT($AH26:$AM26, AW$3:AW$8)/$AW$9)</f>
        <v>0</v>
      </c>
      <c r="AY26" s="139">
        <f t="shared" si="11"/>
        <v>0</v>
      </c>
      <c r="AZ26" s="139">
        <f t="array" ref="AZ26">IF($AY$9=0,0,MMULT($AH26:$AM26, AY$3:AY$8)/$AY$9)</f>
        <v>0</v>
      </c>
      <c r="BA26" s="139">
        <f t="array" ref="BA26">IF($AZ$9=0,0,MMULT($AH26:$AM26, AZ$3:AZ$8)/$AZ$9)</f>
        <v>0</v>
      </c>
      <c r="BB26" s="139">
        <f t="array" ref="BB26">IF($BA$9=0,0,MMULT($AH26:$AM26, BA$3:BA$8)/$BA$9)</f>
        <v>0</v>
      </c>
      <c r="BC26" s="139">
        <f t="array" ref="BC26">IF($BB$9=0,0,MMULT($AH26:$AM26, BB$3:BB$8)/$BB$9)</f>
        <v>0</v>
      </c>
      <c r="BD26" s="139">
        <f t="array" ref="BD26">IF($BC$9=0,0,MMULT($AH26:$AM26, BC$3:BC$8)/$BC$9)</f>
        <v>0</v>
      </c>
      <c r="BE26" s="139">
        <f t="shared" si="12"/>
        <v>0</v>
      </c>
      <c r="BF26" s="139">
        <f t="shared" si="13"/>
        <v>0</v>
      </c>
      <c r="BG26" s="138">
        <f>IF(OR(GradeSheet!$M21="W (Withdrawn)", GradeSheet!$M21="I (Incomplete)"), 0, IF(AU26&gt;=65%, 1, 0))</f>
        <v>0</v>
      </c>
      <c r="BH26" s="138">
        <f>IF(OR(GradeSheet!$M21="W (Withdrawn)", GradeSheet!$M21="I (Incomplete)"), 0, IF(AV26&gt;=65%, 1, 0))</f>
        <v>0</v>
      </c>
      <c r="BI26" s="138">
        <f>IF(OR(GradeSheet!$M21="W (Withdrawn)", GradeSheet!$M21="I (Incomplete)"), 0, IF(AW26&gt;=65%, 1, 0))</f>
        <v>0</v>
      </c>
      <c r="BJ26" s="138">
        <f>IF(OR(GradeSheet!$M21="W (Withdrawn)", GradeSheet!$M21="I (Incomplete)"), 0, IF(AX26&gt;=65%, 1, 0))</f>
        <v>0</v>
      </c>
      <c r="BK26" s="138">
        <f>IF(OR(GradeSheet!$M21="W (Withdrawn)", GradeSheet!$M21="I (Incomplete)"), 0, IF(AY26&gt;=65%, 1, 0))</f>
        <v>0</v>
      </c>
      <c r="BL26" s="138">
        <f>IF(OR(GradeSheet!$M21="W (Withdrawn)", GradeSheet!$M21="I (Incomplete)"), 0, IF(AZ26&gt;=65%, 1, 0))</f>
        <v>0</v>
      </c>
      <c r="BM26" s="138">
        <f>IF(OR(GradeSheet!$M21="W (Withdrawn)", GradeSheet!$M21="I (Incomplete)"), 0, IF(BA26&gt;=65%, 1, 0))</f>
        <v>0</v>
      </c>
      <c r="BN26" s="138">
        <f>IF(OR(GradeSheet!$M21="W (Withdrawn)", GradeSheet!$M21="I (Incomplete)"), 0, IF(BB26&gt;=65%, 1, 0))</f>
        <v>0</v>
      </c>
      <c r="BO26" s="138">
        <f>IF(OR(GradeSheet!$M21="W (Withdrawn)", GradeSheet!$M21="I (Incomplete)"), 0, IF(BC26&gt;=65%, 1, 0))</f>
        <v>0</v>
      </c>
      <c r="BP26" s="138">
        <f>IF(OR(GradeSheet!$M21="W (Withdrawn)", GradeSheet!$M21="I (Incomplete)"), 0, IF(BD26&gt;=65%, 1, 0))</f>
        <v>0</v>
      </c>
      <c r="BQ26" s="138">
        <f>IF(OR(GradeSheet!$M21="W (Withdrawn)", GradeSheet!$M21="I (Incomplete)"), 0, IF(BE26&gt;=65%, 1, 0))</f>
        <v>0</v>
      </c>
      <c r="BR26" s="138">
        <f>IF(OR(GradeSheet!$M21="W (Withdrawn)", GradeSheet!$M21="I (Incomplete)"), 0, IF(BF26&gt;=65%, 1, 0))</f>
        <v>0</v>
      </c>
    </row>
    <row r="27" spans="1:70" ht="15.75" customHeight="1">
      <c r="A27" s="134">
        <v>13</v>
      </c>
      <c r="B27" s="35">
        <f>GradeSheet!X22</f>
        <v>0</v>
      </c>
      <c r="C27" s="23">
        <f>GradeSheet!W22</f>
        <v>0</v>
      </c>
      <c r="D27" s="183">
        <v>0</v>
      </c>
      <c r="E27" s="183">
        <v>0</v>
      </c>
      <c r="F27" s="183">
        <v>0</v>
      </c>
      <c r="G27" s="183">
        <v>0</v>
      </c>
      <c r="H27" s="183">
        <v>0</v>
      </c>
      <c r="I27" s="183">
        <v>0</v>
      </c>
      <c r="J27" s="183">
        <v>0</v>
      </c>
      <c r="K27" s="183">
        <v>0</v>
      </c>
      <c r="L27" s="183">
        <v>0</v>
      </c>
      <c r="M27" s="183">
        <v>0</v>
      </c>
      <c r="N27" s="183">
        <v>0</v>
      </c>
      <c r="O27" s="183">
        <v>0</v>
      </c>
      <c r="P27" s="183">
        <v>0</v>
      </c>
      <c r="Q27" s="183">
        <v>0</v>
      </c>
      <c r="R27" s="183">
        <v>0</v>
      </c>
      <c r="S27" s="183">
        <v>0</v>
      </c>
      <c r="T27" s="183">
        <v>0</v>
      </c>
      <c r="U27" s="183">
        <v>0</v>
      </c>
      <c r="V27" s="183">
        <v>0</v>
      </c>
      <c r="W27" s="183">
        <v>0</v>
      </c>
      <c r="X27" s="183">
        <v>0</v>
      </c>
      <c r="Y27" s="183">
        <v>0</v>
      </c>
      <c r="Z27" s="183">
        <v>0</v>
      </c>
      <c r="AA27" s="183">
        <v>0</v>
      </c>
      <c r="AB27" s="135">
        <f t="shared" ref="AB27:AE27" si="38">SUM(V27,D27,J27, P27)</f>
        <v>0</v>
      </c>
      <c r="AC27" s="136">
        <f t="shared" si="38"/>
        <v>0</v>
      </c>
      <c r="AD27" s="136">
        <f t="shared" si="38"/>
        <v>0</v>
      </c>
      <c r="AE27" s="136">
        <f t="shared" si="38"/>
        <v>0</v>
      </c>
      <c r="AF27" s="136">
        <f t="shared" si="15"/>
        <v>0</v>
      </c>
      <c r="AG27" s="141">
        <f t="shared" si="16"/>
        <v>0</v>
      </c>
      <c r="AH27" s="137">
        <f t="shared" ref="AH27:AM27" si="39">IF(AB27 = 0, 0, AB27/AB$14)</f>
        <v>0</v>
      </c>
      <c r="AI27" s="137">
        <f t="shared" si="39"/>
        <v>0</v>
      </c>
      <c r="AJ27" s="137">
        <f t="shared" si="39"/>
        <v>0</v>
      </c>
      <c r="AK27" s="137">
        <f t="shared" si="39"/>
        <v>0</v>
      </c>
      <c r="AL27" s="137">
        <f t="shared" si="39"/>
        <v>0</v>
      </c>
      <c r="AM27" s="137">
        <f t="shared" si="39"/>
        <v>0</v>
      </c>
      <c r="AN27" s="138">
        <f>IF(OR(GradeSheet!$M22="W (Withdrawn)", GradeSheet!$M22="I (Incomplete)"), 0, IF(AH27&gt;=55%, 1, 0))</f>
        <v>0</v>
      </c>
      <c r="AO27" s="138">
        <f>IF(OR(GradeSheet!$M22="W (Withdrawn)", GradeSheet!$M22="I (Incomplete)"), 0, IF(AI27&gt;=55%, 1, 0))</f>
        <v>0</v>
      </c>
      <c r="AP27" s="138">
        <f>IF(OR(GradeSheet!$M22="W (Withdrawn)", GradeSheet!$M22="I (Incomplete)"), 0, IF(AJ27&gt;=55%, 1, 0))</f>
        <v>0</v>
      </c>
      <c r="AQ27" s="138">
        <f>IF(OR(GradeSheet!$M22="W (Withdrawn)", GradeSheet!$M22="I (Incomplete)"), 0, IF(AK27&gt;=55%, 1, 0))</f>
        <v>0</v>
      </c>
      <c r="AR27" s="138">
        <f>IF(OR(GradeSheet!$M22="W (Withdrawn)", GradeSheet!$M22="I (Incomplete)"), 0, IF(AL27&gt;=55%, 1, 0))</f>
        <v>0</v>
      </c>
      <c r="AS27" s="138">
        <f>IF(OR(GradeSheet!$M22="W (Withdrawn)", GradeSheet!$M22="I (Incomplete)"), 0, IF(AM27&gt;=55%, 1, 0))</f>
        <v>0</v>
      </c>
      <c r="AT27" s="118"/>
      <c r="AU27" s="139">
        <f t="shared" si="9"/>
        <v>0</v>
      </c>
      <c r="AV27" s="139">
        <f t="shared" si="10"/>
        <v>0</v>
      </c>
      <c r="AW27" s="139">
        <f t="array" ref="AW27">IF($AV$9=0,0,MMULT($AH27:$AM27, AV$3:AV$8)/$AV$9)</f>
        <v>0</v>
      </c>
      <c r="AX27" s="139">
        <f t="array" ref="AX27">IF($AW$9=0,0,MMULT($AH27:$AM27, AW$3:AW$8)/$AW$9)</f>
        <v>0</v>
      </c>
      <c r="AY27" s="139">
        <f t="shared" si="11"/>
        <v>0</v>
      </c>
      <c r="AZ27" s="139">
        <f t="array" ref="AZ27">IF($AY$9=0,0,MMULT($AH27:$AM27, AY$3:AY$8)/$AY$9)</f>
        <v>0</v>
      </c>
      <c r="BA27" s="139">
        <f t="array" ref="BA27">IF($AZ$9=0,0,MMULT($AH27:$AM27, AZ$3:AZ$8)/$AZ$9)</f>
        <v>0</v>
      </c>
      <c r="BB27" s="139">
        <f t="array" ref="BB27">IF($BA$9=0,0,MMULT($AH27:$AM27, BA$3:BA$8)/$BA$9)</f>
        <v>0</v>
      </c>
      <c r="BC27" s="139">
        <f t="array" ref="BC27">IF($BB$9=0,0,MMULT($AH27:$AM27, BB$3:BB$8)/$BB$9)</f>
        <v>0</v>
      </c>
      <c r="BD27" s="139">
        <f t="array" ref="BD27">IF($BC$9=0,0,MMULT($AH27:$AM27, BC$3:BC$8)/$BC$9)</f>
        <v>0</v>
      </c>
      <c r="BE27" s="139">
        <f t="shared" si="12"/>
        <v>0</v>
      </c>
      <c r="BF27" s="139">
        <f t="shared" si="13"/>
        <v>0</v>
      </c>
      <c r="BG27" s="138">
        <f>IF(OR(GradeSheet!$M22="W (Withdrawn)", GradeSheet!$M22="I (Incomplete)"), 0, IF(AU27&gt;=65%, 1, 0))</f>
        <v>0</v>
      </c>
      <c r="BH27" s="138">
        <f>IF(OR(GradeSheet!$M22="W (Withdrawn)", GradeSheet!$M22="I (Incomplete)"), 0, IF(AV27&gt;=65%, 1, 0))</f>
        <v>0</v>
      </c>
      <c r="BI27" s="138">
        <f>IF(OR(GradeSheet!$M22="W (Withdrawn)", GradeSheet!$M22="I (Incomplete)"), 0, IF(AW27&gt;=65%, 1, 0))</f>
        <v>0</v>
      </c>
      <c r="BJ27" s="138">
        <f>IF(OR(GradeSheet!$M22="W (Withdrawn)", GradeSheet!$M22="I (Incomplete)"), 0, IF(AX27&gt;=65%, 1, 0))</f>
        <v>0</v>
      </c>
      <c r="BK27" s="138">
        <f>IF(OR(GradeSheet!$M22="W (Withdrawn)", GradeSheet!$M22="I (Incomplete)"), 0, IF(AY27&gt;=65%, 1, 0))</f>
        <v>0</v>
      </c>
      <c r="BL27" s="138">
        <f>IF(OR(GradeSheet!$M22="W (Withdrawn)", GradeSheet!$M22="I (Incomplete)"), 0, IF(AZ27&gt;=65%, 1, 0))</f>
        <v>0</v>
      </c>
      <c r="BM27" s="138">
        <f>IF(OR(GradeSheet!$M22="W (Withdrawn)", GradeSheet!$M22="I (Incomplete)"), 0, IF(BA27&gt;=65%, 1, 0))</f>
        <v>0</v>
      </c>
      <c r="BN27" s="138">
        <f>IF(OR(GradeSheet!$M22="W (Withdrawn)", GradeSheet!$M22="I (Incomplete)"), 0, IF(BB27&gt;=65%, 1, 0))</f>
        <v>0</v>
      </c>
      <c r="BO27" s="138">
        <f>IF(OR(GradeSheet!$M22="W (Withdrawn)", GradeSheet!$M22="I (Incomplete)"), 0, IF(BC27&gt;=65%, 1, 0))</f>
        <v>0</v>
      </c>
      <c r="BP27" s="138">
        <f>IF(OR(GradeSheet!$M22="W (Withdrawn)", GradeSheet!$M22="I (Incomplete)"), 0, IF(BD27&gt;=65%, 1, 0))</f>
        <v>0</v>
      </c>
      <c r="BQ27" s="138">
        <f>IF(OR(GradeSheet!$M22="W (Withdrawn)", GradeSheet!$M22="I (Incomplete)"), 0, IF(BE27&gt;=65%, 1, 0))</f>
        <v>0</v>
      </c>
      <c r="BR27" s="138">
        <f>IF(OR(GradeSheet!$M22="W (Withdrawn)", GradeSheet!$M22="I (Incomplete)"), 0, IF(BF27&gt;=65%, 1, 0))</f>
        <v>0</v>
      </c>
    </row>
    <row r="28" spans="1:70" ht="15.75" customHeight="1">
      <c r="A28" s="140">
        <v>14</v>
      </c>
      <c r="B28" s="35">
        <f>GradeSheet!X23</f>
        <v>0</v>
      </c>
      <c r="C28" s="23">
        <f>GradeSheet!W23</f>
        <v>0</v>
      </c>
      <c r="D28" s="183">
        <v>0</v>
      </c>
      <c r="E28" s="183">
        <v>0</v>
      </c>
      <c r="F28" s="183">
        <v>0</v>
      </c>
      <c r="G28" s="183">
        <v>0</v>
      </c>
      <c r="H28" s="183">
        <v>0</v>
      </c>
      <c r="I28" s="183">
        <v>0</v>
      </c>
      <c r="J28" s="183">
        <v>0</v>
      </c>
      <c r="K28" s="183">
        <v>0</v>
      </c>
      <c r="L28" s="183">
        <v>0</v>
      </c>
      <c r="M28" s="183">
        <v>0</v>
      </c>
      <c r="N28" s="183">
        <v>0</v>
      </c>
      <c r="O28" s="183">
        <v>0</v>
      </c>
      <c r="P28" s="183">
        <v>0</v>
      </c>
      <c r="Q28" s="183">
        <v>0</v>
      </c>
      <c r="R28" s="183">
        <v>0</v>
      </c>
      <c r="S28" s="183">
        <v>0</v>
      </c>
      <c r="T28" s="183">
        <v>0</v>
      </c>
      <c r="U28" s="183">
        <v>0</v>
      </c>
      <c r="V28" s="183">
        <v>0</v>
      </c>
      <c r="W28" s="183">
        <v>0</v>
      </c>
      <c r="X28" s="183">
        <v>0</v>
      </c>
      <c r="Y28" s="183">
        <v>0</v>
      </c>
      <c r="Z28" s="183">
        <v>0</v>
      </c>
      <c r="AA28" s="183">
        <v>0</v>
      </c>
      <c r="AB28" s="135">
        <f t="shared" ref="AB28:AE28" si="40">SUM(V28,D28,J28, P28)</f>
        <v>0</v>
      </c>
      <c r="AC28" s="136">
        <f t="shared" si="40"/>
        <v>0</v>
      </c>
      <c r="AD28" s="136">
        <f t="shared" si="40"/>
        <v>0</v>
      </c>
      <c r="AE28" s="136">
        <f t="shared" si="40"/>
        <v>0</v>
      </c>
      <c r="AF28" s="136">
        <f t="shared" si="15"/>
        <v>0</v>
      </c>
      <c r="AG28" s="141">
        <f t="shared" si="16"/>
        <v>0</v>
      </c>
      <c r="AH28" s="137">
        <f t="shared" ref="AH28:AM28" si="41">IF(AB28 = 0, 0, AB28/AB$14)</f>
        <v>0</v>
      </c>
      <c r="AI28" s="137">
        <f t="shared" si="41"/>
        <v>0</v>
      </c>
      <c r="AJ28" s="137">
        <f t="shared" si="41"/>
        <v>0</v>
      </c>
      <c r="AK28" s="137">
        <f t="shared" si="41"/>
        <v>0</v>
      </c>
      <c r="AL28" s="137">
        <f t="shared" si="41"/>
        <v>0</v>
      </c>
      <c r="AM28" s="137">
        <f t="shared" si="41"/>
        <v>0</v>
      </c>
      <c r="AN28" s="138">
        <f>IF(OR(GradeSheet!$M23="W (Withdrawn)", GradeSheet!$M23="I (Incomplete)"), 0, IF(AH28&gt;=55%, 1, 0))</f>
        <v>0</v>
      </c>
      <c r="AO28" s="138">
        <f>IF(OR(GradeSheet!$M23="W (Withdrawn)", GradeSheet!$M23="I (Incomplete)"), 0, IF(AI28&gt;=55%, 1, 0))</f>
        <v>0</v>
      </c>
      <c r="AP28" s="138">
        <f>IF(OR(GradeSheet!$M23="W (Withdrawn)", GradeSheet!$M23="I (Incomplete)"), 0, IF(AJ28&gt;=55%, 1, 0))</f>
        <v>0</v>
      </c>
      <c r="AQ28" s="138">
        <f>IF(OR(GradeSheet!$M23="W (Withdrawn)", GradeSheet!$M23="I (Incomplete)"), 0, IF(AK28&gt;=55%, 1, 0))</f>
        <v>0</v>
      </c>
      <c r="AR28" s="138">
        <f>IF(OR(GradeSheet!$M23="W (Withdrawn)", GradeSheet!$M23="I (Incomplete)"), 0, IF(AL28&gt;=55%, 1, 0))</f>
        <v>0</v>
      </c>
      <c r="AS28" s="138">
        <f>IF(OR(GradeSheet!$M23="W (Withdrawn)", GradeSheet!$M23="I (Incomplete)"), 0, IF(AM28&gt;=55%, 1, 0))</f>
        <v>0</v>
      </c>
      <c r="AT28" s="118"/>
      <c r="AU28" s="139">
        <f t="shared" si="9"/>
        <v>0</v>
      </c>
      <c r="AV28" s="139">
        <f t="shared" si="10"/>
        <v>0</v>
      </c>
      <c r="AW28" s="139">
        <f t="array" ref="AW28">IF($AV$9=0,0,MMULT($AH28:$AM28, AV$3:AV$8)/$AV$9)</f>
        <v>0</v>
      </c>
      <c r="AX28" s="139">
        <f t="array" ref="AX28">IF($AW$9=0,0,MMULT($AH28:$AM28, AW$3:AW$8)/$AW$9)</f>
        <v>0</v>
      </c>
      <c r="AY28" s="139">
        <f t="shared" si="11"/>
        <v>0</v>
      </c>
      <c r="AZ28" s="139">
        <f t="array" ref="AZ28">IF($AY$9=0,0,MMULT($AH28:$AM28, AY$3:AY$8)/$AY$9)</f>
        <v>0</v>
      </c>
      <c r="BA28" s="139">
        <f t="array" ref="BA28">IF($AZ$9=0,0,MMULT($AH28:$AM28, AZ$3:AZ$8)/$AZ$9)</f>
        <v>0</v>
      </c>
      <c r="BB28" s="139">
        <f t="array" ref="BB28">IF($BA$9=0,0,MMULT($AH28:$AM28, BA$3:BA$8)/$BA$9)</f>
        <v>0</v>
      </c>
      <c r="BC28" s="139">
        <f t="array" ref="BC28">IF($BB$9=0,0,MMULT($AH28:$AM28, BB$3:BB$8)/$BB$9)</f>
        <v>0</v>
      </c>
      <c r="BD28" s="139">
        <f t="array" ref="BD28">IF($BC$9=0,0,MMULT($AH28:$AM28, BC$3:BC$8)/$BC$9)</f>
        <v>0</v>
      </c>
      <c r="BE28" s="139">
        <f t="shared" si="12"/>
        <v>0</v>
      </c>
      <c r="BF28" s="139">
        <f t="shared" si="13"/>
        <v>0</v>
      </c>
      <c r="BG28" s="138">
        <f>IF(OR(GradeSheet!$M23="W (Withdrawn)", GradeSheet!$M23="I (Incomplete)"), 0, IF(AU28&gt;=65%, 1, 0))</f>
        <v>0</v>
      </c>
      <c r="BH28" s="138">
        <f>IF(OR(GradeSheet!$M23="W (Withdrawn)", GradeSheet!$M23="I (Incomplete)"), 0, IF(AV28&gt;=65%, 1, 0))</f>
        <v>0</v>
      </c>
      <c r="BI28" s="138">
        <f>IF(OR(GradeSheet!$M23="W (Withdrawn)", GradeSheet!$M23="I (Incomplete)"), 0, IF(AW28&gt;=65%, 1, 0))</f>
        <v>0</v>
      </c>
      <c r="BJ28" s="138">
        <f>IF(OR(GradeSheet!$M23="W (Withdrawn)", GradeSheet!$M23="I (Incomplete)"), 0, IF(AX28&gt;=65%, 1, 0))</f>
        <v>0</v>
      </c>
      <c r="BK28" s="138">
        <f>IF(OR(GradeSheet!$M23="W (Withdrawn)", GradeSheet!$M23="I (Incomplete)"), 0, IF(AY28&gt;=65%, 1, 0))</f>
        <v>0</v>
      </c>
      <c r="BL28" s="138">
        <f>IF(OR(GradeSheet!$M23="W (Withdrawn)", GradeSheet!$M23="I (Incomplete)"), 0, IF(AZ28&gt;=65%, 1, 0))</f>
        <v>0</v>
      </c>
      <c r="BM28" s="138">
        <f>IF(OR(GradeSheet!$M23="W (Withdrawn)", GradeSheet!$M23="I (Incomplete)"), 0, IF(BA28&gt;=65%, 1, 0))</f>
        <v>0</v>
      </c>
      <c r="BN28" s="138">
        <f>IF(OR(GradeSheet!$M23="W (Withdrawn)", GradeSheet!$M23="I (Incomplete)"), 0, IF(BB28&gt;=65%, 1, 0))</f>
        <v>0</v>
      </c>
      <c r="BO28" s="138">
        <f>IF(OR(GradeSheet!$M23="W (Withdrawn)", GradeSheet!$M23="I (Incomplete)"), 0, IF(BC28&gt;=65%, 1, 0))</f>
        <v>0</v>
      </c>
      <c r="BP28" s="138">
        <f>IF(OR(GradeSheet!$M23="W (Withdrawn)", GradeSheet!$M23="I (Incomplete)"), 0, IF(BD28&gt;=65%, 1, 0))</f>
        <v>0</v>
      </c>
      <c r="BQ28" s="138">
        <f>IF(OR(GradeSheet!$M23="W (Withdrawn)", GradeSheet!$M23="I (Incomplete)"), 0, IF(BE28&gt;=65%, 1, 0))</f>
        <v>0</v>
      </c>
      <c r="BR28" s="138">
        <f>IF(OR(GradeSheet!$M23="W (Withdrawn)", GradeSheet!$M23="I (Incomplete)"), 0, IF(BF28&gt;=65%, 1, 0))</f>
        <v>0</v>
      </c>
    </row>
    <row r="29" spans="1:70" ht="15.75" customHeight="1">
      <c r="A29" s="134">
        <v>15</v>
      </c>
      <c r="B29" s="35">
        <f>GradeSheet!X24</f>
        <v>0</v>
      </c>
      <c r="C29" s="23">
        <f>GradeSheet!W24</f>
        <v>0</v>
      </c>
      <c r="D29" s="183">
        <v>0</v>
      </c>
      <c r="E29" s="183">
        <v>0</v>
      </c>
      <c r="F29" s="183">
        <v>0</v>
      </c>
      <c r="G29" s="183">
        <v>0</v>
      </c>
      <c r="H29" s="183">
        <v>0</v>
      </c>
      <c r="I29" s="183">
        <v>0</v>
      </c>
      <c r="J29" s="183">
        <v>0</v>
      </c>
      <c r="K29" s="183">
        <v>0</v>
      </c>
      <c r="L29" s="183">
        <v>0</v>
      </c>
      <c r="M29" s="183">
        <v>0</v>
      </c>
      <c r="N29" s="183">
        <v>0</v>
      </c>
      <c r="O29" s="183">
        <v>0</v>
      </c>
      <c r="P29" s="183">
        <v>0</v>
      </c>
      <c r="Q29" s="183">
        <v>0</v>
      </c>
      <c r="R29" s="183">
        <v>0</v>
      </c>
      <c r="S29" s="183">
        <v>0</v>
      </c>
      <c r="T29" s="183">
        <v>0</v>
      </c>
      <c r="U29" s="183">
        <v>0</v>
      </c>
      <c r="V29" s="183">
        <v>0</v>
      </c>
      <c r="W29" s="183">
        <v>0</v>
      </c>
      <c r="X29" s="183">
        <v>0</v>
      </c>
      <c r="Y29" s="183">
        <v>0</v>
      </c>
      <c r="Z29" s="183">
        <v>0</v>
      </c>
      <c r="AA29" s="183">
        <v>0</v>
      </c>
      <c r="AB29" s="135">
        <f t="shared" ref="AB29:AE29" si="42">SUM(V29,D29,J29, P29)</f>
        <v>0</v>
      </c>
      <c r="AC29" s="136">
        <f t="shared" si="42"/>
        <v>0</v>
      </c>
      <c r="AD29" s="136">
        <f t="shared" si="42"/>
        <v>0</v>
      </c>
      <c r="AE29" s="136">
        <f t="shared" si="42"/>
        <v>0</v>
      </c>
      <c r="AF29" s="136">
        <f t="shared" si="15"/>
        <v>0</v>
      </c>
      <c r="AG29" s="141">
        <f t="shared" si="16"/>
        <v>0</v>
      </c>
      <c r="AH29" s="137">
        <f t="shared" ref="AH29:AM29" si="43">IF(AB29 = 0, 0, AB29/AB$14)</f>
        <v>0</v>
      </c>
      <c r="AI29" s="137">
        <f t="shared" si="43"/>
        <v>0</v>
      </c>
      <c r="AJ29" s="137">
        <f t="shared" si="43"/>
        <v>0</v>
      </c>
      <c r="AK29" s="137">
        <f t="shared" si="43"/>
        <v>0</v>
      </c>
      <c r="AL29" s="137">
        <f t="shared" si="43"/>
        <v>0</v>
      </c>
      <c r="AM29" s="137">
        <f t="shared" si="43"/>
        <v>0</v>
      </c>
      <c r="AN29" s="138">
        <f>IF(OR(GradeSheet!$M24="W (Withdrawn)", GradeSheet!$M24="I (Incomplete)"), 0, IF(AH29&gt;=55%, 1, 0))</f>
        <v>0</v>
      </c>
      <c r="AO29" s="138">
        <f>IF(OR(GradeSheet!$M24="W (Withdrawn)", GradeSheet!$M24="I (Incomplete)"), 0, IF(AI29&gt;=55%, 1, 0))</f>
        <v>0</v>
      </c>
      <c r="AP29" s="138">
        <f>IF(OR(GradeSheet!$M24="W (Withdrawn)", GradeSheet!$M24="I (Incomplete)"), 0, IF(AJ29&gt;=55%, 1, 0))</f>
        <v>0</v>
      </c>
      <c r="AQ29" s="138">
        <f>IF(OR(GradeSheet!$M24="W (Withdrawn)", GradeSheet!$M24="I (Incomplete)"), 0, IF(AK29&gt;=55%, 1, 0))</f>
        <v>0</v>
      </c>
      <c r="AR29" s="138">
        <f>IF(OR(GradeSheet!$M24="W (Withdrawn)", GradeSheet!$M24="I (Incomplete)"), 0, IF(AL29&gt;=55%, 1, 0))</f>
        <v>0</v>
      </c>
      <c r="AS29" s="138">
        <f>IF(OR(GradeSheet!$M24="W (Withdrawn)", GradeSheet!$M24="I (Incomplete)"), 0, IF(AM29&gt;=55%, 1, 0))</f>
        <v>0</v>
      </c>
      <c r="AT29" s="118"/>
      <c r="AU29" s="139">
        <f t="shared" si="9"/>
        <v>0</v>
      </c>
      <c r="AV29" s="139">
        <f t="shared" si="10"/>
        <v>0</v>
      </c>
      <c r="AW29" s="139">
        <f t="array" ref="AW29">IF($AV$9=0,0,MMULT($AH29:$AM29, AV$3:AV$8)/$AV$9)</f>
        <v>0</v>
      </c>
      <c r="AX29" s="139">
        <f t="array" ref="AX29">IF($AW$9=0,0,MMULT($AH29:$AM29, AW$3:AW$8)/$AW$9)</f>
        <v>0</v>
      </c>
      <c r="AY29" s="139">
        <f t="shared" si="11"/>
        <v>0</v>
      </c>
      <c r="AZ29" s="139">
        <f t="array" ref="AZ29">IF($AY$9=0,0,MMULT($AH29:$AM29, AY$3:AY$8)/$AY$9)</f>
        <v>0</v>
      </c>
      <c r="BA29" s="139">
        <f t="array" ref="BA29">IF($AZ$9=0,0,MMULT($AH29:$AM29, AZ$3:AZ$8)/$AZ$9)</f>
        <v>0</v>
      </c>
      <c r="BB29" s="139">
        <f t="array" ref="BB29">IF($BA$9=0,0,MMULT($AH29:$AM29, BA$3:BA$8)/$BA$9)</f>
        <v>0</v>
      </c>
      <c r="BC29" s="139">
        <f t="array" ref="BC29">IF($BB$9=0,0,MMULT($AH29:$AM29, BB$3:BB$8)/$BB$9)</f>
        <v>0</v>
      </c>
      <c r="BD29" s="139">
        <f t="array" ref="BD29">IF($BC$9=0,0,MMULT($AH29:$AM29, BC$3:BC$8)/$BC$9)</f>
        <v>0</v>
      </c>
      <c r="BE29" s="139">
        <f t="shared" si="12"/>
        <v>0</v>
      </c>
      <c r="BF29" s="139">
        <f t="shared" si="13"/>
        <v>0</v>
      </c>
      <c r="BG29" s="138">
        <f>IF(OR(GradeSheet!$M24="W (Withdrawn)", GradeSheet!$M24="I (Incomplete)"), 0, IF(AU29&gt;=65%, 1, 0))</f>
        <v>0</v>
      </c>
      <c r="BH29" s="138">
        <f>IF(OR(GradeSheet!$M24="W (Withdrawn)", GradeSheet!$M24="I (Incomplete)"), 0, IF(AV29&gt;=65%, 1, 0))</f>
        <v>0</v>
      </c>
      <c r="BI29" s="138">
        <f>IF(OR(GradeSheet!$M24="W (Withdrawn)", GradeSheet!$M24="I (Incomplete)"), 0, IF(AW29&gt;=65%, 1, 0))</f>
        <v>0</v>
      </c>
      <c r="BJ29" s="138">
        <f>IF(OR(GradeSheet!$M24="W (Withdrawn)", GradeSheet!$M24="I (Incomplete)"), 0, IF(AX29&gt;=65%, 1, 0))</f>
        <v>0</v>
      </c>
      <c r="BK29" s="138">
        <f>IF(OR(GradeSheet!$M24="W (Withdrawn)", GradeSheet!$M24="I (Incomplete)"), 0, IF(AY29&gt;=65%, 1, 0))</f>
        <v>0</v>
      </c>
      <c r="BL29" s="138">
        <f>IF(OR(GradeSheet!$M24="W (Withdrawn)", GradeSheet!$M24="I (Incomplete)"), 0, IF(AZ29&gt;=65%, 1, 0))</f>
        <v>0</v>
      </c>
      <c r="BM29" s="138">
        <f>IF(OR(GradeSheet!$M24="W (Withdrawn)", GradeSheet!$M24="I (Incomplete)"), 0, IF(BA29&gt;=65%, 1, 0))</f>
        <v>0</v>
      </c>
      <c r="BN29" s="138">
        <f>IF(OR(GradeSheet!$M24="W (Withdrawn)", GradeSheet!$M24="I (Incomplete)"), 0, IF(BB29&gt;=65%, 1, 0))</f>
        <v>0</v>
      </c>
      <c r="BO29" s="138">
        <f>IF(OR(GradeSheet!$M24="W (Withdrawn)", GradeSheet!$M24="I (Incomplete)"), 0, IF(BC29&gt;=65%, 1, 0))</f>
        <v>0</v>
      </c>
      <c r="BP29" s="138">
        <f>IF(OR(GradeSheet!$M24="W (Withdrawn)", GradeSheet!$M24="I (Incomplete)"), 0, IF(BD29&gt;=65%, 1, 0))</f>
        <v>0</v>
      </c>
      <c r="BQ29" s="138">
        <f>IF(OR(GradeSheet!$M24="W (Withdrawn)", GradeSheet!$M24="I (Incomplete)"), 0, IF(BE29&gt;=65%, 1, 0))</f>
        <v>0</v>
      </c>
      <c r="BR29" s="138">
        <f>IF(OR(GradeSheet!$M24="W (Withdrawn)", GradeSheet!$M24="I (Incomplete)"), 0, IF(BF29&gt;=65%, 1, 0))</f>
        <v>0</v>
      </c>
    </row>
    <row r="30" spans="1:70" ht="15.75" customHeight="1">
      <c r="A30" s="140">
        <v>16</v>
      </c>
      <c r="B30" s="35">
        <f>GradeSheet!X25</f>
        <v>0</v>
      </c>
      <c r="C30" s="23">
        <f>GradeSheet!W25</f>
        <v>0</v>
      </c>
      <c r="D30" s="183">
        <v>0</v>
      </c>
      <c r="E30" s="183">
        <v>0</v>
      </c>
      <c r="F30" s="183">
        <v>0</v>
      </c>
      <c r="G30" s="183">
        <v>0</v>
      </c>
      <c r="H30" s="183">
        <v>0</v>
      </c>
      <c r="I30" s="183">
        <v>0</v>
      </c>
      <c r="J30" s="183">
        <v>0</v>
      </c>
      <c r="K30" s="183">
        <v>0</v>
      </c>
      <c r="L30" s="183">
        <v>0</v>
      </c>
      <c r="M30" s="183">
        <v>0</v>
      </c>
      <c r="N30" s="183">
        <v>0</v>
      </c>
      <c r="O30" s="183">
        <v>0</v>
      </c>
      <c r="P30" s="183">
        <v>0</v>
      </c>
      <c r="Q30" s="183">
        <v>0</v>
      </c>
      <c r="R30" s="183">
        <v>0</v>
      </c>
      <c r="S30" s="183">
        <v>0</v>
      </c>
      <c r="T30" s="183">
        <v>0</v>
      </c>
      <c r="U30" s="183">
        <v>0</v>
      </c>
      <c r="V30" s="183">
        <v>0</v>
      </c>
      <c r="W30" s="183">
        <v>0</v>
      </c>
      <c r="X30" s="183">
        <v>0</v>
      </c>
      <c r="Y30" s="183">
        <v>0</v>
      </c>
      <c r="Z30" s="183">
        <v>0</v>
      </c>
      <c r="AA30" s="183">
        <v>0</v>
      </c>
      <c r="AB30" s="135">
        <f t="shared" ref="AB30:AE30" si="44">SUM(V30,D30,J30, P30)</f>
        <v>0</v>
      </c>
      <c r="AC30" s="136">
        <f t="shared" si="44"/>
        <v>0</v>
      </c>
      <c r="AD30" s="136">
        <f t="shared" si="44"/>
        <v>0</v>
      </c>
      <c r="AE30" s="136">
        <f t="shared" si="44"/>
        <v>0</v>
      </c>
      <c r="AF30" s="136">
        <f t="shared" si="15"/>
        <v>0</v>
      </c>
      <c r="AG30" s="141">
        <f t="shared" si="16"/>
        <v>0</v>
      </c>
      <c r="AH30" s="137">
        <f t="shared" ref="AH30:AM30" si="45">IF(AB30 = 0, 0, AB30/AB$14)</f>
        <v>0</v>
      </c>
      <c r="AI30" s="137">
        <f t="shared" si="45"/>
        <v>0</v>
      </c>
      <c r="AJ30" s="137">
        <f t="shared" si="45"/>
        <v>0</v>
      </c>
      <c r="AK30" s="137">
        <f t="shared" si="45"/>
        <v>0</v>
      </c>
      <c r="AL30" s="137">
        <f t="shared" si="45"/>
        <v>0</v>
      </c>
      <c r="AM30" s="137">
        <f t="shared" si="45"/>
        <v>0</v>
      </c>
      <c r="AN30" s="138">
        <f>IF(OR(GradeSheet!$M25="W (Withdrawn)", GradeSheet!$M25="I (Incomplete)"), 0, IF(AH30&gt;=55%, 1, 0))</f>
        <v>0</v>
      </c>
      <c r="AO30" s="138">
        <f>IF(OR(GradeSheet!$M25="W (Withdrawn)", GradeSheet!$M25="I (Incomplete)"), 0, IF(AI30&gt;=55%, 1, 0))</f>
        <v>0</v>
      </c>
      <c r="AP30" s="138">
        <f>IF(OR(GradeSheet!$M25="W (Withdrawn)", GradeSheet!$M25="I (Incomplete)"), 0, IF(AJ30&gt;=55%, 1, 0))</f>
        <v>0</v>
      </c>
      <c r="AQ30" s="138">
        <f>IF(OR(GradeSheet!$M25="W (Withdrawn)", GradeSheet!$M25="I (Incomplete)"), 0, IF(AK30&gt;=55%, 1, 0))</f>
        <v>0</v>
      </c>
      <c r="AR30" s="138">
        <f>IF(OR(GradeSheet!$M25="W (Withdrawn)", GradeSheet!$M25="I (Incomplete)"), 0, IF(AL30&gt;=55%, 1, 0))</f>
        <v>0</v>
      </c>
      <c r="AS30" s="138">
        <f>IF(OR(GradeSheet!$M25="W (Withdrawn)", GradeSheet!$M25="I (Incomplete)"), 0, IF(AM30&gt;=55%, 1, 0))</f>
        <v>0</v>
      </c>
      <c r="AT30" s="118"/>
      <c r="AU30" s="139">
        <f t="shared" si="9"/>
        <v>0</v>
      </c>
      <c r="AV30" s="139">
        <f t="shared" si="10"/>
        <v>0</v>
      </c>
      <c r="AW30" s="139">
        <f t="array" ref="AW30">IF($AV$9=0,0,MMULT($AH30:$AM30, AV$3:AV$8)/$AV$9)</f>
        <v>0</v>
      </c>
      <c r="AX30" s="139">
        <f t="array" ref="AX30">IF($AW$9=0,0,MMULT($AH30:$AM30, AW$3:AW$8)/$AW$9)</f>
        <v>0</v>
      </c>
      <c r="AY30" s="139">
        <f t="shared" si="11"/>
        <v>0</v>
      </c>
      <c r="AZ30" s="139">
        <f t="array" ref="AZ30">IF($AY$9=0,0,MMULT($AH30:$AM30, AY$3:AY$8)/$AY$9)</f>
        <v>0</v>
      </c>
      <c r="BA30" s="139">
        <f t="array" ref="BA30">IF($AZ$9=0,0,MMULT($AH30:$AM30, AZ$3:AZ$8)/$AZ$9)</f>
        <v>0</v>
      </c>
      <c r="BB30" s="139">
        <f t="array" ref="BB30">IF($BA$9=0,0,MMULT($AH30:$AM30, BA$3:BA$8)/$BA$9)</f>
        <v>0</v>
      </c>
      <c r="BC30" s="139">
        <f t="array" ref="BC30">IF($BB$9=0,0,MMULT($AH30:$AM30, BB$3:BB$8)/$BB$9)</f>
        <v>0</v>
      </c>
      <c r="BD30" s="139">
        <f t="array" ref="BD30">IF($BC$9=0,0,MMULT($AH30:$AM30, BC$3:BC$8)/$BC$9)</f>
        <v>0</v>
      </c>
      <c r="BE30" s="139">
        <f t="shared" si="12"/>
        <v>0</v>
      </c>
      <c r="BF30" s="139">
        <f t="shared" si="13"/>
        <v>0</v>
      </c>
      <c r="BG30" s="138">
        <f>IF(OR(GradeSheet!$M25="W (Withdrawn)", GradeSheet!$M25="I (Incomplete)"), 0, IF(AU30&gt;=65%, 1, 0))</f>
        <v>0</v>
      </c>
      <c r="BH30" s="138">
        <f>IF(OR(GradeSheet!$M25="W (Withdrawn)", GradeSheet!$M25="I (Incomplete)"), 0, IF(AV30&gt;=65%, 1, 0))</f>
        <v>0</v>
      </c>
      <c r="BI30" s="138">
        <f>IF(OR(GradeSheet!$M25="W (Withdrawn)", GradeSheet!$M25="I (Incomplete)"), 0, IF(AW30&gt;=65%, 1, 0))</f>
        <v>0</v>
      </c>
      <c r="BJ30" s="138">
        <f>IF(OR(GradeSheet!$M25="W (Withdrawn)", GradeSheet!$M25="I (Incomplete)"), 0, IF(AX30&gt;=65%, 1, 0))</f>
        <v>0</v>
      </c>
      <c r="BK30" s="138">
        <f>IF(OR(GradeSheet!$M25="W (Withdrawn)", GradeSheet!$M25="I (Incomplete)"), 0, IF(AY30&gt;=65%, 1, 0))</f>
        <v>0</v>
      </c>
      <c r="BL30" s="138">
        <f>IF(OR(GradeSheet!$M25="W (Withdrawn)", GradeSheet!$M25="I (Incomplete)"), 0, IF(AZ30&gt;=65%, 1, 0))</f>
        <v>0</v>
      </c>
      <c r="BM30" s="138">
        <f>IF(OR(GradeSheet!$M25="W (Withdrawn)", GradeSheet!$M25="I (Incomplete)"), 0, IF(BA30&gt;=65%, 1, 0))</f>
        <v>0</v>
      </c>
      <c r="BN30" s="138">
        <f>IF(OR(GradeSheet!$M25="W (Withdrawn)", GradeSheet!$M25="I (Incomplete)"), 0, IF(BB30&gt;=65%, 1, 0))</f>
        <v>0</v>
      </c>
      <c r="BO30" s="138">
        <f>IF(OR(GradeSheet!$M25="W (Withdrawn)", GradeSheet!$M25="I (Incomplete)"), 0, IF(BC30&gt;=65%, 1, 0))</f>
        <v>0</v>
      </c>
      <c r="BP30" s="138">
        <f>IF(OR(GradeSheet!$M25="W (Withdrawn)", GradeSheet!$M25="I (Incomplete)"), 0, IF(BD30&gt;=65%, 1, 0))</f>
        <v>0</v>
      </c>
      <c r="BQ30" s="138">
        <f>IF(OR(GradeSheet!$M25="W (Withdrawn)", GradeSheet!$M25="I (Incomplete)"), 0, IF(BE30&gt;=65%, 1, 0))</f>
        <v>0</v>
      </c>
      <c r="BR30" s="138">
        <f>IF(OR(GradeSheet!$M25="W (Withdrawn)", GradeSheet!$M25="I (Incomplete)"), 0, IF(BF30&gt;=65%, 1, 0))</f>
        <v>0</v>
      </c>
    </row>
    <row r="31" spans="1:70" ht="15.75" customHeight="1">
      <c r="A31" s="134">
        <v>17</v>
      </c>
      <c r="B31" s="35">
        <f>GradeSheet!X26</f>
        <v>0</v>
      </c>
      <c r="C31" s="23">
        <f>GradeSheet!W26</f>
        <v>0</v>
      </c>
      <c r="D31" s="183">
        <v>0</v>
      </c>
      <c r="E31" s="183">
        <v>0</v>
      </c>
      <c r="F31" s="183">
        <v>0</v>
      </c>
      <c r="G31" s="183">
        <v>0</v>
      </c>
      <c r="H31" s="183">
        <v>0</v>
      </c>
      <c r="I31" s="183">
        <v>0</v>
      </c>
      <c r="J31" s="183">
        <v>0</v>
      </c>
      <c r="K31" s="183">
        <v>0</v>
      </c>
      <c r="L31" s="183">
        <v>0</v>
      </c>
      <c r="M31" s="183">
        <v>0</v>
      </c>
      <c r="N31" s="183">
        <v>0</v>
      </c>
      <c r="O31" s="183">
        <v>0</v>
      </c>
      <c r="P31" s="183">
        <v>0</v>
      </c>
      <c r="Q31" s="183">
        <v>0</v>
      </c>
      <c r="R31" s="183">
        <v>0</v>
      </c>
      <c r="S31" s="183">
        <v>0</v>
      </c>
      <c r="T31" s="183">
        <v>0</v>
      </c>
      <c r="U31" s="183">
        <v>0</v>
      </c>
      <c r="V31" s="183">
        <v>0</v>
      </c>
      <c r="W31" s="183">
        <v>0</v>
      </c>
      <c r="X31" s="183">
        <v>0</v>
      </c>
      <c r="Y31" s="183">
        <v>0</v>
      </c>
      <c r="Z31" s="183">
        <v>0</v>
      </c>
      <c r="AA31" s="183">
        <v>0</v>
      </c>
      <c r="AB31" s="135">
        <f t="shared" ref="AB31:AE31" si="46">SUM(V31,D31,J31, P31)</f>
        <v>0</v>
      </c>
      <c r="AC31" s="136">
        <f t="shared" si="46"/>
        <v>0</v>
      </c>
      <c r="AD31" s="136">
        <f t="shared" si="46"/>
        <v>0</v>
      </c>
      <c r="AE31" s="136">
        <f t="shared" si="46"/>
        <v>0</v>
      </c>
      <c r="AF31" s="136">
        <f t="shared" si="15"/>
        <v>0</v>
      </c>
      <c r="AG31" s="141">
        <f t="shared" si="16"/>
        <v>0</v>
      </c>
      <c r="AH31" s="137">
        <f t="shared" ref="AH31:AM31" si="47">IF(AB31 = 0, 0, AB31/AB$14)</f>
        <v>0</v>
      </c>
      <c r="AI31" s="137">
        <f t="shared" si="47"/>
        <v>0</v>
      </c>
      <c r="AJ31" s="137">
        <f t="shared" si="47"/>
        <v>0</v>
      </c>
      <c r="AK31" s="137">
        <f t="shared" si="47"/>
        <v>0</v>
      </c>
      <c r="AL31" s="137">
        <f t="shared" si="47"/>
        <v>0</v>
      </c>
      <c r="AM31" s="137">
        <f t="shared" si="47"/>
        <v>0</v>
      </c>
      <c r="AN31" s="138">
        <f>IF(OR(GradeSheet!$M26="W (Withdrawn)", GradeSheet!$M26="I (Incomplete)"), 0, IF(AH31&gt;=55%, 1, 0))</f>
        <v>0</v>
      </c>
      <c r="AO31" s="138">
        <f>IF(OR(GradeSheet!$M26="W (Withdrawn)", GradeSheet!$M26="I (Incomplete)"), 0, IF(AI31&gt;=55%, 1, 0))</f>
        <v>0</v>
      </c>
      <c r="AP31" s="138">
        <f>IF(OR(GradeSheet!$M26="W (Withdrawn)", GradeSheet!$M26="I (Incomplete)"), 0, IF(AJ31&gt;=55%, 1, 0))</f>
        <v>0</v>
      </c>
      <c r="AQ31" s="138">
        <f>IF(OR(GradeSheet!$M26="W (Withdrawn)", GradeSheet!$M26="I (Incomplete)"), 0, IF(AK31&gt;=55%, 1, 0))</f>
        <v>0</v>
      </c>
      <c r="AR31" s="138">
        <f>IF(OR(GradeSheet!$M26="W (Withdrawn)", GradeSheet!$M26="I (Incomplete)"), 0, IF(AL31&gt;=55%, 1, 0))</f>
        <v>0</v>
      </c>
      <c r="AS31" s="138">
        <f>IF(OR(GradeSheet!$M26="W (Withdrawn)", GradeSheet!$M26="I (Incomplete)"), 0, IF(AM31&gt;=55%, 1, 0))</f>
        <v>0</v>
      </c>
      <c r="AT31" s="118"/>
      <c r="AU31" s="139">
        <f t="shared" si="9"/>
        <v>0</v>
      </c>
      <c r="AV31" s="139">
        <f t="shared" si="10"/>
        <v>0</v>
      </c>
      <c r="AW31" s="139">
        <f t="array" ref="AW31">IF($AV$9=0,0,MMULT($AH31:$AM31, AV$3:AV$8)/$AV$9)</f>
        <v>0</v>
      </c>
      <c r="AX31" s="139">
        <f t="array" ref="AX31">IF($AW$9=0,0,MMULT($AH31:$AM31, AW$3:AW$8)/$AW$9)</f>
        <v>0</v>
      </c>
      <c r="AY31" s="139">
        <f t="shared" si="11"/>
        <v>0</v>
      </c>
      <c r="AZ31" s="139">
        <f t="array" ref="AZ31">IF($AY$9=0,0,MMULT($AH31:$AM31, AY$3:AY$8)/$AY$9)</f>
        <v>0</v>
      </c>
      <c r="BA31" s="139">
        <f t="array" ref="BA31">IF($AZ$9=0,0,MMULT($AH31:$AM31, AZ$3:AZ$8)/$AZ$9)</f>
        <v>0</v>
      </c>
      <c r="BB31" s="139">
        <f t="array" ref="BB31">IF($BA$9=0,0,MMULT($AH31:$AM31, BA$3:BA$8)/$BA$9)</f>
        <v>0</v>
      </c>
      <c r="BC31" s="139">
        <f t="array" ref="BC31">IF($BB$9=0,0,MMULT($AH31:$AM31, BB$3:BB$8)/$BB$9)</f>
        <v>0</v>
      </c>
      <c r="BD31" s="139">
        <f t="array" ref="BD31">IF($BC$9=0,0,MMULT($AH31:$AM31, BC$3:BC$8)/$BC$9)</f>
        <v>0</v>
      </c>
      <c r="BE31" s="139">
        <f t="shared" si="12"/>
        <v>0</v>
      </c>
      <c r="BF31" s="139">
        <f t="shared" si="13"/>
        <v>0</v>
      </c>
      <c r="BG31" s="138">
        <f>IF(OR(GradeSheet!$M26="W (Withdrawn)", GradeSheet!$M26="I (Incomplete)"), 0, IF(AU31&gt;=65%, 1, 0))</f>
        <v>0</v>
      </c>
      <c r="BH31" s="138">
        <f>IF(OR(GradeSheet!$M26="W (Withdrawn)", GradeSheet!$M26="I (Incomplete)"), 0, IF(AV31&gt;=65%, 1, 0))</f>
        <v>0</v>
      </c>
      <c r="BI31" s="138">
        <f>IF(OR(GradeSheet!$M26="W (Withdrawn)", GradeSheet!$M26="I (Incomplete)"), 0, IF(AW31&gt;=65%, 1, 0))</f>
        <v>0</v>
      </c>
      <c r="BJ31" s="138">
        <f>IF(OR(GradeSheet!$M26="W (Withdrawn)", GradeSheet!$M26="I (Incomplete)"), 0, IF(AX31&gt;=65%, 1, 0))</f>
        <v>0</v>
      </c>
      <c r="BK31" s="138">
        <f>IF(OR(GradeSheet!$M26="W (Withdrawn)", GradeSheet!$M26="I (Incomplete)"), 0, IF(AY31&gt;=65%, 1, 0))</f>
        <v>0</v>
      </c>
      <c r="BL31" s="138">
        <f>IF(OR(GradeSheet!$M26="W (Withdrawn)", GradeSheet!$M26="I (Incomplete)"), 0, IF(AZ31&gt;=65%, 1, 0))</f>
        <v>0</v>
      </c>
      <c r="BM31" s="138">
        <f>IF(OR(GradeSheet!$M26="W (Withdrawn)", GradeSheet!$M26="I (Incomplete)"), 0, IF(BA31&gt;=65%, 1, 0))</f>
        <v>0</v>
      </c>
      <c r="BN31" s="138">
        <f>IF(OR(GradeSheet!$M26="W (Withdrawn)", GradeSheet!$M26="I (Incomplete)"), 0, IF(BB31&gt;=65%, 1, 0))</f>
        <v>0</v>
      </c>
      <c r="BO31" s="138">
        <f>IF(OR(GradeSheet!$M26="W (Withdrawn)", GradeSheet!$M26="I (Incomplete)"), 0, IF(BC31&gt;=65%, 1, 0))</f>
        <v>0</v>
      </c>
      <c r="BP31" s="138">
        <f>IF(OR(GradeSheet!$M26="W (Withdrawn)", GradeSheet!$M26="I (Incomplete)"), 0, IF(BD31&gt;=65%, 1, 0))</f>
        <v>0</v>
      </c>
      <c r="BQ31" s="138">
        <f>IF(OR(GradeSheet!$M26="W (Withdrawn)", GradeSheet!$M26="I (Incomplete)"), 0, IF(BE31&gt;=65%, 1, 0))</f>
        <v>0</v>
      </c>
      <c r="BR31" s="138">
        <f>IF(OR(GradeSheet!$M26="W (Withdrawn)", GradeSheet!$M26="I (Incomplete)"), 0, IF(BF31&gt;=65%, 1, 0))</f>
        <v>0</v>
      </c>
    </row>
    <row r="32" spans="1:70" ht="15.75" customHeight="1">
      <c r="A32" s="140">
        <v>18</v>
      </c>
      <c r="B32" s="35">
        <f>GradeSheet!X27</f>
        <v>0</v>
      </c>
      <c r="C32" s="23">
        <f>GradeSheet!W27</f>
        <v>0</v>
      </c>
      <c r="D32" s="183">
        <v>0</v>
      </c>
      <c r="E32" s="183">
        <v>0</v>
      </c>
      <c r="F32" s="183">
        <v>0</v>
      </c>
      <c r="G32" s="183">
        <v>0</v>
      </c>
      <c r="H32" s="183">
        <v>0</v>
      </c>
      <c r="I32" s="183">
        <v>0</v>
      </c>
      <c r="J32" s="183">
        <v>0</v>
      </c>
      <c r="K32" s="183">
        <v>0</v>
      </c>
      <c r="L32" s="183">
        <v>0</v>
      </c>
      <c r="M32" s="183">
        <v>0</v>
      </c>
      <c r="N32" s="183">
        <v>0</v>
      </c>
      <c r="O32" s="183">
        <v>0</v>
      </c>
      <c r="P32" s="183">
        <v>0</v>
      </c>
      <c r="Q32" s="183">
        <v>0</v>
      </c>
      <c r="R32" s="183">
        <v>0</v>
      </c>
      <c r="S32" s="183">
        <v>0</v>
      </c>
      <c r="T32" s="183">
        <v>0</v>
      </c>
      <c r="U32" s="183">
        <v>0</v>
      </c>
      <c r="V32" s="183">
        <v>0</v>
      </c>
      <c r="W32" s="183">
        <v>0</v>
      </c>
      <c r="X32" s="183">
        <v>0</v>
      </c>
      <c r="Y32" s="183">
        <v>0</v>
      </c>
      <c r="Z32" s="183">
        <v>0</v>
      </c>
      <c r="AA32" s="183">
        <v>0</v>
      </c>
      <c r="AB32" s="135">
        <f t="shared" ref="AB32:AE32" si="48">SUM(V32,D32,J32, P32)</f>
        <v>0</v>
      </c>
      <c r="AC32" s="136">
        <f t="shared" si="48"/>
        <v>0</v>
      </c>
      <c r="AD32" s="136">
        <f t="shared" si="48"/>
        <v>0</v>
      </c>
      <c r="AE32" s="136">
        <f t="shared" si="48"/>
        <v>0</v>
      </c>
      <c r="AF32" s="136">
        <f t="shared" si="15"/>
        <v>0</v>
      </c>
      <c r="AG32" s="141">
        <f t="shared" si="16"/>
        <v>0</v>
      </c>
      <c r="AH32" s="137">
        <f t="shared" ref="AH32:AM32" si="49">IF(AB32 = 0, 0, AB32/AB$14)</f>
        <v>0</v>
      </c>
      <c r="AI32" s="137">
        <f t="shared" si="49"/>
        <v>0</v>
      </c>
      <c r="AJ32" s="137">
        <f t="shared" si="49"/>
        <v>0</v>
      </c>
      <c r="AK32" s="137">
        <f t="shared" si="49"/>
        <v>0</v>
      </c>
      <c r="AL32" s="137">
        <f t="shared" si="49"/>
        <v>0</v>
      </c>
      <c r="AM32" s="137">
        <f t="shared" si="49"/>
        <v>0</v>
      </c>
      <c r="AN32" s="138">
        <f>IF(OR(GradeSheet!$M27="W (Withdrawn)", GradeSheet!$M27="I (Incomplete)"), 0, IF(AH32&gt;=55%, 1, 0))</f>
        <v>0</v>
      </c>
      <c r="AO32" s="138">
        <f>IF(OR(GradeSheet!$M27="W (Withdrawn)", GradeSheet!$M27="I (Incomplete)"), 0, IF(AI32&gt;=55%, 1, 0))</f>
        <v>0</v>
      </c>
      <c r="AP32" s="138">
        <f>IF(OR(GradeSheet!$M27="W (Withdrawn)", GradeSheet!$M27="I (Incomplete)"), 0, IF(AJ32&gt;=55%, 1, 0))</f>
        <v>0</v>
      </c>
      <c r="AQ32" s="138">
        <f>IF(OR(GradeSheet!$M27="W (Withdrawn)", GradeSheet!$M27="I (Incomplete)"), 0, IF(AK32&gt;=55%, 1, 0))</f>
        <v>0</v>
      </c>
      <c r="AR32" s="138">
        <f>IF(OR(GradeSheet!$M27="W (Withdrawn)", GradeSheet!$M27="I (Incomplete)"), 0, IF(AL32&gt;=55%, 1, 0))</f>
        <v>0</v>
      </c>
      <c r="AS32" s="138">
        <f>IF(OR(GradeSheet!$M27="W (Withdrawn)", GradeSheet!$M27="I (Incomplete)"), 0, IF(AM32&gt;=55%, 1, 0))</f>
        <v>0</v>
      </c>
      <c r="AT32" s="118"/>
      <c r="AU32" s="139">
        <f t="shared" si="9"/>
        <v>0</v>
      </c>
      <c r="AV32" s="139">
        <f t="shared" si="10"/>
        <v>0</v>
      </c>
      <c r="AW32" s="139">
        <f t="array" ref="AW32">IF($AV$9=0,0,MMULT($AH32:$AM32, AV$3:AV$8)/$AV$9)</f>
        <v>0</v>
      </c>
      <c r="AX32" s="139">
        <f t="array" ref="AX32">IF($AW$9=0,0,MMULT($AH32:$AM32, AW$3:AW$8)/$AW$9)</f>
        <v>0</v>
      </c>
      <c r="AY32" s="139">
        <f t="shared" si="11"/>
        <v>0</v>
      </c>
      <c r="AZ32" s="139">
        <f t="array" ref="AZ32">IF($AY$9=0,0,MMULT($AH32:$AM32, AY$3:AY$8)/$AY$9)</f>
        <v>0</v>
      </c>
      <c r="BA32" s="139">
        <f t="array" ref="BA32">IF($AZ$9=0,0,MMULT($AH32:$AM32, AZ$3:AZ$8)/$AZ$9)</f>
        <v>0</v>
      </c>
      <c r="BB32" s="139">
        <f t="array" ref="BB32">IF($BA$9=0,0,MMULT($AH32:$AM32, BA$3:BA$8)/$BA$9)</f>
        <v>0</v>
      </c>
      <c r="BC32" s="139">
        <f t="array" ref="BC32">IF($BB$9=0,0,MMULT($AH32:$AM32, BB$3:BB$8)/$BB$9)</f>
        <v>0</v>
      </c>
      <c r="BD32" s="139">
        <f t="array" ref="BD32">IF($BC$9=0,0,MMULT($AH32:$AM32, BC$3:BC$8)/$BC$9)</f>
        <v>0</v>
      </c>
      <c r="BE32" s="139">
        <f t="shared" si="12"/>
        <v>0</v>
      </c>
      <c r="BF32" s="139">
        <f t="shared" si="13"/>
        <v>0</v>
      </c>
      <c r="BG32" s="138">
        <f>IF(OR(GradeSheet!$M27="W (Withdrawn)", GradeSheet!$M27="I (Incomplete)"), 0, IF(AU32&gt;=65%, 1, 0))</f>
        <v>0</v>
      </c>
      <c r="BH32" s="138">
        <f>IF(OR(GradeSheet!$M27="W (Withdrawn)", GradeSheet!$M27="I (Incomplete)"), 0, IF(AV32&gt;=65%, 1, 0))</f>
        <v>0</v>
      </c>
      <c r="BI32" s="138">
        <f>IF(OR(GradeSheet!$M27="W (Withdrawn)", GradeSheet!$M27="I (Incomplete)"), 0, IF(AW32&gt;=65%, 1, 0))</f>
        <v>0</v>
      </c>
      <c r="BJ32" s="138">
        <f>IF(OR(GradeSheet!$M27="W (Withdrawn)", GradeSheet!$M27="I (Incomplete)"), 0, IF(AX32&gt;=65%, 1, 0))</f>
        <v>0</v>
      </c>
      <c r="BK32" s="138">
        <f>IF(OR(GradeSheet!$M27="W (Withdrawn)", GradeSheet!$M27="I (Incomplete)"), 0, IF(AY32&gt;=65%, 1, 0))</f>
        <v>0</v>
      </c>
      <c r="BL32" s="138">
        <f>IF(OR(GradeSheet!$M27="W (Withdrawn)", GradeSheet!$M27="I (Incomplete)"), 0, IF(AZ32&gt;=65%, 1, 0))</f>
        <v>0</v>
      </c>
      <c r="BM32" s="138">
        <f>IF(OR(GradeSheet!$M27="W (Withdrawn)", GradeSheet!$M27="I (Incomplete)"), 0, IF(BA32&gt;=65%, 1, 0))</f>
        <v>0</v>
      </c>
      <c r="BN32" s="138">
        <f>IF(OR(GradeSheet!$M27="W (Withdrawn)", GradeSheet!$M27="I (Incomplete)"), 0, IF(BB32&gt;=65%, 1, 0))</f>
        <v>0</v>
      </c>
      <c r="BO32" s="138">
        <f>IF(OR(GradeSheet!$M27="W (Withdrawn)", GradeSheet!$M27="I (Incomplete)"), 0, IF(BC32&gt;=65%, 1, 0))</f>
        <v>0</v>
      </c>
      <c r="BP32" s="138">
        <f>IF(OR(GradeSheet!$M27="W (Withdrawn)", GradeSheet!$M27="I (Incomplete)"), 0, IF(BD32&gt;=65%, 1, 0))</f>
        <v>0</v>
      </c>
      <c r="BQ32" s="138">
        <f>IF(OR(GradeSheet!$M27="W (Withdrawn)", GradeSheet!$M27="I (Incomplete)"), 0, IF(BE32&gt;=65%, 1, 0))</f>
        <v>0</v>
      </c>
      <c r="BR32" s="138">
        <f>IF(OR(GradeSheet!$M27="W (Withdrawn)", GradeSheet!$M27="I (Incomplete)"), 0, IF(BF32&gt;=65%, 1, 0))</f>
        <v>0</v>
      </c>
    </row>
    <row r="33" spans="1:70" ht="15.75" customHeight="1">
      <c r="A33" s="134">
        <v>19</v>
      </c>
      <c r="B33" s="35">
        <f>GradeSheet!X28</f>
        <v>0</v>
      </c>
      <c r="C33" s="23">
        <f>GradeSheet!W28</f>
        <v>0</v>
      </c>
      <c r="D33" s="183">
        <v>0</v>
      </c>
      <c r="E33" s="183">
        <v>0</v>
      </c>
      <c r="F33" s="183">
        <v>0</v>
      </c>
      <c r="G33" s="183">
        <v>0</v>
      </c>
      <c r="H33" s="183">
        <v>0</v>
      </c>
      <c r="I33" s="183">
        <v>0</v>
      </c>
      <c r="J33" s="183">
        <v>0</v>
      </c>
      <c r="K33" s="183">
        <v>0</v>
      </c>
      <c r="L33" s="183">
        <v>0</v>
      </c>
      <c r="M33" s="183">
        <v>0</v>
      </c>
      <c r="N33" s="183">
        <v>0</v>
      </c>
      <c r="O33" s="183">
        <v>0</v>
      </c>
      <c r="P33" s="183">
        <v>0</v>
      </c>
      <c r="Q33" s="183">
        <v>0</v>
      </c>
      <c r="R33" s="183">
        <v>0</v>
      </c>
      <c r="S33" s="183">
        <v>0</v>
      </c>
      <c r="T33" s="183">
        <v>0</v>
      </c>
      <c r="U33" s="183">
        <v>0</v>
      </c>
      <c r="V33" s="183">
        <v>0</v>
      </c>
      <c r="W33" s="183">
        <v>0</v>
      </c>
      <c r="X33" s="183">
        <v>0</v>
      </c>
      <c r="Y33" s="183">
        <v>0</v>
      </c>
      <c r="Z33" s="183">
        <v>0</v>
      </c>
      <c r="AA33" s="183">
        <v>0</v>
      </c>
      <c r="AB33" s="135">
        <f t="shared" ref="AB33:AE33" si="50">SUM(V33,D33,J33, P33)</f>
        <v>0</v>
      </c>
      <c r="AC33" s="136">
        <f t="shared" si="50"/>
        <v>0</v>
      </c>
      <c r="AD33" s="136">
        <f t="shared" si="50"/>
        <v>0</v>
      </c>
      <c r="AE33" s="136">
        <f t="shared" si="50"/>
        <v>0</v>
      </c>
      <c r="AF33" s="136">
        <f t="shared" si="15"/>
        <v>0</v>
      </c>
      <c r="AG33" s="141">
        <f t="shared" si="16"/>
        <v>0</v>
      </c>
      <c r="AH33" s="137">
        <f t="shared" ref="AH33:AM33" si="51">IF(AB33 = 0, 0, AB33/AB$14)</f>
        <v>0</v>
      </c>
      <c r="AI33" s="137">
        <f t="shared" si="51"/>
        <v>0</v>
      </c>
      <c r="AJ33" s="137">
        <f t="shared" si="51"/>
        <v>0</v>
      </c>
      <c r="AK33" s="137">
        <f t="shared" si="51"/>
        <v>0</v>
      </c>
      <c r="AL33" s="137">
        <f t="shared" si="51"/>
        <v>0</v>
      </c>
      <c r="AM33" s="137">
        <f t="shared" si="51"/>
        <v>0</v>
      </c>
      <c r="AN33" s="138">
        <f>IF(OR(GradeSheet!$M28="W (Withdrawn)", GradeSheet!$M28="I (Incomplete)"), 0, IF(AH33&gt;=55%, 1, 0))</f>
        <v>0</v>
      </c>
      <c r="AO33" s="138">
        <f>IF(OR(GradeSheet!$M28="W (Withdrawn)", GradeSheet!$M28="I (Incomplete)"), 0, IF(AI33&gt;=55%, 1, 0))</f>
        <v>0</v>
      </c>
      <c r="AP33" s="138">
        <f>IF(OR(GradeSheet!$M28="W (Withdrawn)", GradeSheet!$M28="I (Incomplete)"), 0, IF(AJ33&gt;=55%, 1, 0))</f>
        <v>0</v>
      </c>
      <c r="AQ33" s="138">
        <f>IF(OR(GradeSheet!$M28="W (Withdrawn)", GradeSheet!$M28="I (Incomplete)"), 0, IF(AK33&gt;=55%, 1, 0))</f>
        <v>0</v>
      </c>
      <c r="AR33" s="138">
        <f>IF(OR(GradeSheet!$M28="W (Withdrawn)", GradeSheet!$M28="I (Incomplete)"), 0, IF(AL33&gt;=55%, 1, 0))</f>
        <v>0</v>
      </c>
      <c r="AS33" s="138">
        <f>IF(OR(GradeSheet!$M28="W (Withdrawn)", GradeSheet!$M28="I (Incomplete)"), 0, IF(AM33&gt;=55%, 1, 0))</f>
        <v>0</v>
      </c>
      <c r="AT33" s="118"/>
      <c r="AU33" s="139">
        <f t="shared" si="9"/>
        <v>0</v>
      </c>
      <c r="AV33" s="139">
        <f t="shared" si="10"/>
        <v>0</v>
      </c>
      <c r="AW33" s="139">
        <f t="array" ref="AW33">IF($AV$9=0,0,MMULT($AH33:$AM33, AV$3:AV$8)/$AV$9)</f>
        <v>0</v>
      </c>
      <c r="AX33" s="139">
        <f t="array" ref="AX33">IF($AW$9=0,0,MMULT($AH33:$AM33, AW$3:AW$8)/$AW$9)</f>
        <v>0</v>
      </c>
      <c r="AY33" s="139">
        <f t="shared" si="11"/>
        <v>0</v>
      </c>
      <c r="AZ33" s="139">
        <f t="array" ref="AZ33">IF($AY$9=0,0,MMULT($AH33:$AM33, AY$3:AY$8)/$AY$9)</f>
        <v>0</v>
      </c>
      <c r="BA33" s="139">
        <f t="array" ref="BA33">IF($AZ$9=0,0,MMULT($AH33:$AM33, AZ$3:AZ$8)/$AZ$9)</f>
        <v>0</v>
      </c>
      <c r="BB33" s="139">
        <f t="array" ref="BB33">IF($BA$9=0,0,MMULT($AH33:$AM33, BA$3:BA$8)/$BA$9)</f>
        <v>0</v>
      </c>
      <c r="BC33" s="139">
        <f t="array" ref="BC33">IF($BB$9=0,0,MMULT($AH33:$AM33, BB$3:BB$8)/$BB$9)</f>
        <v>0</v>
      </c>
      <c r="BD33" s="139">
        <f t="array" ref="BD33">IF($BC$9=0,0,MMULT($AH33:$AM33, BC$3:BC$8)/$BC$9)</f>
        <v>0</v>
      </c>
      <c r="BE33" s="139">
        <f t="shared" si="12"/>
        <v>0</v>
      </c>
      <c r="BF33" s="139">
        <f t="shared" si="13"/>
        <v>0</v>
      </c>
      <c r="BG33" s="138">
        <f>IF(OR(GradeSheet!$M28="W (Withdrawn)", GradeSheet!$M28="I (Incomplete)"), 0, IF(AU33&gt;=65%, 1, 0))</f>
        <v>0</v>
      </c>
      <c r="BH33" s="138">
        <f>IF(OR(GradeSheet!$M28="W (Withdrawn)", GradeSheet!$M28="I (Incomplete)"), 0, IF(AV33&gt;=65%, 1, 0))</f>
        <v>0</v>
      </c>
      <c r="BI33" s="138">
        <f>IF(OR(GradeSheet!$M28="W (Withdrawn)", GradeSheet!$M28="I (Incomplete)"), 0, IF(AW33&gt;=65%, 1, 0))</f>
        <v>0</v>
      </c>
      <c r="BJ33" s="138">
        <f>IF(OR(GradeSheet!$M28="W (Withdrawn)", GradeSheet!$M28="I (Incomplete)"), 0, IF(AX33&gt;=65%, 1, 0))</f>
        <v>0</v>
      </c>
      <c r="BK33" s="138">
        <f>IF(OR(GradeSheet!$M28="W (Withdrawn)", GradeSheet!$M28="I (Incomplete)"), 0, IF(AY33&gt;=65%, 1, 0))</f>
        <v>0</v>
      </c>
      <c r="BL33" s="138">
        <f>IF(OR(GradeSheet!$M28="W (Withdrawn)", GradeSheet!$M28="I (Incomplete)"), 0, IF(AZ33&gt;=65%, 1, 0))</f>
        <v>0</v>
      </c>
      <c r="BM33" s="138">
        <f>IF(OR(GradeSheet!$M28="W (Withdrawn)", GradeSheet!$M28="I (Incomplete)"), 0, IF(BA33&gt;=65%, 1, 0))</f>
        <v>0</v>
      </c>
      <c r="BN33" s="138">
        <f>IF(OR(GradeSheet!$M28="W (Withdrawn)", GradeSheet!$M28="I (Incomplete)"), 0, IF(BB33&gt;=65%, 1, 0))</f>
        <v>0</v>
      </c>
      <c r="BO33" s="138">
        <f>IF(OR(GradeSheet!$M28="W (Withdrawn)", GradeSheet!$M28="I (Incomplete)"), 0, IF(BC33&gt;=65%, 1, 0))</f>
        <v>0</v>
      </c>
      <c r="BP33" s="138">
        <f>IF(OR(GradeSheet!$M28="W (Withdrawn)", GradeSheet!$M28="I (Incomplete)"), 0, IF(BD33&gt;=65%, 1, 0))</f>
        <v>0</v>
      </c>
      <c r="BQ33" s="138">
        <f>IF(OR(GradeSheet!$M28="W (Withdrawn)", GradeSheet!$M28="I (Incomplete)"), 0, IF(BE33&gt;=65%, 1, 0))</f>
        <v>0</v>
      </c>
      <c r="BR33" s="138">
        <f>IF(OR(GradeSheet!$M28="W (Withdrawn)", GradeSheet!$M28="I (Incomplete)"), 0, IF(BF33&gt;=65%, 1, 0))</f>
        <v>0</v>
      </c>
    </row>
    <row r="34" spans="1:70" ht="15.75" customHeight="1">
      <c r="A34" s="140">
        <v>20</v>
      </c>
      <c r="B34" s="35">
        <f>GradeSheet!X29</f>
        <v>0</v>
      </c>
      <c r="C34" s="23">
        <f>GradeSheet!W29</f>
        <v>0</v>
      </c>
      <c r="D34" s="183">
        <v>0</v>
      </c>
      <c r="E34" s="183">
        <v>0</v>
      </c>
      <c r="F34" s="183">
        <v>0</v>
      </c>
      <c r="G34" s="183">
        <v>0</v>
      </c>
      <c r="H34" s="183">
        <v>0</v>
      </c>
      <c r="I34" s="183">
        <v>0</v>
      </c>
      <c r="J34" s="183">
        <v>0</v>
      </c>
      <c r="K34" s="183">
        <v>0</v>
      </c>
      <c r="L34" s="183">
        <v>0</v>
      </c>
      <c r="M34" s="183">
        <v>0</v>
      </c>
      <c r="N34" s="183">
        <v>0</v>
      </c>
      <c r="O34" s="183">
        <v>0</v>
      </c>
      <c r="P34" s="183">
        <v>0</v>
      </c>
      <c r="Q34" s="183">
        <v>0</v>
      </c>
      <c r="R34" s="183">
        <v>0</v>
      </c>
      <c r="S34" s="183">
        <v>0</v>
      </c>
      <c r="T34" s="183">
        <v>0</v>
      </c>
      <c r="U34" s="183">
        <v>0</v>
      </c>
      <c r="V34" s="183">
        <v>0</v>
      </c>
      <c r="W34" s="183">
        <v>0</v>
      </c>
      <c r="X34" s="183">
        <v>0</v>
      </c>
      <c r="Y34" s="183">
        <v>0</v>
      </c>
      <c r="Z34" s="183">
        <v>0</v>
      </c>
      <c r="AA34" s="183">
        <v>0</v>
      </c>
      <c r="AB34" s="135">
        <f t="shared" ref="AB34:AE34" si="52">SUM(V34,D34,J34, P34)</f>
        <v>0</v>
      </c>
      <c r="AC34" s="136">
        <f t="shared" si="52"/>
        <v>0</v>
      </c>
      <c r="AD34" s="136">
        <f t="shared" si="52"/>
        <v>0</v>
      </c>
      <c r="AE34" s="136">
        <f t="shared" si="52"/>
        <v>0</v>
      </c>
      <c r="AF34" s="136">
        <f t="shared" si="15"/>
        <v>0</v>
      </c>
      <c r="AG34" s="141">
        <f t="shared" si="16"/>
        <v>0</v>
      </c>
      <c r="AH34" s="137">
        <f t="shared" ref="AH34:AM34" si="53">IF(AB34 = 0, 0, AB34/AB$14)</f>
        <v>0</v>
      </c>
      <c r="AI34" s="137">
        <f t="shared" si="53"/>
        <v>0</v>
      </c>
      <c r="AJ34" s="137">
        <f t="shared" si="53"/>
        <v>0</v>
      </c>
      <c r="AK34" s="137">
        <f t="shared" si="53"/>
        <v>0</v>
      </c>
      <c r="AL34" s="137">
        <f t="shared" si="53"/>
        <v>0</v>
      </c>
      <c r="AM34" s="137">
        <f t="shared" si="53"/>
        <v>0</v>
      </c>
      <c r="AN34" s="138">
        <f>IF(OR(GradeSheet!$M29="W (Withdrawn)", GradeSheet!$M29="I (Incomplete)"), 0, IF(AH34&gt;=55%, 1, 0))</f>
        <v>0</v>
      </c>
      <c r="AO34" s="138">
        <f>IF(OR(GradeSheet!$M29="W (Withdrawn)", GradeSheet!$M29="I (Incomplete)"), 0, IF(AI34&gt;=55%, 1, 0))</f>
        <v>0</v>
      </c>
      <c r="AP34" s="138">
        <f>IF(OR(GradeSheet!$M29="W (Withdrawn)", GradeSheet!$M29="I (Incomplete)"), 0, IF(AJ34&gt;=55%, 1, 0))</f>
        <v>0</v>
      </c>
      <c r="AQ34" s="138">
        <f>IF(OR(GradeSheet!$M29="W (Withdrawn)", GradeSheet!$M29="I (Incomplete)"), 0, IF(AK34&gt;=55%, 1, 0))</f>
        <v>0</v>
      </c>
      <c r="AR34" s="138">
        <f>IF(OR(GradeSheet!$M29="W (Withdrawn)", GradeSheet!$M29="I (Incomplete)"), 0, IF(AL34&gt;=55%, 1, 0))</f>
        <v>0</v>
      </c>
      <c r="AS34" s="138">
        <f>IF(OR(GradeSheet!$M29="W (Withdrawn)", GradeSheet!$M29="I (Incomplete)"), 0, IF(AM34&gt;=55%, 1, 0))</f>
        <v>0</v>
      </c>
      <c r="AT34" s="118"/>
      <c r="AU34" s="139">
        <f t="shared" si="9"/>
        <v>0</v>
      </c>
      <c r="AV34" s="139">
        <f t="shared" si="10"/>
        <v>0</v>
      </c>
      <c r="AW34" s="139">
        <f t="array" ref="AW34">IF($AV$9=0,0,MMULT($AH34:$AM34, AV$3:AV$8)/$AV$9)</f>
        <v>0</v>
      </c>
      <c r="AX34" s="139">
        <f t="array" ref="AX34">IF($AW$9=0,0,MMULT($AH34:$AM34, AW$3:AW$8)/$AW$9)</f>
        <v>0</v>
      </c>
      <c r="AY34" s="139">
        <f t="shared" si="11"/>
        <v>0</v>
      </c>
      <c r="AZ34" s="139">
        <f t="array" ref="AZ34">IF($AY$9=0,0,MMULT($AH34:$AM34, AY$3:AY$8)/$AY$9)</f>
        <v>0</v>
      </c>
      <c r="BA34" s="139">
        <f t="array" ref="BA34">IF($AZ$9=0,0,MMULT($AH34:$AM34, AZ$3:AZ$8)/$AZ$9)</f>
        <v>0</v>
      </c>
      <c r="BB34" s="139">
        <f t="array" ref="BB34">IF($BA$9=0,0,MMULT($AH34:$AM34, BA$3:BA$8)/$BA$9)</f>
        <v>0</v>
      </c>
      <c r="BC34" s="139">
        <f t="array" ref="BC34">IF($BB$9=0,0,MMULT($AH34:$AM34, BB$3:BB$8)/$BB$9)</f>
        <v>0</v>
      </c>
      <c r="BD34" s="139">
        <f t="array" ref="BD34">IF($BC$9=0,0,MMULT($AH34:$AM34, BC$3:BC$8)/$BC$9)</f>
        <v>0</v>
      </c>
      <c r="BE34" s="139">
        <f t="shared" si="12"/>
        <v>0</v>
      </c>
      <c r="BF34" s="139">
        <f t="shared" si="13"/>
        <v>0</v>
      </c>
      <c r="BG34" s="138">
        <f>IF(OR(GradeSheet!$M29="W (Withdrawn)", GradeSheet!$M29="I (Incomplete)"), 0, IF(AU34&gt;=65%, 1, 0))</f>
        <v>0</v>
      </c>
      <c r="BH34" s="138">
        <f>IF(OR(GradeSheet!$M29="W (Withdrawn)", GradeSheet!$M29="I (Incomplete)"), 0, IF(AV34&gt;=65%, 1, 0))</f>
        <v>0</v>
      </c>
      <c r="BI34" s="138">
        <f>IF(OR(GradeSheet!$M29="W (Withdrawn)", GradeSheet!$M29="I (Incomplete)"), 0, IF(AW34&gt;=65%, 1, 0))</f>
        <v>0</v>
      </c>
      <c r="BJ34" s="138">
        <f>IF(OR(GradeSheet!$M29="W (Withdrawn)", GradeSheet!$M29="I (Incomplete)"), 0, IF(AX34&gt;=65%, 1, 0))</f>
        <v>0</v>
      </c>
      <c r="BK34" s="138">
        <f>IF(OR(GradeSheet!$M29="W (Withdrawn)", GradeSheet!$M29="I (Incomplete)"), 0, IF(AY34&gt;=65%, 1, 0))</f>
        <v>0</v>
      </c>
      <c r="BL34" s="138">
        <f>IF(OR(GradeSheet!$M29="W (Withdrawn)", GradeSheet!$M29="I (Incomplete)"), 0, IF(AZ34&gt;=65%, 1, 0))</f>
        <v>0</v>
      </c>
      <c r="BM34" s="138">
        <f>IF(OR(GradeSheet!$M29="W (Withdrawn)", GradeSheet!$M29="I (Incomplete)"), 0, IF(BA34&gt;=65%, 1, 0))</f>
        <v>0</v>
      </c>
      <c r="BN34" s="138">
        <f>IF(OR(GradeSheet!$M29="W (Withdrawn)", GradeSheet!$M29="I (Incomplete)"), 0, IF(BB34&gt;=65%, 1, 0))</f>
        <v>0</v>
      </c>
      <c r="BO34" s="138">
        <f>IF(OR(GradeSheet!$M29="W (Withdrawn)", GradeSheet!$M29="I (Incomplete)"), 0, IF(BC34&gt;=65%, 1, 0))</f>
        <v>0</v>
      </c>
      <c r="BP34" s="138">
        <f>IF(OR(GradeSheet!$M29="W (Withdrawn)", GradeSheet!$M29="I (Incomplete)"), 0, IF(BD34&gt;=65%, 1, 0))</f>
        <v>0</v>
      </c>
      <c r="BQ34" s="138">
        <f>IF(OR(GradeSheet!$M29="W (Withdrawn)", GradeSheet!$M29="I (Incomplete)"), 0, IF(BE34&gt;=65%, 1, 0))</f>
        <v>0</v>
      </c>
      <c r="BR34" s="138">
        <f>IF(OR(GradeSheet!$M29="W (Withdrawn)", GradeSheet!$M29="I (Incomplete)"), 0, IF(BF34&gt;=65%, 1, 0))</f>
        <v>0</v>
      </c>
    </row>
    <row r="35" spans="1:70" ht="15.75" customHeight="1">
      <c r="A35" s="134">
        <v>21</v>
      </c>
      <c r="B35" s="35">
        <f>GradeSheet!X30</f>
        <v>0</v>
      </c>
      <c r="C35" s="23">
        <f>GradeSheet!W30</f>
        <v>0</v>
      </c>
      <c r="D35" s="183">
        <v>0</v>
      </c>
      <c r="E35" s="183">
        <v>0</v>
      </c>
      <c r="F35" s="183">
        <v>0</v>
      </c>
      <c r="G35" s="183">
        <v>0</v>
      </c>
      <c r="H35" s="183">
        <v>0</v>
      </c>
      <c r="I35" s="183">
        <v>0</v>
      </c>
      <c r="J35" s="183">
        <v>0</v>
      </c>
      <c r="K35" s="183">
        <v>0</v>
      </c>
      <c r="L35" s="183">
        <v>0</v>
      </c>
      <c r="M35" s="183">
        <v>0</v>
      </c>
      <c r="N35" s="183">
        <v>0</v>
      </c>
      <c r="O35" s="183">
        <v>0</v>
      </c>
      <c r="P35" s="183">
        <v>0</v>
      </c>
      <c r="Q35" s="183">
        <v>0</v>
      </c>
      <c r="R35" s="183">
        <v>0</v>
      </c>
      <c r="S35" s="183">
        <v>0</v>
      </c>
      <c r="T35" s="183">
        <v>0</v>
      </c>
      <c r="U35" s="183">
        <v>0</v>
      </c>
      <c r="V35" s="183">
        <v>0</v>
      </c>
      <c r="W35" s="183">
        <v>0</v>
      </c>
      <c r="X35" s="183">
        <v>0</v>
      </c>
      <c r="Y35" s="183">
        <v>0</v>
      </c>
      <c r="Z35" s="183">
        <v>0</v>
      </c>
      <c r="AA35" s="183">
        <v>0</v>
      </c>
      <c r="AB35" s="135">
        <f t="shared" ref="AB35:AE35" si="54">SUM(V35,D35,J35, P35)</f>
        <v>0</v>
      </c>
      <c r="AC35" s="136">
        <f t="shared" si="54"/>
        <v>0</v>
      </c>
      <c r="AD35" s="136">
        <f t="shared" si="54"/>
        <v>0</v>
      </c>
      <c r="AE35" s="136">
        <f t="shared" si="54"/>
        <v>0</v>
      </c>
      <c r="AF35" s="136">
        <f t="shared" si="15"/>
        <v>0</v>
      </c>
      <c r="AG35" s="141">
        <f t="shared" si="16"/>
        <v>0</v>
      </c>
      <c r="AH35" s="137">
        <f t="shared" ref="AH35:AM35" si="55">IF(AB35 = 0, 0, AB35/AB$14)</f>
        <v>0</v>
      </c>
      <c r="AI35" s="137">
        <f t="shared" si="55"/>
        <v>0</v>
      </c>
      <c r="AJ35" s="137">
        <f t="shared" si="55"/>
        <v>0</v>
      </c>
      <c r="AK35" s="137">
        <f t="shared" si="55"/>
        <v>0</v>
      </c>
      <c r="AL35" s="137">
        <f t="shared" si="55"/>
        <v>0</v>
      </c>
      <c r="AM35" s="137">
        <f t="shared" si="55"/>
        <v>0</v>
      </c>
      <c r="AN35" s="138">
        <f>IF(OR(GradeSheet!$M30="W (Withdrawn)", GradeSheet!$M30="I (Incomplete)"), 0, IF(AH35&gt;=55%, 1, 0))</f>
        <v>0</v>
      </c>
      <c r="AO35" s="138">
        <f>IF(OR(GradeSheet!$M30="W (Withdrawn)", GradeSheet!$M30="I (Incomplete)"), 0, IF(AI35&gt;=55%, 1, 0))</f>
        <v>0</v>
      </c>
      <c r="AP35" s="138">
        <f>IF(OR(GradeSheet!$M30="W (Withdrawn)", GradeSheet!$M30="I (Incomplete)"), 0, IF(AJ35&gt;=55%, 1, 0))</f>
        <v>0</v>
      </c>
      <c r="AQ35" s="138">
        <f>IF(OR(GradeSheet!$M30="W (Withdrawn)", GradeSheet!$M30="I (Incomplete)"), 0, IF(AK35&gt;=55%, 1, 0))</f>
        <v>0</v>
      </c>
      <c r="AR35" s="138">
        <f>IF(OR(GradeSheet!$M30="W (Withdrawn)", GradeSheet!$M30="I (Incomplete)"), 0, IF(AL35&gt;=55%, 1, 0))</f>
        <v>0</v>
      </c>
      <c r="AS35" s="138">
        <f>IF(OR(GradeSheet!$M30="W (Withdrawn)", GradeSheet!$M30="I (Incomplete)"), 0, IF(AM35&gt;=55%, 1, 0))</f>
        <v>0</v>
      </c>
      <c r="AT35" s="118"/>
      <c r="AU35" s="139">
        <f t="shared" si="9"/>
        <v>0</v>
      </c>
      <c r="AV35" s="139">
        <f t="shared" si="10"/>
        <v>0</v>
      </c>
      <c r="AW35" s="139">
        <f t="array" ref="AW35">IF($AV$9=0,0,MMULT($AH35:$AM35, AV$3:AV$8)/$AV$9)</f>
        <v>0</v>
      </c>
      <c r="AX35" s="139">
        <f t="array" ref="AX35">IF($AW$9=0,0,MMULT($AH35:$AM35, AW$3:AW$8)/$AW$9)</f>
        <v>0</v>
      </c>
      <c r="AY35" s="139">
        <f t="shared" si="11"/>
        <v>0</v>
      </c>
      <c r="AZ35" s="139">
        <f t="array" ref="AZ35">IF($AY$9=0,0,MMULT($AH35:$AM35, AY$3:AY$8)/$AY$9)</f>
        <v>0</v>
      </c>
      <c r="BA35" s="139">
        <f t="array" ref="BA35">IF($AZ$9=0,0,MMULT($AH35:$AM35, AZ$3:AZ$8)/$AZ$9)</f>
        <v>0</v>
      </c>
      <c r="BB35" s="139">
        <f t="array" ref="BB35">IF($BA$9=0,0,MMULT($AH35:$AM35, BA$3:BA$8)/$BA$9)</f>
        <v>0</v>
      </c>
      <c r="BC35" s="139">
        <f t="array" ref="BC35">IF($BB$9=0,0,MMULT($AH35:$AM35, BB$3:BB$8)/$BB$9)</f>
        <v>0</v>
      </c>
      <c r="BD35" s="139">
        <f t="array" ref="BD35">IF($BC$9=0,0,MMULT($AH35:$AM35, BC$3:BC$8)/$BC$9)</f>
        <v>0</v>
      </c>
      <c r="BE35" s="139">
        <f t="shared" si="12"/>
        <v>0</v>
      </c>
      <c r="BF35" s="139">
        <f t="shared" si="13"/>
        <v>0</v>
      </c>
      <c r="BG35" s="138">
        <f>IF(OR(GradeSheet!$M30="W (Withdrawn)", GradeSheet!$M30="I (Incomplete)"), 0, IF(AU35&gt;=65%, 1, 0))</f>
        <v>0</v>
      </c>
      <c r="BH35" s="138">
        <f>IF(OR(GradeSheet!$M30="W (Withdrawn)", GradeSheet!$M30="I (Incomplete)"), 0, IF(AV35&gt;=65%, 1, 0))</f>
        <v>0</v>
      </c>
      <c r="BI35" s="138">
        <f>IF(OR(GradeSheet!$M30="W (Withdrawn)", GradeSheet!$M30="I (Incomplete)"), 0, IF(AW35&gt;=65%, 1, 0))</f>
        <v>0</v>
      </c>
      <c r="BJ35" s="138">
        <f>IF(OR(GradeSheet!$M30="W (Withdrawn)", GradeSheet!$M30="I (Incomplete)"), 0, IF(AX35&gt;=65%, 1, 0))</f>
        <v>0</v>
      </c>
      <c r="BK35" s="138">
        <f>IF(OR(GradeSheet!$M30="W (Withdrawn)", GradeSheet!$M30="I (Incomplete)"), 0, IF(AY35&gt;=65%, 1, 0))</f>
        <v>0</v>
      </c>
      <c r="BL35" s="138">
        <f>IF(OR(GradeSheet!$M30="W (Withdrawn)", GradeSheet!$M30="I (Incomplete)"), 0, IF(AZ35&gt;=65%, 1, 0))</f>
        <v>0</v>
      </c>
      <c r="BM35" s="138">
        <f>IF(OR(GradeSheet!$M30="W (Withdrawn)", GradeSheet!$M30="I (Incomplete)"), 0, IF(BA35&gt;=65%, 1, 0))</f>
        <v>0</v>
      </c>
      <c r="BN35" s="138">
        <f>IF(OR(GradeSheet!$M30="W (Withdrawn)", GradeSheet!$M30="I (Incomplete)"), 0, IF(BB35&gt;=65%, 1, 0))</f>
        <v>0</v>
      </c>
      <c r="BO35" s="138">
        <f>IF(OR(GradeSheet!$M30="W (Withdrawn)", GradeSheet!$M30="I (Incomplete)"), 0, IF(BC35&gt;=65%, 1, 0))</f>
        <v>0</v>
      </c>
      <c r="BP35" s="138">
        <f>IF(OR(GradeSheet!$M30="W (Withdrawn)", GradeSheet!$M30="I (Incomplete)"), 0, IF(BD35&gt;=65%, 1, 0))</f>
        <v>0</v>
      </c>
      <c r="BQ35" s="138">
        <f>IF(OR(GradeSheet!$M30="W (Withdrawn)", GradeSheet!$M30="I (Incomplete)"), 0, IF(BE35&gt;=65%, 1, 0))</f>
        <v>0</v>
      </c>
      <c r="BR35" s="138">
        <f>IF(OR(GradeSheet!$M30="W (Withdrawn)", GradeSheet!$M30="I (Incomplete)"), 0, IF(BF35&gt;=65%, 1, 0))</f>
        <v>0</v>
      </c>
    </row>
    <row r="36" spans="1:70" ht="15.75" customHeight="1">
      <c r="A36" s="140">
        <v>22</v>
      </c>
      <c r="B36" s="35">
        <f>GradeSheet!X31</f>
        <v>0</v>
      </c>
      <c r="C36" s="23">
        <f>GradeSheet!W31</f>
        <v>0</v>
      </c>
      <c r="D36" s="183">
        <v>0</v>
      </c>
      <c r="E36" s="183">
        <v>0</v>
      </c>
      <c r="F36" s="183">
        <v>0</v>
      </c>
      <c r="G36" s="183">
        <v>0</v>
      </c>
      <c r="H36" s="183">
        <v>0</v>
      </c>
      <c r="I36" s="183">
        <v>0</v>
      </c>
      <c r="J36" s="183">
        <v>0</v>
      </c>
      <c r="K36" s="183">
        <v>0</v>
      </c>
      <c r="L36" s="183">
        <v>0</v>
      </c>
      <c r="M36" s="183">
        <v>0</v>
      </c>
      <c r="N36" s="183">
        <v>0</v>
      </c>
      <c r="O36" s="183">
        <v>0</v>
      </c>
      <c r="P36" s="183">
        <v>0</v>
      </c>
      <c r="Q36" s="183">
        <v>0</v>
      </c>
      <c r="R36" s="183">
        <v>0</v>
      </c>
      <c r="S36" s="183">
        <v>0</v>
      </c>
      <c r="T36" s="183">
        <v>0</v>
      </c>
      <c r="U36" s="183">
        <v>0</v>
      </c>
      <c r="V36" s="183">
        <v>0</v>
      </c>
      <c r="W36" s="183">
        <v>0</v>
      </c>
      <c r="X36" s="183">
        <v>0</v>
      </c>
      <c r="Y36" s="183">
        <v>0</v>
      </c>
      <c r="Z36" s="183">
        <v>0</v>
      </c>
      <c r="AA36" s="183">
        <v>0</v>
      </c>
      <c r="AB36" s="135">
        <f t="shared" ref="AB36:AE36" si="56">SUM(V36,D36,J36, P36)</f>
        <v>0</v>
      </c>
      <c r="AC36" s="136">
        <f t="shared" si="56"/>
        <v>0</v>
      </c>
      <c r="AD36" s="136">
        <f t="shared" si="56"/>
        <v>0</v>
      </c>
      <c r="AE36" s="136">
        <f t="shared" si="56"/>
        <v>0</v>
      </c>
      <c r="AF36" s="136">
        <f t="shared" si="15"/>
        <v>0</v>
      </c>
      <c r="AG36" s="141">
        <f t="shared" si="16"/>
        <v>0</v>
      </c>
      <c r="AH36" s="137">
        <f t="shared" ref="AH36:AM36" si="57">IF(AB36 = 0, 0, AB36/AB$14)</f>
        <v>0</v>
      </c>
      <c r="AI36" s="137">
        <f t="shared" si="57"/>
        <v>0</v>
      </c>
      <c r="AJ36" s="137">
        <f t="shared" si="57"/>
        <v>0</v>
      </c>
      <c r="AK36" s="137">
        <f t="shared" si="57"/>
        <v>0</v>
      </c>
      <c r="AL36" s="137">
        <f t="shared" si="57"/>
        <v>0</v>
      </c>
      <c r="AM36" s="137">
        <f t="shared" si="57"/>
        <v>0</v>
      </c>
      <c r="AN36" s="138">
        <f>IF(OR(GradeSheet!$M31="W (Withdrawn)", GradeSheet!$M31="I (Incomplete)"), 0, IF(AH36&gt;=55%, 1, 0))</f>
        <v>0</v>
      </c>
      <c r="AO36" s="138">
        <f>IF(OR(GradeSheet!$M31="W (Withdrawn)", GradeSheet!$M31="I (Incomplete)"), 0, IF(AI36&gt;=55%, 1, 0))</f>
        <v>0</v>
      </c>
      <c r="AP36" s="138">
        <f>IF(OR(GradeSheet!$M31="W (Withdrawn)", GradeSheet!$M31="I (Incomplete)"), 0, IF(AJ36&gt;=55%, 1, 0))</f>
        <v>0</v>
      </c>
      <c r="AQ36" s="138">
        <f>IF(OR(GradeSheet!$M31="W (Withdrawn)", GradeSheet!$M31="I (Incomplete)"), 0, IF(AK36&gt;=55%, 1, 0))</f>
        <v>0</v>
      </c>
      <c r="AR36" s="138">
        <f>IF(OR(GradeSheet!$M31="W (Withdrawn)", GradeSheet!$M31="I (Incomplete)"), 0, IF(AL36&gt;=55%, 1, 0))</f>
        <v>0</v>
      </c>
      <c r="AS36" s="138">
        <f>IF(OR(GradeSheet!$M31="W (Withdrawn)", GradeSheet!$M31="I (Incomplete)"), 0, IF(AM36&gt;=55%, 1, 0))</f>
        <v>0</v>
      </c>
      <c r="AT36" s="118"/>
      <c r="AU36" s="139">
        <f t="shared" si="9"/>
        <v>0</v>
      </c>
      <c r="AV36" s="139">
        <f t="shared" si="10"/>
        <v>0</v>
      </c>
      <c r="AW36" s="139">
        <f t="array" ref="AW36">IF($AV$9=0,0,MMULT($AH36:$AM36, AV$3:AV$8)/$AV$9)</f>
        <v>0</v>
      </c>
      <c r="AX36" s="139">
        <f t="array" ref="AX36">IF($AW$9=0,0,MMULT($AH36:$AM36, AW$3:AW$8)/$AW$9)</f>
        <v>0</v>
      </c>
      <c r="AY36" s="139">
        <f t="shared" si="11"/>
        <v>0</v>
      </c>
      <c r="AZ36" s="139">
        <f t="array" ref="AZ36">IF($AY$9=0,0,MMULT($AH36:$AM36, AY$3:AY$8)/$AY$9)</f>
        <v>0</v>
      </c>
      <c r="BA36" s="139">
        <f t="array" ref="BA36">IF($AZ$9=0,0,MMULT($AH36:$AM36, AZ$3:AZ$8)/$AZ$9)</f>
        <v>0</v>
      </c>
      <c r="BB36" s="139">
        <f t="array" ref="BB36">IF($BA$9=0,0,MMULT($AH36:$AM36, BA$3:BA$8)/$BA$9)</f>
        <v>0</v>
      </c>
      <c r="BC36" s="139">
        <f t="array" ref="BC36">IF($BB$9=0,0,MMULT($AH36:$AM36, BB$3:BB$8)/$BB$9)</f>
        <v>0</v>
      </c>
      <c r="BD36" s="139">
        <f t="array" ref="BD36">IF($BC$9=0,0,MMULT($AH36:$AM36, BC$3:BC$8)/$BC$9)</f>
        <v>0</v>
      </c>
      <c r="BE36" s="139">
        <f t="shared" si="12"/>
        <v>0</v>
      </c>
      <c r="BF36" s="139">
        <f t="shared" si="13"/>
        <v>0</v>
      </c>
      <c r="BG36" s="138">
        <f>IF(OR(GradeSheet!$M31="W (Withdrawn)", GradeSheet!$M31="I (Incomplete)"), 0, IF(AU36&gt;=65%, 1, 0))</f>
        <v>0</v>
      </c>
      <c r="BH36" s="138">
        <f>IF(OR(GradeSheet!$M31="W (Withdrawn)", GradeSheet!$M31="I (Incomplete)"), 0, IF(AV36&gt;=65%, 1, 0))</f>
        <v>0</v>
      </c>
      <c r="BI36" s="138">
        <f>IF(OR(GradeSheet!$M31="W (Withdrawn)", GradeSheet!$M31="I (Incomplete)"), 0, IF(AW36&gt;=65%, 1, 0))</f>
        <v>0</v>
      </c>
      <c r="BJ36" s="138">
        <f>IF(OR(GradeSheet!$M31="W (Withdrawn)", GradeSheet!$M31="I (Incomplete)"), 0, IF(AX36&gt;=65%, 1, 0))</f>
        <v>0</v>
      </c>
      <c r="BK36" s="138">
        <f>IF(OR(GradeSheet!$M31="W (Withdrawn)", GradeSheet!$M31="I (Incomplete)"), 0, IF(AY36&gt;=65%, 1, 0))</f>
        <v>0</v>
      </c>
      <c r="BL36" s="138">
        <f>IF(OR(GradeSheet!$M31="W (Withdrawn)", GradeSheet!$M31="I (Incomplete)"), 0, IF(AZ36&gt;=65%, 1, 0))</f>
        <v>0</v>
      </c>
      <c r="BM36" s="138">
        <f>IF(OR(GradeSheet!$M31="W (Withdrawn)", GradeSheet!$M31="I (Incomplete)"), 0, IF(BA36&gt;=65%, 1, 0))</f>
        <v>0</v>
      </c>
      <c r="BN36" s="138">
        <f>IF(OR(GradeSheet!$M31="W (Withdrawn)", GradeSheet!$M31="I (Incomplete)"), 0, IF(BB36&gt;=65%, 1, 0))</f>
        <v>0</v>
      </c>
      <c r="BO36" s="138">
        <f>IF(OR(GradeSheet!$M31="W (Withdrawn)", GradeSheet!$M31="I (Incomplete)"), 0, IF(BC36&gt;=65%, 1, 0))</f>
        <v>0</v>
      </c>
      <c r="BP36" s="138">
        <f>IF(OR(GradeSheet!$M31="W (Withdrawn)", GradeSheet!$M31="I (Incomplete)"), 0, IF(BD36&gt;=65%, 1, 0))</f>
        <v>0</v>
      </c>
      <c r="BQ36" s="138">
        <f>IF(OR(GradeSheet!$M31="W (Withdrawn)", GradeSheet!$M31="I (Incomplete)"), 0, IF(BE36&gt;=65%, 1, 0))</f>
        <v>0</v>
      </c>
      <c r="BR36" s="138">
        <f>IF(OR(GradeSheet!$M31="W (Withdrawn)", GradeSheet!$M31="I (Incomplete)"), 0, IF(BF36&gt;=65%, 1, 0))</f>
        <v>0</v>
      </c>
    </row>
    <row r="37" spans="1:70" ht="15.75" customHeight="1">
      <c r="A37" s="134">
        <v>23</v>
      </c>
      <c r="B37" s="35">
        <f>GradeSheet!X32</f>
        <v>0</v>
      </c>
      <c r="C37" s="23">
        <f>GradeSheet!W32</f>
        <v>0</v>
      </c>
      <c r="D37" s="183">
        <v>0</v>
      </c>
      <c r="E37" s="183">
        <v>0</v>
      </c>
      <c r="F37" s="183">
        <v>0</v>
      </c>
      <c r="G37" s="183">
        <v>0</v>
      </c>
      <c r="H37" s="183">
        <v>0</v>
      </c>
      <c r="I37" s="183">
        <v>0</v>
      </c>
      <c r="J37" s="183">
        <v>0</v>
      </c>
      <c r="K37" s="183">
        <v>0</v>
      </c>
      <c r="L37" s="183">
        <v>0</v>
      </c>
      <c r="M37" s="183">
        <v>0</v>
      </c>
      <c r="N37" s="183">
        <v>0</v>
      </c>
      <c r="O37" s="183">
        <v>0</v>
      </c>
      <c r="P37" s="183">
        <v>0</v>
      </c>
      <c r="Q37" s="183">
        <v>0</v>
      </c>
      <c r="R37" s="183">
        <v>0</v>
      </c>
      <c r="S37" s="183">
        <v>0</v>
      </c>
      <c r="T37" s="183">
        <v>0</v>
      </c>
      <c r="U37" s="183">
        <v>0</v>
      </c>
      <c r="V37" s="183">
        <v>0</v>
      </c>
      <c r="W37" s="183">
        <v>0</v>
      </c>
      <c r="X37" s="183">
        <v>0</v>
      </c>
      <c r="Y37" s="183">
        <v>0</v>
      </c>
      <c r="Z37" s="183">
        <v>0</v>
      </c>
      <c r="AA37" s="183">
        <v>0</v>
      </c>
      <c r="AB37" s="135">
        <f t="shared" ref="AB37:AE37" si="58">SUM(V37,D37,J37, P37)</f>
        <v>0</v>
      </c>
      <c r="AC37" s="136">
        <f t="shared" si="58"/>
        <v>0</v>
      </c>
      <c r="AD37" s="136">
        <f t="shared" si="58"/>
        <v>0</v>
      </c>
      <c r="AE37" s="136">
        <f t="shared" si="58"/>
        <v>0</v>
      </c>
      <c r="AF37" s="136">
        <f t="shared" si="15"/>
        <v>0</v>
      </c>
      <c r="AG37" s="141">
        <f t="shared" si="16"/>
        <v>0</v>
      </c>
      <c r="AH37" s="137">
        <f t="shared" ref="AH37:AM37" si="59">IF(AB37 = 0, 0, AB37/AB$14)</f>
        <v>0</v>
      </c>
      <c r="AI37" s="137">
        <f t="shared" si="59"/>
        <v>0</v>
      </c>
      <c r="AJ37" s="137">
        <f t="shared" si="59"/>
        <v>0</v>
      </c>
      <c r="AK37" s="137">
        <f t="shared" si="59"/>
        <v>0</v>
      </c>
      <c r="AL37" s="137">
        <f t="shared" si="59"/>
        <v>0</v>
      </c>
      <c r="AM37" s="137">
        <f t="shared" si="59"/>
        <v>0</v>
      </c>
      <c r="AN37" s="138">
        <f>IF(OR(GradeSheet!$M32="W (Withdrawn)", GradeSheet!$M32="I (Incomplete)"), 0, IF(AH37&gt;=55%, 1, 0))</f>
        <v>0</v>
      </c>
      <c r="AO37" s="138">
        <f>IF(OR(GradeSheet!$M32="W (Withdrawn)", GradeSheet!$M32="I (Incomplete)"), 0, IF(AI37&gt;=55%, 1, 0))</f>
        <v>0</v>
      </c>
      <c r="AP37" s="138">
        <f>IF(OR(GradeSheet!$M32="W (Withdrawn)", GradeSheet!$M32="I (Incomplete)"), 0, IF(AJ37&gt;=55%, 1, 0))</f>
        <v>0</v>
      </c>
      <c r="AQ37" s="138">
        <f>IF(OR(GradeSheet!$M32="W (Withdrawn)", GradeSheet!$M32="I (Incomplete)"), 0, IF(AK37&gt;=55%, 1, 0))</f>
        <v>0</v>
      </c>
      <c r="AR37" s="138">
        <f>IF(OR(GradeSheet!$M32="W (Withdrawn)", GradeSheet!$M32="I (Incomplete)"), 0, IF(AL37&gt;=55%, 1, 0))</f>
        <v>0</v>
      </c>
      <c r="AS37" s="138">
        <f>IF(OR(GradeSheet!$M32="W (Withdrawn)", GradeSheet!$M32="I (Incomplete)"), 0, IF(AM37&gt;=55%, 1, 0))</f>
        <v>0</v>
      </c>
      <c r="AT37" s="118"/>
      <c r="AU37" s="139">
        <f t="shared" si="9"/>
        <v>0</v>
      </c>
      <c r="AV37" s="139">
        <f t="shared" si="10"/>
        <v>0</v>
      </c>
      <c r="AW37" s="139">
        <f t="array" ref="AW37">IF($AV$9=0,0,MMULT($AH37:$AM37, AV$3:AV$8)/$AV$9)</f>
        <v>0</v>
      </c>
      <c r="AX37" s="139">
        <f t="array" ref="AX37">IF($AW$9=0,0,MMULT($AH37:$AM37, AW$3:AW$8)/$AW$9)</f>
        <v>0</v>
      </c>
      <c r="AY37" s="139">
        <f t="shared" si="11"/>
        <v>0</v>
      </c>
      <c r="AZ37" s="139">
        <f t="array" ref="AZ37">IF($AY$9=0,0,MMULT($AH37:$AM37, AY$3:AY$8)/$AY$9)</f>
        <v>0</v>
      </c>
      <c r="BA37" s="139">
        <f t="array" ref="BA37">IF($AZ$9=0,0,MMULT($AH37:$AM37, AZ$3:AZ$8)/$AZ$9)</f>
        <v>0</v>
      </c>
      <c r="BB37" s="139">
        <f t="array" ref="BB37">IF($BA$9=0,0,MMULT($AH37:$AM37, BA$3:BA$8)/$BA$9)</f>
        <v>0</v>
      </c>
      <c r="BC37" s="139">
        <f t="array" ref="BC37">IF($BB$9=0,0,MMULT($AH37:$AM37, BB$3:BB$8)/$BB$9)</f>
        <v>0</v>
      </c>
      <c r="BD37" s="139">
        <f t="array" ref="BD37">IF($BC$9=0,0,MMULT($AH37:$AM37, BC$3:BC$8)/$BC$9)</f>
        <v>0</v>
      </c>
      <c r="BE37" s="139">
        <f t="shared" si="12"/>
        <v>0</v>
      </c>
      <c r="BF37" s="139">
        <f t="shared" si="13"/>
        <v>0</v>
      </c>
      <c r="BG37" s="138">
        <f>IF(OR(GradeSheet!$M32="W (Withdrawn)", GradeSheet!$M32="I (Incomplete)"), 0, IF(AU37&gt;=65%, 1, 0))</f>
        <v>0</v>
      </c>
      <c r="BH37" s="138">
        <f>IF(OR(GradeSheet!$M32="W (Withdrawn)", GradeSheet!$M32="I (Incomplete)"), 0, IF(AV37&gt;=65%, 1, 0))</f>
        <v>0</v>
      </c>
      <c r="BI37" s="138">
        <f>IF(OR(GradeSheet!$M32="W (Withdrawn)", GradeSheet!$M32="I (Incomplete)"), 0, IF(AW37&gt;=65%, 1, 0))</f>
        <v>0</v>
      </c>
      <c r="BJ37" s="138">
        <f>IF(OR(GradeSheet!$M32="W (Withdrawn)", GradeSheet!$M32="I (Incomplete)"), 0, IF(AX37&gt;=65%, 1, 0))</f>
        <v>0</v>
      </c>
      <c r="BK37" s="138">
        <f>IF(OR(GradeSheet!$M32="W (Withdrawn)", GradeSheet!$M32="I (Incomplete)"), 0, IF(AY37&gt;=65%, 1, 0))</f>
        <v>0</v>
      </c>
      <c r="BL37" s="138">
        <f>IF(OR(GradeSheet!$M32="W (Withdrawn)", GradeSheet!$M32="I (Incomplete)"), 0, IF(AZ37&gt;=65%, 1, 0))</f>
        <v>0</v>
      </c>
      <c r="BM37" s="138">
        <f>IF(OR(GradeSheet!$M32="W (Withdrawn)", GradeSheet!$M32="I (Incomplete)"), 0, IF(BA37&gt;=65%, 1, 0))</f>
        <v>0</v>
      </c>
      <c r="BN37" s="138">
        <f>IF(OR(GradeSheet!$M32="W (Withdrawn)", GradeSheet!$M32="I (Incomplete)"), 0, IF(BB37&gt;=65%, 1, 0))</f>
        <v>0</v>
      </c>
      <c r="BO37" s="138">
        <f>IF(OR(GradeSheet!$M32="W (Withdrawn)", GradeSheet!$M32="I (Incomplete)"), 0, IF(BC37&gt;=65%, 1, 0))</f>
        <v>0</v>
      </c>
      <c r="BP37" s="138">
        <f>IF(OR(GradeSheet!$M32="W (Withdrawn)", GradeSheet!$M32="I (Incomplete)"), 0, IF(BD37&gt;=65%, 1, 0))</f>
        <v>0</v>
      </c>
      <c r="BQ37" s="138">
        <f>IF(OR(GradeSheet!$M32="W (Withdrawn)", GradeSheet!$M32="I (Incomplete)"), 0, IF(BE37&gt;=65%, 1, 0))</f>
        <v>0</v>
      </c>
      <c r="BR37" s="138">
        <f>IF(OR(GradeSheet!$M32="W (Withdrawn)", GradeSheet!$M32="I (Incomplete)"), 0, IF(BF37&gt;=65%, 1, 0))</f>
        <v>0</v>
      </c>
    </row>
    <row r="38" spans="1:70" ht="15.75" customHeight="1">
      <c r="A38" s="140">
        <v>24</v>
      </c>
      <c r="B38" s="35">
        <f>GradeSheet!X33</f>
        <v>0</v>
      </c>
      <c r="C38" s="23">
        <f>GradeSheet!W33</f>
        <v>0</v>
      </c>
      <c r="D38" s="183">
        <v>0</v>
      </c>
      <c r="E38" s="183">
        <v>0</v>
      </c>
      <c r="F38" s="183">
        <v>0</v>
      </c>
      <c r="G38" s="183">
        <v>0</v>
      </c>
      <c r="H38" s="183">
        <v>0</v>
      </c>
      <c r="I38" s="183">
        <v>0</v>
      </c>
      <c r="J38" s="183">
        <v>0</v>
      </c>
      <c r="K38" s="183">
        <v>0</v>
      </c>
      <c r="L38" s="183">
        <v>0</v>
      </c>
      <c r="M38" s="183">
        <v>0</v>
      </c>
      <c r="N38" s="183">
        <v>0</v>
      </c>
      <c r="O38" s="183">
        <v>0</v>
      </c>
      <c r="P38" s="183">
        <v>0</v>
      </c>
      <c r="Q38" s="183">
        <v>0</v>
      </c>
      <c r="R38" s="183">
        <v>0</v>
      </c>
      <c r="S38" s="183">
        <v>0</v>
      </c>
      <c r="T38" s="183">
        <v>0</v>
      </c>
      <c r="U38" s="183">
        <v>0</v>
      </c>
      <c r="V38" s="183">
        <v>0</v>
      </c>
      <c r="W38" s="183">
        <v>0</v>
      </c>
      <c r="X38" s="183">
        <v>0</v>
      </c>
      <c r="Y38" s="183">
        <v>0</v>
      </c>
      <c r="Z38" s="183">
        <v>0</v>
      </c>
      <c r="AA38" s="183">
        <v>0</v>
      </c>
      <c r="AB38" s="135">
        <f t="shared" ref="AB38:AE38" si="60">SUM(V38,D38,J38, P38)</f>
        <v>0</v>
      </c>
      <c r="AC38" s="136">
        <f t="shared" si="60"/>
        <v>0</v>
      </c>
      <c r="AD38" s="136">
        <f t="shared" si="60"/>
        <v>0</v>
      </c>
      <c r="AE38" s="136">
        <f t="shared" si="60"/>
        <v>0</v>
      </c>
      <c r="AF38" s="136">
        <f t="shared" si="15"/>
        <v>0</v>
      </c>
      <c r="AG38" s="141">
        <f t="shared" si="16"/>
        <v>0</v>
      </c>
      <c r="AH38" s="137">
        <f t="shared" ref="AH38:AM38" si="61">IF(AB38 = 0, 0, AB38/AB$14)</f>
        <v>0</v>
      </c>
      <c r="AI38" s="137">
        <f t="shared" si="61"/>
        <v>0</v>
      </c>
      <c r="AJ38" s="137">
        <f t="shared" si="61"/>
        <v>0</v>
      </c>
      <c r="AK38" s="137">
        <f t="shared" si="61"/>
        <v>0</v>
      </c>
      <c r="AL38" s="137">
        <f t="shared" si="61"/>
        <v>0</v>
      </c>
      <c r="AM38" s="137">
        <f t="shared" si="61"/>
        <v>0</v>
      </c>
      <c r="AN38" s="138">
        <f>IF(OR(GradeSheet!$M33="W (Withdrawn)", GradeSheet!$M33="I (Incomplete)"), 0, IF(AH38&gt;=55%, 1, 0))</f>
        <v>0</v>
      </c>
      <c r="AO38" s="138">
        <f>IF(OR(GradeSheet!$M33="W (Withdrawn)", GradeSheet!$M33="I (Incomplete)"), 0, IF(AI38&gt;=55%, 1, 0))</f>
        <v>0</v>
      </c>
      <c r="AP38" s="138">
        <f>IF(OR(GradeSheet!$M33="W (Withdrawn)", GradeSheet!$M33="I (Incomplete)"), 0, IF(AJ38&gt;=55%, 1, 0))</f>
        <v>0</v>
      </c>
      <c r="AQ38" s="138">
        <f>IF(OR(GradeSheet!$M33="W (Withdrawn)", GradeSheet!$M33="I (Incomplete)"), 0, IF(AK38&gt;=55%, 1, 0))</f>
        <v>0</v>
      </c>
      <c r="AR38" s="138">
        <f>IF(OR(GradeSheet!$M33="W (Withdrawn)", GradeSheet!$M33="I (Incomplete)"), 0, IF(AL38&gt;=55%, 1, 0))</f>
        <v>0</v>
      </c>
      <c r="AS38" s="138">
        <f>IF(OR(GradeSheet!$M33="W (Withdrawn)", GradeSheet!$M33="I (Incomplete)"), 0, IF(AM38&gt;=55%, 1, 0))</f>
        <v>0</v>
      </c>
      <c r="AT38" s="118"/>
      <c r="AU38" s="139">
        <f t="shared" si="9"/>
        <v>0</v>
      </c>
      <c r="AV38" s="139">
        <f t="shared" si="10"/>
        <v>0</v>
      </c>
      <c r="AW38" s="139">
        <f t="array" ref="AW38">IF($AV$9=0,0,MMULT($AH38:$AM38, AV$3:AV$8)/$AV$9)</f>
        <v>0</v>
      </c>
      <c r="AX38" s="139">
        <f t="array" ref="AX38">IF($AW$9=0,0,MMULT($AH38:$AM38, AW$3:AW$8)/$AW$9)</f>
        <v>0</v>
      </c>
      <c r="AY38" s="139">
        <f t="shared" si="11"/>
        <v>0</v>
      </c>
      <c r="AZ38" s="139">
        <f t="array" ref="AZ38">IF($AY$9=0,0,MMULT($AH38:$AM38, AY$3:AY$8)/$AY$9)</f>
        <v>0</v>
      </c>
      <c r="BA38" s="139">
        <f t="array" ref="BA38">IF($AZ$9=0,0,MMULT($AH38:$AM38, AZ$3:AZ$8)/$AZ$9)</f>
        <v>0</v>
      </c>
      <c r="BB38" s="139">
        <f t="array" ref="BB38">IF($BA$9=0,0,MMULT($AH38:$AM38, BA$3:BA$8)/$BA$9)</f>
        <v>0</v>
      </c>
      <c r="BC38" s="139">
        <f t="array" ref="BC38">IF($BB$9=0,0,MMULT($AH38:$AM38, BB$3:BB$8)/$BB$9)</f>
        <v>0</v>
      </c>
      <c r="BD38" s="139">
        <f t="array" ref="BD38">IF($BC$9=0,0,MMULT($AH38:$AM38, BC$3:BC$8)/$BC$9)</f>
        <v>0</v>
      </c>
      <c r="BE38" s="139">
        <f t="shared" si="12"/>
        <v>0</v>
      </c>
      <c r="BF38" s="139">
        <f t="shared" si="13"/>
        <v>0</v>
      </c>
      <c r="BG38" s="138">
        <f>IF(OR(GradeSheet!$M33="W (Withdrawn)", GradeSheet!$M33="I (Incomplete)"), 0, IF(AU38&gt;=65%, 1, 0))</f>
        <v>0</v>
      </c>
      <c r="BH38" s="138">
        <f>IF(OR(GradeSheet!$M33="W (Withdrawn)", GradeSheet!$M33="I (Incomplete)"), 0, IF(AV38&gt;=65%, 1, 0))</f>
        <v>0</v>
      </c>
      <c r="BI38" s="138">
        <f>IF(OR(GradeSheet!$M33="W (Withdrawn)", GradeSheet!$M33="I (Incomplete)"), 0, IF(AW38&gt;=65%, 1, 0))</f>
        <v>0</v>
      </c>
      <c r="BJ38" s="138">
        <f>IF(OR(GradeSheet!$M33="W (Withdrawn)", GradeSheet!$M33="I (Incomplete)"), 0, IF(AX38&gt;=65%, 1, 0))</f>
        <v>0</v>
      </c>
      <c r="BK38" s="138">
        <f>IF(OR(GradeSheet!$M33="W (Withdrawn)", GradeSheet!$M33="I (Incomplete)"), 0, IF(AY38&gt;=65%, 1, 0))</f>
        <v>0</v>
      </c>
      <c r="BL38" s="138">
        <f>IF(OR(GradeSheet!$M33="W (Withdrawn)", GradeSheet!$M33="I (Incomplete)"), 0, IF(AZ38&gt;=65%, 1, 0))</f>
        <v>0</v>
      </c>
      <c r="BM38" s="138">
        <f>IF(OR(GradeSheet!$M33="W (Withdrawn)", GradeSheet!$M33="I (Incomplete)"), 0, IF(BA38&gt;=65%, 1, 0))</f>
        <v>0</v>
      </c>
      <c r="BN38" s="138">
        <f>IF(OR(GradeSheet!$M33="W (Withdrawn)", GradeSheet!$M33="I (Incomplete)"), 0, IF(BB38&gt;=65%, 1, 0))</f>
        <v>0</v>
      </c>
      <c r="BO38" s="138">
        <f>IF(OR(GradeSheet!$M33="W (Withdrawn)", GradeSheet!$M33="I (Incomplete)"), 0, IF(BC38&gt;=65%, 1, 0))</f>
        <v>0</v>
      </c>
      <c r="BP38" s="138">
        <f>IF(OR(GradeSheet!$M33="W (Withdrawn)", GradeSheet!$M33="I (Incomplete)"), 0, IF(BD38&gt;=65%, 1, 0))</f>
        <v>0</v>
      </c>
      <c r="BQ38" s="138">
        <f>IF(OR(GradeSheet!$M33="W (Withdrawn)", GradeSheet!$M33="I (Incomplete)"), 0, IF(BE38&gt;=65%, 1, 0))</f>
        <v>0</v>
      </c>
      <c r="BR38" s="138">
        <f>IF(OR(GradeSheet!$M33="W (Withdrawn)", GradeSheet!$M33="I (Incomplete)"), 0, IF(BF38&gt;=65%, 1, 0))</f>
        <v>0</v>
      </c>
    </row>
    <row r="39" spans="1:70" ht="15.75" customHeight="1">
      <c r="A39" s="134">
        <v>25</v>
      </c>
      <c r="B39" s="35">
        <f>GradeSheet!X34</f>
        <v>0</v>
      </c>
      <c r="C39" s="23">
        <f>GradeSheet!W34</f>
        <v>0</v>
      </c>
      <c r="D39" s="183">
        <v>0</v>
      </c>
      <c r="E39" s="183">
        <v>0</v>
      </c>
      <c r="F39" s="183">
        <v>0</v>
      </c>
      <c r="G39" s="183">
        <v>0</v>
      </c>
      <c r="H39" s="183">
        <v>0</v>
      </c>
      <c r="I39" s="183">
        <v>0</v>
      </c>
      <c r="J39" s="183">
        <v>0</v>
      </c>
      <c r="K39" s="183">
        <v>0</v>
      </c>
      <c r="L39" s="183">
        <v>0</v>
      </c>
      <c r="M39" s="183">
        <v>0</v>
      </c>
      <c r="N39" s="183">
        <v>0</v>
      </c>
      <c r="O39" s="183">
        <v>0</v>
      </c>
      <c r="P39" s="183">
        <v>0</v>
      </c>
      <c r="Q39" s="183">
        <v>0</v>
      </c>
      <c r="R39" s="183">
        <v>0</v>
      </c>
      <c r="S39" s="183">
        <v>0</v>
      </c>
      <c r="T39" s="183">
        <v>0</v>
      </c>
      <c r="U39" s="183">
        <v>0</v>
      </c>
      <c r="V39" s="183">
        <v>0</v>
      </c>
      <c r="W39" s="183">
        <v>0</v>
      </c>
      <c r="X39" s="183">
        <v>0</v>
      </c>
      <c r="Y39" s="183">
        <v>0</v>
      </c>
      <c r="Z39" s="183">
        <v>0</v>
      </c>
      <c r="AA39" s="183">
        <v>0</v>
      </c>
      <c r="AB39" s="135">
        <f t="shared" ref="AB39:AE39" si="62">SUM(V39,D39,J39, P39)</f>
        <v>0</v>
      </c>
      <c r="AC39" s="136">
        <f t="shared" si="62"/>
        <v>0</v>
      </c>
      <c r="AD39" s="136">
        <f t="shared" si="62"/>
        <v>0</v>
      </c>
      <c r="AE39" s="136">
        <f t="shared" si="62"/>
        <v>0</v>
      </c>
      <c r="AF39" s="136">
        <f t="shared" si="15"/>
        <v>0</v>
      </c>
      <c r="AG39" s="141">
        <f t="shared" si="16"/>
        <v>0</v>
      </c>
      <c r="AH39" s="137">
        <f t="shared" ref="AH39:AM39" si="63">IF(AB39 = 0, 0, AB39/AB$14)</f>
        <v>0</v>
      </c>
      <c r="AI39" s="137">
        <f t="shared" si="63"/>
        <v>0</v>
      </c>
      <c r="AJ39" s="137">
        <f t="shared" si="63"/>
        <v>0</v>
      </c>
      <c r="AK39" s="137">
        <f t="shared" si="63"/>
        <v>0</v>
      </c>
      <c r="AL39" s="137">
        <f t="shared" si="63"/>
        <v>0</v>
      </c>
      <c r="AM39" s="137">
        <f t="shared" si="63"/>
        <v>0</v>
      </c>
      <c r="AN39" s="138">
        <f>IF(OR(GradeSheet!$M34="W (Withdrawn)", GradeSheet!$M34="I (Incomplete)"), 0, IF(AH39&gt;=55%, 1, 0))</f>
        <v>0</v>
      </c>
      <c r="AO39" s="138">
        <f>IF(OR(GradeSheet!$M34="W (Withdrawn)", GradeSheet!$M34="I (Incomplete)"), 0, IF(AI39&gt;=55%, 1, 0))</f>
        <v>0</v>
      </c>
      <c r="AP39" s="138">
        <f>IF(OR(GradeSheet!$M34="W (Withdrawn)", GradeSheet!$M34="I (Incomplete)"), 0, IF(AJ39&gt;=55%, 1, 0))</f>
        <v>0</v>
      </c>
      <c r="AQ39" s="138">
        <f>IF(OR(GradeSheet!$M34="W (Withdrawn)", GradeSheet!$M34="I (Incomplete)"), 0, IF(AK39&gt;=55%, 1, 0))</f>
        <v>0</v>
      </c>
      <c r="AR39" s="138">
        <f>IF(OR(GradeSheet!$M34="W (Withdrawn)", GradeSheet!$M34="I (Incomplete)"), 0, IF(AL39&gt;=55%, 1, 0))</f>
        <v>0</v>
      </c>
      <c r="AS39" s="138">
        <f>IF(OR(GradeSheet!$M34="W (Withdrawn)", GradeSheet!$M34="I (Incomplete)"), 0, IF(AM39&gt;=55%, 1, 0))</f>
        <v>0</v>
      </c>
      <c r="AT39" s="118"/>
      <c r="AU39" s="139">
        <f t="shared" si="9"/>
        <v>0</v>
      </c>
      <c r="AV39" s="139">
        <f t="shared" si="10"/>
        <v>0</v>
      </c>
      <c r="AW39" s="139">
        <f t="array" ref="AW39">IF($AV$9=0,0,MMULT($AH39:$AM39, AV$3:AV$8)/$AV$9)</f>
        <v>0</v>
      </c>
      <c r="AX39" s="139">
        <f t="array" ref="AX39">IF($AW$9=0,0,MMULT($AH39:$AM39, AW$3:AW$8)/$AW$9)</f>
        <v>0</v>
      </c>
      <c r="AY39" s="139">
        <f t="shared" si="11"/>
        <v>0</v>
      </c>
      <c r="AZ39" s="139">
        <f t="array" ref="AZ39">IF($AY$9=0,0,MMULT($AH39:$AM39, AY$3:AY$8)/$AY$9)</f>
        <v>0</v>
      </c>
      <c r="BA39" s="139">
        <f t="array" ref="BA39">IF($AZ$9=0,0,MMULT($AH39:$AM39, AZ$3:AZ$8)/$AZ$9)</f>
        <v>0</v>
      </c>
      <c r="BB39" s="139">
        <f t="array" ref="BB39">IF($BA$9=0,0,MMULT($AH39:$AM39, BA$3:BA$8)/$BA$9)</f>
        <v>0</v>
      </c>
      <c r="BC39" s="139">
        <f t="array" ref="BC39">IF($BB$9=0,0,MMULT($AH39:$AM39, BB$3:BB$8)/$BB$9)</f>
        <v>0</v>
      </c>
      <c r="BD39" s="139">
        <f t="array" ref="BD39">IF($BC$9=0,0,MMULT($AH39:$AM39, BC$3:BC$8)/$BC$9)</f>
        <v>0</v>
      </c>
      <c r="BE39" s="139">
        <f t="shared" si="12"/>
        <v>0</v>
      </c>
      <c r="BF39" s="139">
        <f t="shared" si="13"/>
        <v>0</v>
      </c>
      <c r="BG39" s="138">
        <f>IF(OR(GradeSheet!$M34="W (Withdrawn)", GradeSheet!$M34="I (Incomplete)"), 0, IF(AU39&gt;=65%, 1, 0))</f>
        <v>0</v>
      </c>
      <c r="BH39" s="138">
        <f>IF(OR(GradeSheet!$M34="W (Withdrawn)", GradeSheet!$M34="I (Incomplete)"), 0, IF(AV39&gt;=65%, 1, 0))</f>
        <v>0</v>
      </c>
      <c r="BI39" s="138">
        <f>IF(OR(GradeSheet!$M34="W (Withdrawn)", GradeSheet!$M34="I (Incomplete)"), 0, IF(AW39&gt;=65%, 1, 0))</f>
        <v>0</v>
      </c>
      <c r="BJ39" s="138">
        <f>IF(OR(GradeSheet!$M34="W (Withdrawn)", GradeSheet!$M34="I (Incomplete)"), 0, IF(AX39&gt;=65%, 1, 0))</f>
        <v>0</v>
      </c>
      <c r="BK39" s="138">
        <f>IF(OR(GradeSheet!$M34="W (Withdrawn)", GradeSheet!$M34="I (Incomplete)"), 0, IF(AY39&gt;=65%, 1, 0))</f>
        <v>0</v>
      </c>
      <c r="BL39" s="138">
        <f>IF(OR(GradeSheet!$M34="W (Withdrawn)", GradeSheet!$M34="I (Incomplete)"), 0, IF(AZ39&gt;=65%, 1, 0))</f>
        <v>0</v>
      </c>
      <c r="BM39" s="138">
        <f>IF(OR(GradeSheet!$M34="W (Withdrawn)", GradeSheet!$M34="I (Incomplete)"), 0, IF(BA39&gt;=65%, 1, 0))</f>
        <v>0</v>
      </c>
      <c r="BN39" s="138">
        <f>IF(OR(GradeSheet!$M34="W (Withdrawn)", GradeSheet!$M34="I (Incomplete)"), 0, IF(BB39&gt;=65%, 1, 0))</f>
        <v>0</v>
      </c>
      <c r="BO39" s="138">
        <f>IF(OR(GradeSheet!$M34="W (Withdrawn)", GradeSheet!$M34="I (Incomplete)"), 0, IF(BC39&gt;=65%, 1, 0))</f>
        <v>0</v>
      </c>
      <c r="BP39" s="138">
        <f>IF(OR(GradeSheet!$M34="W (Withdrawn)", GradeSheet!$M34="I (Incomplete)"), 0, IF(BD39&gt;=65%, 1, 0))</f>
        <v>0</v>
      </c>
      <c r="BQ39" s="138">
        <f>IF(OR(GradeSheet!$M34="W (Withdrawn)", GradeSheet!$M34="I (Incomplete)"), 0, IF(BE39&gt;=65%, 1, 0))</f>
        <v>0</v>
      </c>
      <c r="BR39" s="138">
        <f>IF(OR(GradeSheet!$M34="W (Withdrawn)", GradeSheet!$M34="I (Incomplete)"), 0, IF(BF39&gt;=65%, 1, 0))</f>
        <v>0</v>
      </c>
    </row>
    <row r="40" spans="1:70" ht="15.75" customHeight="1">
      <c r="A40" s="140">
        <v>26</v>
      </c>
      <c r="B40" s="35">
        <f>GradeSheet!X35</f>
        <v>0</v>
      </c>
      <c r="C40" s="23">
        <f>GradeSheet!W35</f>
        <v>0</v>
      </c>
      <c r="D40" s="183">
        <v>0</v>
      </c>
      <c r="E40" s="183">
        <v>0</v>
      </c>
      <c r="F40" s="183">
        <v>0</v>
      </c>
      <c r="G40" s="183">
        <v>0</v>
      </c>
      <c r="H40" s="183">
        <v>0</v>
      </c>
      <c r="I40" s="183">
        <v>0</v>
      </c>
      <c r="J40" s="183">
        <v>0</v>
      </c>
      <c r="K40" s="183">
        <v>0</v>
      </c>
      <c r="L40" s="183">
        <v>0</v>
      </c>
      <c r="M40" s="183">
        <v>0</v>
      </c>
      <c r="N40" s="183">
        <v>0</v>
      </c>
      <c r="O40" s="183">
        <v>0</v>
      </c>
      <c r="P40" s="183">
        <v>0</v>
      </c>
      <c r="Q40" s="183">
        <v>0</v>
      </c>
      <c r="R40" s="183">
        <v>0</v>
      </c>
      <c r="S40" s="183">
        <v>0</v>
      </c>
      <c r="T40" s="183">
        <v>0</v>
      </c>
      <c r="U40" s="183">
        <v>0</v>
      </c>
      <c r="V40" s="183">
        <v>0</v>
      </c>
      <c r="W40" s="183">
        <v>0</v>
      </c>
      <c r="X40" s="183">
        <v>0</v>
      </c>
      <c r="Y40" s="183">
        <v>0</v>
      </c>
      <c r="Z40" s="183">
        <v>0</v>
      </c>
      <c r="AA40" s="183">
        <v>0</v>
      </c>
      <c r="AB40" s="135">
        <f t="shared" ref="AB40:AE40" si="64">SUM(V40,D40,J40, P40)</f>
        <v>0</v>
      </c>
      <c r="AC40" s="136">
        <f t="shared" si="64"/>
        <v>0</v>
      </c>
      <c r="AD40" s="136">
        <f t="shared" si="64"/>
        <v>0</v>
      </c>
      <c r="AE40" s="136">
        <f t="shared" si="64"/>
        <v>0</v>
      </c>
      <c r="AF40" s="136">
        <f t="shared" si="15"/>
        <v>0</v>
      </c>
      <c r="AG40" s="141">
        <f t="shared" si="16"/>
        <v>0</v>
      </c>
      <c r="AH40" s="137">
        <f t="shared" ref="AH40:AM40" si="65">IF(AB40 = 0, 0, AB40/AB$14)</f>
        <v>0</v>
      </c>
      <c r="AI40" s="137">
        <f t="shared" si="65"/>
        <v>0</v>
      </c>
      <c r="AJ40" s="137">
        <f t="shared" si="65"/>
        <v>0</v>
      </c>
      <c r="AK40" s="137">
        <f t="shared" si="65"/>
        <v>0</v>
      </c>
      <c r="AL40" s="137">
        <f t="shared" si="65"/>
        <v>0</v>
      </c>
      <c r="AM40" s="137">
        <f t="shared" si="65"/>
        <v>0</v>
      </c>
      <c r="AN40" s="138">
        <f>IF(OR(GradeSheet!$M35="W (Withdrawn)", GradeSheet!$M35="I (Incomplete)"), 0, IF(AH40&gt;=55%, 1, 0))</f>
        <v>0</v>
      </c>
      <c r="AO40" s="138">
        <f>IF(OR(GradeSheet!$M35="W (Withdrawn)", GradeSheet!$M35="I (Incomplete)"), 0, IF(AI40&gt;=55%, 1, 0))</f>
        <v>0</v>
      </c>
      <c r="AP40" s="138">
        <f>IF(OR(GradeSheet!$M35="W (Withdrawn)", GradeSheet!$M35="I (Incomplete)"), 0, IF(AJ40&gt;=55%, 1, 0))</f>
        <v>0</v>
      </c>
      <c r="AQ40" s="138">
        <f>IF(OR(GradeSheet!$M35="W (Withdrawn)", GradeSheet!$M35="I (Incomplete)"), 0, IF(AK40&gt;=55%, 1, 0))</f>
        <v>0</v>
      </c>
      <c r="AR40" s="138">
        <f>IF(OR(GradeSheet!$M35="W (Withdrawn)", GradeSheet!$M35="I (Incomplete)"), 0, IF(AL40&gt;=55%, 1, 0))</f>
        <v>0</v>
      </c>
      <c r="AS40" s="138">
        <f>IF(OR(GradeSheet!$M35="W (Withdrawn)", GradeSheet!$M35="I (Incomplete)"), 0, IF(AM40&gt;=55%, 1, 0))</f>
        <v>0</v>
      </c>
      <c r="AT40" s="118"/>
      <c r="AU40" s="139">
        <f t="shared" si="9"/>
        <v>0</v>
      </c>
      <c r="AV40" s="139">
        <f t="shared" si="10"/>
        <v>0</v>
      </c>
      <c r="AW40" s="139">
        <f t="array" ref="AW40">IF($AV$9=0,0,MMULT($AH40:$AM40, AV$3:AV$8)/$AV$9)</f>
        <v>0</v>
      </c>
      <c r="AX40" s="139">
        <f t="array" ref="AX40">IF($AW$9=0,0,MMULT($AH40:$AM40, AW$3:AW$8)/$AW$9)</f>
        <v>0</v>
      </c>
      <c r="AY40" s="139">
        <f t="shared" si="11"/>
        <v>0</v>
      </c>
      <c r="AZ40" s="139">
        <f t="array" ref="AZ40">IF($AY$9=0,0,MMULT($AH40:$AM40, AY$3:AY$8)/$AY$9)</f>
        <v>0</v>
      </c>
      <c r="BA40" s="139">
        <f t="array" ref="BA40">IF($AZ$9=0,0,MMULT($AH40:$AM40, AZ$3:AZ$8)/$AZ$9)</f>
        <v>0</v>
      </c>
      <c r="BB40" s="139">
        <f t="array" ref="BB40">IF($BA$9=0,0,MMULT($AH40:$AM40, BA$3:BA$8)/$BA$9)</f>
        <v>0</v>
      </c>
      <c r="BC40" s="139">
        <f t="array" ref="BC40">IF($BB$9=0,0,MMULT($AH40:$AM40, BB$3:BB$8)/$BB$9)</f>
        <v>0</v>
      </c>
      <c r="BD40" s="139">
        <f t="array" ref="BD40">IF($BC$9=0,0,MMULT($AH40:$AM40, BC$3:BC$8)/$BC$9)</f>
        <v>0</v>
      </c>
      <c r="BE40" s="139">
        <f t="shared" si="12"/>
        <v>0</v>
      </c>
      <c r="BF40" s="139">
        <f t="shared" si="13"/>
        <v>0</v>
      </c>
      <c r="BG40" s="138">
        <f>IF(OR(GradeSheet!$M35="W (Withdrawn)", GradeSheet!$M35="I (Incomplete)"), 0, IF(AU40&gt;=65%, 1, 0))</f>
        <v>0</v>
      </c>
      <c r="BH40" s="138">
        <f>IF(OR(GradeSheet!$M35="W (Withdrawn)", GradeSheet!$M35="I (Incomplete)"), 0, IF(AV40&gt;=65%, 1, 0))</f>
        <v>0</v>
      </c>
      <c r="BI40" s="138">
        <f>IF(OR(GradeSheet!$M35="W (Withdrawn)", GradeSheet!$M35="I (Incomplete)"), 0, IF(AW40&gt;=65%, 1, 0))</f>
        <v>0</v>
      </c>
      <c r="BJ40" s="138">
        <f>IF(OR(GradeSheet!$M35="W (Withdrawn)", GradeSheet!$M35="I (Incomplete)"), 0, IF(AX40&gt;=65%, 1, 0))</f>
        <v>0</v>
      </c>
      <c r="BK40" s="138">
        <f>IF(OR(GradeSheet!$M35="W (Withdrawn)", GradeSheet!$M35="I (Incomplete)"), 0, IF(AY40&gt;=65%, 1, 0))</f>
        <v>0</v>
      </c>
      <c r="BL40" s="138">
        <f>IF(OR(GradeSheet!$M35="W (Withdrawn)", GradeSheet!$M35="I (Incomplete)"), 0, IF(AZ40&gt;=65%, 1, 0))</f>
        <v>0</v>
      </c>
      <c r="BM40" s="138">
        <f>IF(OR(GradeSheet!$M35="W (Withdrawn)", GradeSheet!$M35="I (Incomplete)"), 0, IF(BA40&gt;=65%, 1, 0))</f>
        <v>0</v>
      </c>
      <c r="BN40" s="138">
        <f>IF(OR(GradeSheet!$M35="W (Withdrawn)", GradeSheet!$M35="I (Incomplete)"), 0, IF(BB40&gt;=65%, 1, 0))</f>
        <v>0</v>
      </c>
      <c r="BO40" s="138">
        <f>IF(OR(GradeSheet!$M35="W (Withdrawn)", GradeSheet!$M35="I (Incomplete)"), 0, IF(BC40&gt;=65%, 1, 0))</f>
        <v>0</v>
      </c>
      <c r="BP40" s="138">
        <f>IF(OR(GradeSheet!$M35="W (Withdrawn)", GradeSheet!$M35="I (Incomplete)"), 0, IF(BD40&gt;=65%, 1, 0))</f>
        <v>0</v>
      </c>
      <c r="BQ40" s="138">
        <f>IF(OR(GradeSheet!$M35="W (Withdrawn)", GradeSheet!$M35="I (Incomplete)"), 0, IF(BE40&gt;=65%, 1, 0))</f>
        <v>0</v>
      </c>
      <c r="BR40" s="138">
        <f>IF(OR(GradeSheet!$M35="W (Withdrawn)", GradeSheet!$M35="I (Incomplete)"), 0, IF(BF40&gt;=65%, 1, 0))</f>
        <v>0</v>
      </c>
    </row>
    <row r="41" spans="1:70" ht="15.75" customHeight="1">
      <c r="A41" s="134">
        <v>27</v>
      </c>
      <c r="B41" s="35">
        <f>GradeSheet!X36</f>
        <v>0</v>
      </c>
      <c r="C41" s="23">
        <f>GradeSheet!W36</f>
        <v>0</v>
      </c>
      <c r="D41" s="183">
        <v>0</v>
      </c>
      <c r="E41" s="183">
        <v>0</v>
      </c>
      <c r="F41" s="183">
        <v>0</v>
      </c>
      <c r="G41" s="183">
        <v>0</v>
      </c>
      <c r="H41" s="183">
        <v>0</v>
      </c>
      <c r="I41" s="183">
        <v>0</v>
      </c>
      <c r="J41" s="183">
        <v>0</v>
      </c>
      <c r="K41" s="183">
        <v>0</v>
      </c>
      <c r="L41" s="183">
        <v>0</v>
      </c>
      <c r="M41" s="183">
        <v>0</v>
      </c>
      <c r="N41" s="183">
        <v>0</v>
      </c>
      <c r="O41" s="183">
        <v>0</v>
      </c>
      <c r="P41" s="183">
        <v>0</v>
      </c>
      <c r="Q41" s="183">
        <v>0</v>
      </c>
      <c r="R41" s="183">
        <v>0</v>
      </c>
      <c r="S41" s="183">
        <v>0</v>
      </c>
      <c r="T41" s="183">
        <v>0</v>
      </c>
      <c r="U41" s="183">
        <v>0</v>
      </c>
      <c r="V41" s="183">
        <v>0</v>
      </c>
      <c r="W41" s="183">
        <v>0</v>
      </c>
      <c r="X41" s="183">
        <v>0</v>
      </c>
      <c r="Y41" s="183">
        <v>0</v>
      </c>
      <c r="Z41" s="183">
        <v>0</v>
      </c>
      <c r="AA41" s="183">
        <v>0</v>
      </c>
      <c r="AB41" s="135">
        <f t="shared" ref="AB41:AE41" si="66">SUM(V41,D41,J41, P41)</f>
        <v>0</v>
      </c>
      <c r="AC41" s="136">
        <f t="shared" si="66"/>
        <v>0</v>
      </c>
      <c r="AD41" s="136">
        <f t="shared" si="66"/>
        <v>0</v>
      </c>
      <c r="AE41" s="136">
        <f t="shared" si="66"/>
        <v>0</v>
      </c>
      <c r="AF41" s="136">
        <f t="shared" si="15"/>
        <v>0</v>
      </c>
      <c r="AG41" s="141">
        <f t="shared" si="16"/>
        <v>0</v>
      </c>
      <c r="AH41" s="137">
        <f t="shared" ref="AH41:AM41" si="67">IF(AB41 = 0, 0, AB41/AB$14)</f>
        <v>0</v>
      </c>
      <c r="AI41" s="137">
        <f t="shared" si="67"/>
        <v>0</v>
      </c>
      <c r="AJ41" s="137">
        <f t="shared" si="67"/>
        <v>0</v>
      </c>
      <c r="AK41" s="137">
        <f t="shared" si="67"/>
        <v>0</v>
      </c>
      <c r="AL41" s="137">
        <f t="shared" si="67"/>
        <v>0</v>
      </c>
      <c r="AM41" s="137">
        <f t="shared" si="67"/>
        <v>0</v>
      </c>
      <c r="AN41" s="138">
        <f>IF(OR(GradeSheet!$M36="W (Withdrawn)", GradeSheet!$M36="I (Incomplete)"), 0, IF(AH41&gt;=55%, 1, 0))</f>
        <v>0</v>
      </c>
      <c r="AO41" s="138">
        <f>IF(OR(GradeSheet!$M36="W (Withdrawn)", GradeSheet!$M36="I (Incomplete)"), 0, IF(AI41&gt;=55%, 1, 0))</f>
        <v>0</v>
      </c>
      <c r="AP41" s="138">
        <f>IF(OR(GradeSheet!$M36="W (Withdrawn)", GradeSheet!$M36="I (Incomplete)"), 0, IF(AJ41&gt;=55%, 1, 0))</f>
        <v>0</v>
      </c>
      <c r="AQ41" s="138">
        <f>IF(OR(GradeSheet!$M36="W (Withdrawn)", GradeSheet!$M36="I (Incomplete)"), 0, IF(AK41&gt;=55%, 1, 0))</f>
        <v>0</v>
      </c>
      <c r="AR41" s="138">
        <f>IF(OR(GradeSheet!$M36="W (Withdrawn)", GradeSheet!$M36="I (Incomplete)"), 0, IF(AL41&gt;=55%, 1, 0))</f>
        <v>0</v>
      </c>
      <c r="AS41" s="138">
        <f>IF(OR(GradeSheet!$M36="W (Withdrawn)", GradeSheet!$M36="I (Incomplete)"), 0, IF(AM41&gt;=55%, 1, 0))</f>
        <v>0</v>
      </c>
      <c r="AT41" s="118"/>
      <c r="AU41" s="139">
        <f t="shared" si="9"/>
        <v>0</v>
      </c>
      <c r="AV41" s="139">
        <f t="shared" si="10"/>
        <v>0</v>
      </c>
      <c r="AW41" s="139">
        <f t="array" ref="AW41">IF($AV$9=0,0,MMULT($AH41:$AM41, AV$3:AV$8)/$AV$9)</f>
        <v>0</v>
      </c>
      <c r="AX41" s="139">
        <f t="array" ref="AX41">IF($AW$9=0,0,MMULT($AH41:$AM41, AW$3:AW$8)/$AW$9)</f>
        <v>0</v>
      </c>
      <c r="AY41" s="139">
        <f t="shared" si="11"/>
        <v>0</v>
      </c>
      <c r="AZ41" s="139">
        <f t="array" ref="AZ41">IF($AY$9=0,0,MMULT($AH41:$AM41, AY$3:AY$8)/$AY$9)</f>
        <v>0</v>
      </c>
      <c r="BA41" s="139">
        <f t="array" ref="BA41">IF($AZ$9=0,0,MMULT($AH41:$AM41, AZ$3:AZ$8)/$AZ$9)</f>
        <v>0</v>
      </c>
      <c r="BB41" s="139">
        <f t="array" ref="BB41">IF($BA$9=0,0,MMULT($AH41:$AM41, BA$3:BA$8)/$BA$9)</f>
        <v>0</v>
      </c>
      <c r="BC41" s="139">
        <f t="array" ref="BC41">IF($BB$9=0,0,MMULT($AH41:$AM41, BB$3:BB$8)/$BB$9)</f>
        <v>0</v>
      </c>
      <c r="BD41" s="139">
        <f t="array" ref="BD41">IF($BC$9=0,0,MMULT($AH41:$AM41, BC$3:BC$8)/$BC$9)</f>
        <v>0</v>
      </c>
      <c r="BE41" s="139">
        <f t="shared" si="12"/>
        <v>0</v>
      </c>
      <c r="BF41" s="139">
        <f t="shared" si="13"/>
        <v>0</v>
      </c>
      <c r="BG41" s="138">
        <f>IF(OR(GradeSheet!$M36="W (Withdrawn)", GradeSheet!$M36="I (Incomplete)"), 0, IF(AU41&gt;=65%, 1, 0))</f>
        <v>0</v>
      </c>
      <c r="BH41" s="138">
        <f>IF(OR(GradeSheet!$M36="W (Withdrawn)", GradeSheet!$M36="I (Incomplete)"), 0, IF(AV41&gt;=65%, 1, 0))</f>
        <v>0</v>
      </c>
      <c r="BI41" s="138">
        <f>IF(OR(GradeSheet!$M36="W (Withdrawn)", GradeSheet!$M36="I (Incomplete)"), 0, IF(AW41&gt;=65%, 1, 0))</f>
        <v>0</v>
      </c>
      <c r="BJ41" s="138">
        <f>IF(OR(GradeSheet!$M36="W (Withdrawn)", GradeSheet!$M36="I (Incomplete)"), 0, IF(AX41&gt;=65%, 1, 0))</f>
        <v>0</v>
      </c>
      <c r="BK41" s="138">
        <f>IF(OR(GradeSheet!$M36="W (Withdrawn)", GradeSheet!$M36="I (Incomplete)"), 0, IF(AY41&gt;=65%, 1, 0))</f>
        <v>0</v>
      </c>
      <c r="BL41" s="138">
        <f>IF(OR(GradeSheet!$M36="W (Withdrawn)", GradeSheet!$M36="I (Incomplete)"), 0, IF(AZ41&gt;=65%, 1, 0))</f>
        <v>0</v>
      </c>
      <c r="BM41" s="138">
        <f>IF(OR(GradeSheet!$M36="W (Withdrawn)", GradeSheet!$M36="I (Incomplete)"), 0, IF(BA41&gt;=65%, 1, 0))</f>
        <v>0</v>
      </c>
      <c r="BN41" s="138">
        <f>IF(OR(GradeSheet!$M36="W (Withdrawn)", GradeSheet!$M36="I (Incomplete)"), 0, IF(BB41&gt;=65%, 1, 0))</f>
        <v>0</v>
      </c>
      <c r="BO41" s="138">
        <f>IF(OR(GradeSheet!$M36="W (Withdrawn)", GradeSheet!$M36="I (Incomplete)"), 0, IF(BC41&gt;=65%, 1, 0))</f>
        <v>0</v>
      </c>
      <c r="BP41" s="138">
        <f>IF(OR(GradeSheet!$M36="W (Withdrawn)", GradeSheet!$M36="I (Incomplete)"), 0, IF(BD41&gt;=65%, 1, 0))</f>
        <v>0</v>
      </c>
      <c r="BQ41" s="138">
        <f>IF(OR(GradeSheet!$M36="W (Withdrawn)", GradeSheet!$M36="I (Incomplete)"), 0, IF(BE41&gt;=65%, 1, 0))</f>
        <v>0</v>
      </c>
      <c r="BR41" s="138">
        <f>IF(OR(GradeSheet!$M36="W (Withdrawn)", GradeSheet!$M36="I (Incomplete)"), 0, IF(BF41&gt;=65%, 1, 0))</f>
        <v>0</v>
      </c>
    </row>
    <row r="42" spans="1:70" ht="15.75" customHeight="1">
      <c r="A42" s="140">
        <v>28</v>
      </c>
      <c r="B42" s="35">
        <f>GradeSheet!X37</f>
        <v>0</v>
      </c>
      <c r="C42" s="23">
        <f>GradeSheet!W37</f>
        <v>0</v>
      </c>
      <c r="D42" s="183">
        <v>0</v>
      </c>
      <c r="E42" s="183">
        <v>0</v>
      </c>
      <c r="F42" s="183">
        <v>0</v>
      </c>
      <c r="G42" s="183">
        <v>0</v>
      </c>
      <c r="H42" s="183">
        <v>0</v>
      </c>
      <c r="I42" s="183">
        <v>0</v>
      </c>
      <c r="J42" s="183">
        <v>0</v>
      </c>
      <c r="K42" s="183">
        <v>0</v>
      </c>
      <c r="L42" s="183">
        <v>0</v>
      </c>
      <c r="M42" s="183">
        <v>0</v>
      </c>
      <c r="N42" s="183">
        <v>0</v>
      </c>
      <c r="O42" s="183">
        <v>0</v>
      </c>
      <c r="P42" s="183">
        <v>0</v>
      </c>
      <c r="Q42" s="183">
        <v>0</v>
      </c>
      <c r="R42" s="183">
        <v>0</v>
      </c>
      <c r="S42" s="183">
        <v>0</v>
      </c>
      <c r="T42" s="183">
        <v>0</v>
      </c>
      <c r="U42" s="183">
        <v>0</v>
      </c>
      <c r="V42" s="183">
        <v>0</v>
      </c>
      <c r="W42" s="183">
        <v>0</v>
      </c>
      <c r="X42" s="183">
        <v>0</v>
      </c>
      <c r="Y42" s="183">
        <v>0</v>
      </c>
      <c r="Z42" s="183">
        <v>0</v>
      </c>
      <c r="AA42" s="183">
        <v>0</v>
      </c>
      <c r="AB42" s="135">
        <f t="shared" ref="AB42:AE42" si="68">SUM(V42,D42,J42, P42)</f>
        <v>0</v>
      </c>
      <c r="AC42" s="136">
        <f t="shared" si="68"/>
        <v>0</v>
      </c>
      <c r="AD42" s="136">
        <f t="shared" si="68"/>
        <v>0</v>
      </c>
      <c r="AE42" s="136">
        <f t="shared" si="68"/>
        <v>0</v>
      </c>
      <c r="AF42" s="136">
        <f t="shared" si="15"/>
        <v>0</v>
      </c>
      <c r="AG42" s="141">
        <f t="shared" si="16"/>
        <v>0</v>
      </c>
      <c r="AH42" s="137">
        <f t="shared" ref="AH42:AM42" si="69">IF(AB42 = 0, 0, AB42/AB$14)</f>
        <v>0</v>
      </c>
      <c r="AI42" s="137">
        <f t="shared" si="69"/>
        <v>0</v>
      </c>
      <c r="AJ42" s="137">
        <f t="shared" si="69"/>
        <v>0</v>
      </c>
      <c r="AK42" s="137">
        <f t="shared" si="69"/>
        <v>0</v>
      </c>
      <c r="AL42" s="137">
        <f t="shared" si="69"/>
        <v>0</v>
      </c>
      <c r="AM42" s="137">
        <f t="shared" si="69"/>
        <v>0</v>
      </c>
      <c r="AN42" s="138">
        <f>IF(OR(GradeSheet!$M37="W (Withdrawn)", GradeSheet!$M37="I (Incomplete)"), 0, IF(AH42&gt;=55%, 1, 0))</f>
        <v>0</v>
      </c>
      <c r="AO42" s="138">
        <f>IF(OR(GradeSheet!$M37="W (Withdrawn)", GradeSheet!$M37="I (Incomplete)"), 0, IF(AI42&gt;=55%, 1, 0))</f>
        <v>0</v>
      </c>
      <c r="AP42" s="138">
        <f>IF(OR(GradeSheet!$M37="W (Withdrawn)", GradeSheet!$M37="I (Incomplete)"), 0, IF(AJ42&gt;=55%, 1, 0))</f>
        <v>0</v>
      </c>
      <c r="AQ42" s="138">
        <f>IF(OR(GradeSheet!$M37="W (Withdrawn)", GradeSheet!$M37="I (Incomplete)"), 0, IF(AK42&gt;=55%, 1, 0))</f>
        <v>0</v>
      </c>
      <c r="AR42" s="138">
        <f>IF(OR(GradeSheet!$M37="W (Withdrawn)", GradeSheet!$M37="I (Incomplete)"), 0, IF(AL42&gt;=55%, 1, 0))</f>
        <v>0</v>
      </c>
      <c r="AS42" s="138">
        <f>IF(OR(GradeSheet!$M37="W (Withdrawn)", GradeSheet!$M37="I (Incomplete)"), 0, IF(AM42&gt;=55%, 1, 0))</f>
        <v>0</v>
      </c>
      <c r="AT42" s="118"/>
      <c r="AU42" s="139">
        <f t="shared" si="9"/>
        <v>0</v>
      </c>
      <c r="AV42" s="139">
        <f t="shared" si="10"/>
        <v>0</v>
      </c>
      <c r="AW42" s="139">
        <f t="array" ref="AW42">IF($AV$9=0,0,MMULT($AH42:$AM42, AV$3:AV$8)/$AV$9)</f>
        <v>0</v>
      </c>
      <c r="AX42" s="139">
        <f t="array" ref="AX42">IF($AW$9=0,0,MMULT($AH42:$AM42, AW$3:AW$8)/$AW$9)</f>
        <v>0</v>
      </c>
      <c r="AY42" s="139">
        <f t="shared" si="11"/>
        <v>0</v>
      </c>
      <c r="AZ42" s="139">
        <f t="array" ref="AZ42">IF($AY$9=0,0,MMULT($AH42:$AM42, AY$3:AY$8)/$AY$9)</f>
        <v>0</v>
      </c>
      <c r="BA42" s="139">
        <f t="array" ref="BA42">IF($AZ$9=0,0,MMULT($AH42:$AM42, AZ$3:AZ$8)/$AZ$9)</f>
        <v>0</v>
      </c>
      <c r="BB42" s="139">
        <f t="array" ref="BB42">IF($BA$9=0,0,MMULT($AH42:$AM42, BA$3:BA$8)/$BA$9)</f>
        <v>0</v>
      </c>
      <c r="BC42" s="139">
        <f t="array" ref="BC42">IF($BB$9=0,0,MMULT($AH42:$AM42, BB$3:BB$8)/$BB$9)</f>
        <v>0</v>
      </c>
      <c r="BD42" s="139">
        <f t="array" ref="BD42">IF($BC$9=0,0,MMULT($AH42:$AM42, BC$3:BC$8)/$BC$9)</f>
        <v>0</v>
      </c>
      <c r="BE42" s="139">
        <f t="shared" si="12"/>
        <v>0</v>
      </c>
      <c r="BF42" s="139">
        <f t="shared" si="13"/>
        <v>0</v>
      </c>
      <c r="BG42" s="138">
        <f>IF(OR(GradeSheet!$M37="W (Withdrawn)", GradeSheet!$M37="I (Incomplete)"), 0, IF(AU42&gt;=65%, 1, 0))</f>
        <v>0</v>
      </c>
      <c r="BH42" s="138">
        <f>IF(OR(GradeSheet!$M37="W (Withdrawn)", GradeSheet!$M37="I (Incomplete)"), 0, IF(AV42&gt;=65%, 1, 0))</f>
        <v>0</v>
      </c>
      <c r="BI42" s="138">
        <f>IF(OR(GradeSheet!$M37="W (Withdrawn)", GradeSheet!$M37="I (Incomplete)"), 0, IF(AW42&gt;=65%, 1, 0))</f>
        <v>0</v>
      </c>
      <c r="BJ42" s="138">
        <f>IF(OR(GradeSheet!$M37="W (Withdrawn)", GradeSheet!$M37="I (Incomplete)"), 0, IF(AX42&gt;=65%, 1, 0))</f>
        <v>0</v>
      </c>
      <c r="BK42" s="138">
        <f>IF(OR(GradeSheet!$M37="W (Withdrawn)", GradeSheet!$M37="I (Incomplete)"), 0, IF(AY42&gt;=65%, 1, 0))</f>
        <v>0</v>
      </c>
      <c r="BL42" s="138">
        <f>IF(OR(GradeSheet!$M37="W (Withdrawn)", GradeSheet!$M37="I (Incomplete)"), 0, IF(AZ42&gt;=65%, 1, 0))</f>
        <v>0</v>
      </c>
      <c r="BM42" s="138">
        <f>IF(OR(GradeSheet!$M37="W (Withdrawn)", GradeSheet!$M37="I (Incomplete)"), 0, IF(BA42&gt;=65%, 1, 0))</f>
        <v>0</v>
      </c>
      <c r="BN42" s="138">
        <f>IF(OR(GradeSheet!$M37="W (Withdrawn)", GradeSheet!$M37="I (Incomplete)"), 0, IF(BB42&gt;=65%, 1, 0))</f>
        <v>0</v>
      </c>
      <c r="BO42" s="138">
        <f>IF(OR(GradeSheet!$M37="W (Withdrawn)", GradeSheet!$M37="I (Incomplete)"), 0, IF(BC42&gt;=65%, 1, 0))</f>
        <v>0</v>
      </c>
      <c r="BP42" s="138">
        <f>IF(OR(GradeSheet!$M37="W (Withdrawn)", GradeSheet!$M37="I (Incomplete)"), 0, IF(BD42&gt;=65%, 1, 0))</f>
        <v>0</v>
      </c>
      <c r="BQ42" s="138">
        <f>IF(OR(GradeSheet!$M37="W (Withdrawn)", GradeSheet!$M37="I (Incomplete)"), 0, IF(BE42&gt;=65%, 1, 0))</f>
        <v>0</v>
      </c>
      <c r="BR42" s="138">
        <f>IF(OR(GradeSheet!$M37="W (Withdrawn)", GradeSheet!$M37="I (Incomplete)"), 0, IF(BF42&gt;=65%, 1, 0))</f>
        <v>0</v>
      </c>
    </row>
    <row r="43" spans="1:70" ht="15.75" customHeight="1">
      <c r="A43" s="134">
        <v>29</v>
      </c>
      <c r="B43" s="35">
        <f>GradeSheet!X38</f>
        <v>0</v>
      </c>
      <c r="C43" s="23">
        <f>GradeSheet!W38</f>
        <v>0</v>
      </c>
      <c r="D43" s="183">
        <v>0</v>
      </c>
      <c r="E43" s="183">
        <v>0</v>
      </c>
      <c r="F43" s="183">
        <v>0</v>
      </c>
      <c r="G43" s="183">
        <v>0</v>
      </c>
      <c r="H43" s="183">
        <v>0</v>
      </c>
      <c r="I43" s="183">
        <v>0</v>
      </c>
      <c r="J43" s="183">
        <v>0</v>
      </c>
      <c r="K43" s="183">
        <v>0</v>
      </c>
      <c r="L43" s="183">
        <v>0</v>
      </c>
      <c r="M43" s="183">
        <v>0</v>
      </c>
      <c r="N43" s="183">
        <v>0</v>
      </c>
      <c r="O43" s="183">
        <v>0</v>
      </c>
      <c r="P43" s="183">
        <v>0</v>
      </c>
      <c r="Q43" s="183">
        <v>0</v>
      </c>
      <c r="R43" s="183">
        <v>0</v>
      </c>
      <c r="S43" s="183">
        <v>0</v>
      </c>
      <c r="T43" s="183">
        <v>0</v>
      </c>
      <c r="U43" s="183">
        <v>0</v>
      </c>
      <c r="V43" s="183">
        <v>0</v>
      </c>
      <c r="W43" s="183">
        <v>0</v>
      </c>
      <c r="X43" s="183">
        <v>0</v>
      </c>
      <c r="Y43" s="183">
        <v>0</v>
      </c>
      <c r="Z43" s="183">
        <v>0</v>
      </c>
      <c r="AA43" s="183">
        <v>0</v>
      </c>
      <c r="AB43" s="135">
        <f t="shared" ref="AB43:AE43" si="70">SUM(V43,D43,J43, P43)</f>
        <v>0</v>
      </c>
      <c r="AC43" s="136">
        <f t="shared" si="70"/>
        <v>0</v>
      </c>
      <c r="AD43" s="136">
        <f t="shared" si="70"/>
        <v>0</v>
      </c>
      <c r="AE43" s="136">
        <f t="shared" si="70"/>
        <v>0</v>
      </c>
      <c r="AF43" s="136">
        <f t="shared" si="15"/>
        <v>0</v>
      </c>
      <c r="AG43" s="141">
        <f t="shared" si="16"/>
        <v>0</v>
      </c>
      <c r="AH43" s="137">
        <f t="shared" ref="AH43:AM43" si="71">IF(AB43 = 0, 0, AB43/AB$14)</f>
        <v>0</v>
      </c>
      <c r="AI43" s="137">
        <f t="shared" si="71"/>
        <v>0</v>
      </c>
      <c r="AJ43" s="137">
        <f t="shared" si="71"/>
        <v>0</v>
      </c>
      <c r="AK43" s="137">
        <f t="shared" si="71"/>
        <v>0</v>
      </c>
      <c r="AL43" s="137">
        <f t="shared" si="71"/>
        <v>0</v>
      </c>
      <c r="AM43" s="137">
        <f t="shared" si="71"/>
        <v>0</v>
      </c>
      <c r="AN43" s="138">
        <f>IF(OR(GradeSheet!$M38="W (Withdrawn)", GradeSheet!$M38="I (Incomplete)"), 0, IF(AH43&gt;=55%, 1, 0))</f>
        <v>0</v>
      </c>
      <c r="AO43" s="138">
        <f>IF(OR(GradeSheet!$M38="W (Withdrawn)", GradeSheet!$M38="I (Incomplete)"), 0, IF(AI43&gt;=55%, 1, 0))</f>
        <v>0</v>
      </c>
      <c r="AP43" s="138">
        <f>IF(OR(GradeSheet!$M38="W (Withdrawn)", GradeSheet!$M38="I (Incomplete)"), 0, IF(AJ43&gt;=55%, 1, 0))</f>
        <v>0</v>
      </c>
      <c r="AQ43" s="138">
        <f>IF(OR(GradeSheet!$M38="W (Withdrawn)", GradeSheet!$M38="I (Incomplete)"), 0, IF(AK43&gt;=55%, 1, 0))</f>
        <v>0</v>
      </c>
      <c r="AR43" s="138">
        <f>IF(OR(GradeSheet!$M38="W (Withdrawn)", GradeSheet!$M38="I (Incomplete)"), 0, IF(AL43&gt;=55%, 1, 0))</f>
        <v>0</v>
      </c>
      <c r="AS43" s="138">
        <f>IF(OR(GradeSheet!$M38="W (Withdrawn)", GradeSheet!$M38="I (Incomplete)"), 0, IF(AM43&gt;=55%, 1, 0))</f>
        <v>0</v>
      </c>
      <c r="AT43" s="118"/>
      <c r="AU43" s="139">
        <f t="shared" si="9"/>
        <v>0</v>
      </c>
      <c r="AV43" s="139">
        <f t="shared" si="10"/>
        <v>0</v>
      </c>
      <c r="AW43" s="139">
        <f t="array" ref="AW43">IF($AV$9=0,0,MMULT($AH43:$AM43, AV$3:AV$8)/$AV$9)</f>
        <v>0</v>
      </c>
      <c r="AX43" s="139">
        <f t="array" ref="AX43">IF($AW$9=0,0,MMULT($AH43:$AM43, AW$3:AW$8)/$AW$9)</f>
        <v>0</v>
      </c>
      <c r="AY43" s="139">
        <f t="shared" si="11"/>
        <v>0</v>
      </c>
      <c r="AZ43" s="139">
        <f t="array" ref="AZ43">IF($AY$9=0,0,MMULT($AH43:$AM43, AY$3:AY$8)/$AY$9)</f>
        <v>0</v>
      </c>
      <c r="BA43" s="139">
        <f t="array" ref="BA43">IF($AZ$9=0,0,MMULT($AH43:$AM43, AZ$3:AZ$8)/$AZ$9)</f>
        <v>0</v>
      </c>
      <c r="BB43" s="139">
        <f t="array" ref="BB43">IF($BA$9=0,0,MMULT($AH43:$AM43, BA$3:BA$8)/$BA$9)</f>
        <v>0</v>
      </c>
      <c r="BC43" s="139">
        <f t="array" ref="BC43">IF($BB$9=0,0,MMULT($AH43:$AM43, BB$3:BB$8)/$BB$9)</f>
        <v>0</v>
      </c>
      <c r="BD43" s="139">
        <f t="array" ref="BD43">IF($BC$9=0,0,MMULT($AH43:$AM43, BC$3:BC$8)/$BC$9)</f>
        <v>0</v>
      </c>
      <c r="BE43" s="139">
        <f t="shared" si="12"/>
        <v>0</v>
      </c>
      <c r="BF43" s="139">
        <f t="shared" si="13"/>
        <v>0</v>
      </c>
      <c r="BG43" s="138">
        <f>IF(OR(GradeSheet!$M38="W (Withdrawn)", GradeSheet!$M38="I (Incomplete)"), 0, IF(AU43&gt;=65%, 1, 0))</f>
        <v>0</v>
      </c>
      <c r="BH43" s="138">
        <f>IF(OR(GradeSheet!$M38="W (Withdrawn)", GradeSheet!$M38="I (Incomplete)"), 0, IF(AV43&gt;=65%, 1, 0))</f>
        <v>0</v>
      </c>
      <c r="BI43" s="138">
        <f>IF(OR(GradeSheet!$M38="W (Withdrawn)", GradeSheet!$M38="I (Incomplete)"), 0, IF(AW43&gt;=65%, 1, 0))</f>
        <v>0</v>
      </c>
      <c r="BJ43" s="138">
        <f>IF(OR(GradeSheet!$M38="W (Withdrawn)", GradeSheet!$M38="I (Incomplete)"), 0, IF(AX43&gt;=65%, 1, 0))</f>
        <v>0</v>
      </c>
      <c r="BK43" s="138">
        <f>IF(OR(GradeSheet!$M38="W (Withdrawn)", GradeSheet!$M38="I (Incomplete)"), 0, IF(AY43&gt;=65%, 1, 0))</f>
        <v>0</v>
      </c>
      <c r="BL43" s="138">
        <f>IF(OR(GradeSheet!$M38="W (Withdrawn)", GradeSheet!$M38="I (Incomplete)"), 0, IF(AZ43&gt;=65%, 1, 0))</f>
        <v>0</v>
      </c>
      <c r="BM43" s="138">
        <f>IF(OR(GradeSheet!$M38="W (Withdrawn)", GradeSheet!$M38="I (Incomplete)"), 0, IF(BA43&gt;=65%, 1, 0))</f>
        <v>0</v>
      </c>
      <c r="BN43" s="138">
        <f>IF(OR(GradeSheet!$M38="W (Withdrawn)", GradeSheet!$M38="I (Incomplete)"), 0, IF(BB43&gt;=65%, 1, 0))</f>
        <v>0</v>
      </c>
      <c r="BO43" s="138">
        <f>IF(OR(GradeSheet!$M38="W (Withdrawn)", GradeSheet!$M38="I (Incomplete)"), 0, IF(BC43&gt;=65%, 1, 0))</f>
        <v>0</v>
      </c>
      <c r="BP43" s="138">
        <f>IF(OR(GradeSheet!$M38="W (Withdrawn)", GradeSheet!$M38="I (Incomplete)"), 0, IF(BD43&gt;=65%, 1, 0))</f>
        <v>0</v>
      </c>
      <c r="BQ43" s="138">
        <f>IF(OR(GradeSheet!$M38="W (Withdrawn)", GradeSheet!$M38="I (Incomplete)"), 0, IF(BE43&gt;=65%, 1, 0))</f>
        <v>0</v>
      </c>
      <c r="BR43" s="138">
        <f>IF(OR(GradeSheet!$M38="W (Withdrawn)", GradeSheet!$M38="I (Incomplete)"), 0, IF(BF43&gt;=65%, 1, 0))</f>
        <v>0</v>
      </c>
    </row>
    <row r="44" spans="1:70" ht="15.75" customHeight="1">
      <c r="A44" s="140">
        <v>30</v>
      </c>
      <c r="B44" s="35">
        <f>GradeSheet!X39</f>
        <v>0</v>
      </c>
      <c r="C44" s="23">
        <f>GradeSheet!W39</f>
        <v>0</v>
      </c>
      <c r="D44" s="183">
        <v>0</v>
      </c>
      <c r="E44" s="183">
        <v>0</v>
      </c>
      <c r="F44" s="183">
        <v>0</v>
      </c>
      <c r="G44" s="183">
        <v>0</v>
      </c>
      <c r="H44" s="183">
        <v>0</v>
      </c>
      <c r="I44" s="183">
        <v>0</v>
      </c>
      <c r="J44" s="183">
        <v>0</v>
      </c>
      <c r="K44" s="183">
        <v>0</v>
      </c>
      <c r="L44" s="183">
        <v>0</v>
      </c>
      <c r="M44" s="183">
        <v>0</v>
      </c>
      <c r="N44" s="183">
        <v>0</v>
      </c>
      <c r="O44" s="183">
        <v>0</v>
      </c>
      <c r="P44" s="183">
        <v>0</v>
      </c>
      <c r="Q44" s="183">
        <v>0</v>
      </c>
      <c r="R44" s="183">
        <v>0</v>
      </c>
      <c r="S44" s="183">
        <v>0</v>
      </c>
      <c r="T44" s="183">
        <v>0</v>
      </c>
      <c r="U44" s="183">
        <v>0</v>
      </c>
      <c r="V44" s="183">
        <v>0</v>
      </c>
      <c r="W44" s="183">
        <v>0</v>
      </c>
      <c r="X44" s="183">
        <v>0</v>
      </c>
      <c r="Y44" s="183">
        <v>0</v>
      </c>
      <c r="Z44" s="183">
        <v>0</v>
      </c>
      <c r="AA44" s="183">
        <v>0</v>
      </c>
      <c r="AB44" s="135">
        <f t="shared" ref="AB44:AE44" si="72">SUM(V44,D44,J44, P44)</f>
        <v>0</v>
      </c>
      <c r="AC44" s="136">
        <f t="shared" si="72"/>
        <v>0</v>
      </c>
      <c r="AD44" s="136">
        <f t="shared" si="72"/>
        <v>0</v>
      </c>
      <c r="AE44" s="136">
        <f t="shared" si="72"/>
        <v>0</v>
      </c>
      <c r="AF44" s="136">
        <f t="shared" si="15"/>
        <v>0</v>
      </c>
      <c r="AG44" s="141">
        <f t="shared" si="16"/>
        <v>0</v>
      </c>
      <c r="AH44" s="137">
        <f t="shared" ref="AH44:AM44" si="73">IF(AB44 = 0, 0, AB44/AB$14)</f>
        <v>0</v>
      </c>
      <c r="AI44" s="137">
        <f t="shared" si="73"/>
        <v>0</v>
      </c>
      <c r="AJ44" s="137">
        <f t="shared" si="73"/>
        <v>0</v>
      </c>
      <c r="AK44" s="137">
        <f t="shared" si="73"/>
        <v>0</v>
      </c>
      <c r="AL44" s="137">
        <f t="shared" si="73"/>
        <v>0</v>
      </c>
      <c r="AM44" s="137">
        <f t="shared" si="73"/>
        <v>0</v>
      </c>
      <c r="AN44" s="138">
        <f>IF(OR(GradeSheet!$M39="W (Withdrawn)", GradeSheet!$M39="I (Incomplete)"), 0, IF(AH44&gt;=55%, 1, 0))</f>
        <v>0</v>
      </c>
      <c r="AO44" s="138">
        <f>IF(OR(GradeSheet!$M39="W (Withdrawn)", GradeSheet!$M39="I (Incomplete)"), 0, IF(AI44&gt;=55%, 1, 0))</f>
        <v>0</v>
      </c>
      <c r="AP44" s="138">
        <f>IF(OR(GradeSheet!$M39="W (Withdrawn)", GradeSheet!$M39="I (Incomplete)"), 0, IF(AJ44&gt;=55%, 1, 0))</f>
        <v>0</v>
      </c>
      <c r="AQ44" s="138">
        <f>IF(OR(GradeSheet!$M39="W (Withdrawn)", GradeSheet!$M39="I (Incomplete)"), 0, IF(AK44&gt;=55%, 1, 0))</f>
        <v>0</v>
      </c>
      <c r="AR44" s="138">
        <f>IF(OR(GradeSheet!$M39="W (Withdrawn)", GradeSheet!$M39="I (Incomplete)"), 0, IF(AL44&gt;=55%, 1, 0))</f>
        <v>0</v>
      </c>
      <c r="AS44" s="138">
        <f>IF(OR(GradeSheet!$M39="W (Withdrawn)", GradeSheet!$M39="I (Incomplete)"), 0, IF(AM44&gt;=55%, 1, 0))</f>
        <v>0</v>
      </c>
      <c r="AT44" s="118"/>
      <c r="AU44" s="139">
        <f t="shared" si="9"/>
        <v>0</v>
      </c>
      <c r="AV44" s="139">
        <f t="shared" si="10"/>
        <v>0</v>
      </c>
      <c r="AW44" s="139">
        <f t="array" ref="AW44">IF($AV$9=0,0,MMULT($AH44:$AM44, AV$3:AV$8)/$AV$9)</f>
        <v>0</v>
      </c>
      <c r="AX44" s="139">
        <f t="array" ref="AX44">IF($AW$9=0,0,MMULT($AH44:$AM44, AW$3:AW$8)/$AW$9)</f>
        <v>0</v>
      </c>
      <c r="AY44" s="139">
        <f t="shared" si="11"/>
        <v>0</v>
      </c>
      <c r="AZ44" s="139">
        <f t="array" ref="AZ44">IF($AY$9=0,0,MMULT($AH44:$AM44, AY$3:AY$8)/$AY$9)</f>
        <v>0</v>
      </c>
      <c r="BA44" s="139">
        <f t="array" ref="BA44">IF($AZ$9=0,0,MMULT($AH44:$AM44, AZ$3:AZ$8)/$AZ$9)</f>
        <v>0</v>
      </c>
      <c r="BB44" s="139">
        <f t="array" ref="BB44">IF($BA$9=0,0,MMULT($AH44:$AM44, BA$3:BA$8)/$BA$9)</f>
        <v>0</v>
      </c>
      <c r="BC44" s="139">
        <f t="array" ref="BC44">IF($BB$9=0,0,MMULT($AH44:$AM44, BB$3:BB$8)/$BB$9)</f>
        <v>0</v>
      </c>
      <c r="BD44" s="139">
        <f t="array" ref="BD44">IF($BC$9=0,0,MMULT($AH44:$AM44, BC$3:BC$8)/$BC$9)</f>
        <v>0</v>
      </c>
      <c r="BE44" s="139">
        <f t="shared" si="12"/>
        <v>0</v>
      </c>
      <c r="BF44" s="139">
        <f t="shared" si="13"/>
        <v>0</v>
      </c>
      <c r="BG44" s="138">
        <f>IF(OR(GradeSheet!$M39="W (Withdrawn)", GradeSheet!$M39="I (Incomplete)"), 0, IF(AU44&gt;=65%, 1, 0))</f>
        <v>0</v>
      </c>
      <c r="BH44" s="138">
        <f>IF(OR(GradeSheet!$M39="W (Withdrawn)", GradeSheet!$M39="I (Incomplete)"), 0, IF(AV44&gt;=65%, 1, 0))</f>
        <v>0</v>
      </c>
      <c r="BI44" s="138">
        <f>IF(OR(GradeSheet!$M39="W (Withdrawn)", GradeSheet!$M39="I (Incomplete)"), 0, IF(AW44&gt;=65%, 1, 0))</f>
        <v>0</v>
      </c>
      <c r="BJ44" s="138">
        <f>IF(OR(GradeSheet!$M39="W (Withdrawn)", GradeSheet!$M39="I (Incomplete)"), 0, IF(AX44&gt;=65%, 1, 0))</f>
        <v>0</v>
      </c>
      <c r="BK44" s="138">
        <f>IF(OR(GradeSheet!$M39="W (Withdrawn)", GradeSheet!$M39="I (Incomplete)"), 0, IF(AY44&gt;=65%, 1, 0))</f>
        <v>0</v>
      </c>
      <c r="BL44" s="138">
        <f>IF(OR(GradeSheet!$M39="W (Withdrawn)", GradeSheet!$M39="I (Incomplete)"), 0, IF(AZ44&gt;=65%, 1, 0))</f>
        <v>0</v>
      </c>
      <c r="BM44" s="138">
        <f>IF(OR(GradeSheet!$M39="W (Withdrawn)", GradeSheet!$M39="I (Incomplete)"), 0, IF(BA44&gt;=65%, 1, 0))</f>
        <v>0</v>
      </c>
      <c r="BN44" s="138">
        <f>IF(OR(GradeSheet!$M39="W (Withdrawn)", GradeSheet!$M39="I (Incomplete)"), 0, IF(BB44&gt;=65%, 1, 0))</f>
        <v>0</v>
      </c>
      <c r="BO44" s="138">
        <f>IF(OR(GradeSheet!$M39="W (Withdrawn)", GradeSheet!$M39="I (Incomplete)"), 0, IF(BC44&gt;=65%, 1, 0))</f>
        <v>0</v>
      </c>
      <c r="BP44" s="138">
        <f>IF(OR(GradeSheet!$M39="W (Withdrawn)", GradeSheet!$M39="I (Incomplete)"), 0, IF(BD44&gt;=65%, 1, 0))</f>
        <v>0</v>
      </c>
      <c r="BQ44" s="138">
        <f>IF(OR(GradeSheet!$M39="W (Withdrawn)", GradeSheet!$M39="I (Incomplete)"), 0, IF(BE44&gt;=65%, 1, 0))</f>
        <v>0</v>
      </c>
      <c r="BR44" s="138">
        <f>IF(OR(GradeSheet!$M39="W (Withdrawn)", GradeSheet!$M39="I (Incomplete)"), 0, IF(BF44&gt;=65%, 1, 0))</f>
        <v>0</v>
      </c>
    </row>
    <row r="45" spans="1:70" ht="15.75" customHeight="1">
      <c r="A45" s="134">
        <v>31</v>
      </c>
      <c r="B45" s="35">
        <f>GradeSheet!X40</f>
        <v>0</v>
      </c>
      <c r="C45" s="23">
        <f>GradeSheet!W40</f>
        <v>0</v>
      </c>
      <c r="D45" s="183">
        <v>0</v>
      </c>
      <c r="E45" s="183">
        <v>0</v>
      </c>
      <c r="F45" s="183">
        <v>0</v>
      </c>
      <c r="G45" s="183">
        <v>0</v>
      </c>
      <c r="H45" s="183">
        <v>0</v>
      </c>
      <c r="I45" s="183">
        <v>0</v>
      </c>
      <c r="J45" s="183">
        <v>0</v>
      </c>
      <c r="K45" s="183">
        <v>0</v>
      </c>
      <c r="L45" s="183">
        <v>0</v>
      </c>
      <c r="M45" s="183">
        <v>0</v>
      </c>
      <c r="N45" s="183">
        <v>0</v>
      </c>
      <c r="O45" s="183">
        <v>0</v>
      </c>
      <c r="P45" s="183">
        <v>0</v>
      </c>
      <c r="Q45" s="183">
        <v>0</v>
      </c>
      <c r="R45" s="183">
        <v>0</v>
      </c>
      <c r="S45" s="183">
        <v>0</v>
      </c>
      <c r="T45" s="183">
        <v>0</v>
      </c>
      <c r="U45" s="183">
        <v>0</v>
      </c>
      <c r="V45" s="183">
        <v>0</v>
      </c>
      <c r="W45" s="183">
        <v>0</v>
      </c>
      <c r="X45" s="183">
        <v>0</v>
      </c>
      <c r="Y45" s="183">
        <v>0</v>
      </c>
      <c r="Z45" s="183">
        <v>0</v>
      </c>
      <c r="AA45" s="183">
        <v>0</v>
      </c>
      <c r="AB45" s="135">
        <f t="shared" ref="AB45:AE45" si="74">SUM(V45,D45,J45, P45)</f>
        <v>0</v>
      </c>
      <c r="AC45" s="136">
        <f t="shared" si="74"/>
        <v>0</v>
      </c>
      <c r="AD45" s="136">
        <f t="shared" si="74"/>
        <v>0</v>
      </c>
      <c r="AE45" s="136">
        <f t="shared" si="74"/>
        <v>0</v>
      </c>
      <c r="AF45" s="136">
        <f t="shared" si="15"/>
        <v>0</v>
      </c>
      <c r="AG45" s="141">
        <f t="shared" si="16"/>
        <v>0</v>
      </c>
      <c r="AH45" s="137">
        <f t="shared" ref="AH45:AM45" si="75">IF(AB45 = 0, 0, AB45/AB$14)</f>
        <v>0</v>
      </c>
      <c r="AI45" s="137">
        <f t="shared" si="75"/>
        <v>0</v>
      </c>
      <c r="AJ45" s="137">
        <f t="shared" si="75"/>
        <v>0</v>
      </c>
      <c r="AK45" s="137">
        <f t="shared" si="75"/>
        <v>0</v>
      </c>
      <c r="AL45" s="137">
        <f t="shared" si="75"/>
        <v>0</v>
      </c>
      <c r="AM45" s="137">
        <f t="shared" si="75"/>
        <v>0</v>
      </c>
      <c r="AN45" s="138">
        <f>IF(OR(GradeSheet!$M40="W (Withdrawn)", GradeSheet!$M40="I (Incomplete)"), 0, IF(AH45&gt;=55%, 1, 0))</f>
        <v>0</v>
      </c>
      <c r="AO45" s="138">
        <f>IF(OR(GradeSheet!$M40="W (Withdrawn)", GradeSheet!$M40="I (Incomplete)"), 0, IF(AI45&gt;=55%, 1, 0))</f>
        <v>0</v>
      </c>
      <c r="AP45" s="138">
        <f>IF(OR(GradeSheet!$M40="W (Withdrawn)", GradeSheet!$M40="I (Incomplete)"), 0, IF(AJ45&gt;=55%, 1, 0))</f>
        <v>0</v>
      </c>
      <c r="AQ45" s="138">
        <f>IF(OR(GradeSheet!$M40="W (Withdrawn)", GradeSheet!$M40="I (Incomplete)"), 0, IF(AK45&gt;=55%, 1, 0))</f>
        <v>0</v>
      </c>
      <c r="AR45" s="138">
        <f>IF(OR(GradeSheet!$M40="W (Withdrawn)", GradeSheet!$M40="I (Incomplete)"), 0, IF(AL45&gt;=55%, 1, 0))</f>
        <v>0</v>
      </c>
      <c r="AS45" s="138">
        <f>IF(OR(GradeSheet!$M40="W (Withdrawn)", GradeSheet!$M40="I (Incomplete)"), 0, IF(AM45&gt;=55%, 1, 0))</f>
        <v>0</v>
      </c>
      <c r="AT45" s="118"/>
      <c r="AU45" s="139">
        <f t="shared" si="9"/>
        <v>0</v>
      </c>
      <c r="AV45" s="139">
        <f t="shared" si="10"/>
        <v>0</v>
      </c>
      <c r="AW45" s="139">
        <f t="array" ref="AW45">IF($AV$9=0,0,MMULT($AH45:$AM45, AV$3:AV$8)/$AV$9)</f>
        <v>0</v>
      </c>
      <c r="AX45" s="139">
        <f t="array" ref="AX45">IF($AW$9=0,0,MMULT($AH45:$AM45, AW$3:AW$8)/$AW$9)</f>
        <v>0</v>
      </c>
      <c r="AY45" s="139">
        <f t="shared" si="11"/>
        <v>0</v>
      </c>
      <c r="AZ45" s="139">
        <f t="array" ref="AZ45">IF($AY$9=0,0,MMULT($AH45:$AM45, AY$3:AY$8)/$AY$9)</f>
        <v>0</v>
      </c>
      <c r="BA45" s="139">
        <f t="array" ref="BA45">IF($AZ$9=0,0,MMULT($AH45:$AM45, AZ$3:AZ$8)/$AZ$9)</f>
        <v>0</v>
      </c>
      <c r="BB45" s="139">
        <f t="array" ref="BB45">IF($BA$9=0,0,MMULT($AH45:$AM45, BA$3:BA$8)/$BA$9)</f>
        <v>0</v>
      </c>
      <c r="BC45" s="139">
        <f t="array" ref="BC45">IF($BB$9=0,0,MMULT($AH45:$AM45, BB$3:BB$8)/$BB$9)</f>
        <v>0</v>
      </c>
      <c r="BD45" s="139">
        <f t="array" ref="BD45">IF($BC$9=0,0,MMULT($AH45:$AM45, BC$3:BC$8)/$BC$9)</f>
        <v>0</v>
      </c>
      <c r="BE45" s="139">
        <f t="shared" si="12"/>
        <v>0</v>
      </c>
      <c r="BF45" s="139">
        <f t="shared" si="13"/>
        <v>0</v>
      </c>
      <c r="BG45" s="138">
        <f>IF(OR(GradeSheet!$M40="W (Withdrawn)", GradeSheet!$M40="I (Incomplete)"), 0, IF(AU45&gt;=65%, 1, 0))</f>
        <v>0</v>
      </c>
      <c r="BH45" s="138">
        <f>IF(OR(GradeSheet!$M40="W (Withdrawn)", GradeSheet!$M40="I (Incomplete)"), 0, IF(AV45&gt;=65%, 1, 0))</f>
        <v>0</v>
      </c>
      <c r="BI45" s="138">
        <f>IF(OR(GradeSheet!$M40="W (Withdrawn)", GradeSheet!$M40="I (Incomplete)"), 0, IF(AW45&gt;=65%, 1, 0))</f>
        <v>0</v>
      </c>
      <c r="BJ45" s="138">
        <f>IF(OR(GradeSheet!$M40="W (Withdrawn)", GradeSheet!$M40="I (Incomplete)"), 0, IF(AX45&gt;=65%, 1, 0))</f>
        <v>0</v>
      </c>
      <c r="BK45" s="138">
        <f>IF(OR(GradeSheet!$M40="W (Withdrawn)", GradeSheet!$M40="I (Incomplete)"), 0, IF(AY45&gt;=65%, 1, 0))</f>
        <v>0</v>
      </c>
      <c r="BL45" s="138">
        <f>IF(OR(GradeSheet!$M40="W (Withdrawn)", GradeSheet!$M40="I (Incomplete)"), 0, IF(AZ45&gt;=65%, 1, 0))</f>
        <v>0</v>
      </c>
      <c r="BM45" s="138">
        <f>IF(OR(GradeSheet!$M40="W (Withdrawn)", GradeSheet!$M40="I (Incomplete)"), 0, IF(BA45&gt;=65%, 1, 0))</f>
        <v>0</v>
      </c>
      <c r="BN45" s="138">
        <f>IF(OR(GradeSheet!$M40="W (Withdrawn)", GradeSheet!$M40="I (Incomplete)"), 0, IF(BB45&gt;=65%, 1, 0))</f>
        <v>0</v>
      </c>
      <c r="BO45" s="138">
        <f>IF(OR(GradeSheet!$M40="W (Withdrawn)", GradeSheet!$M40="I (Incomplete)"), 0, IF(BC45&gt;=65%, 1, 0))</f>
        <v>0</v>
      </c>
      <c r="BP45" s="138">
        <f>IF(OR(GradeSheet!$M40="W (Withdrawn)", GradeSheet!$M40="I (Incomplete)"), 0, IF(BD45&gt;=65%, 1, 0))</f>
        <v>0</v>
      </c>
      <c r="BQ45" s="138">
        <f>IF(OR(GradeSheet!$M40="W (Withdrawn)", GradeSheet!$M40="I (Incomplete)"), 0, IF(BE45&gt;=65%, 1, 0))</f>
        <v>0</v>
      </c>
      <c r="BR45" s="138">
        <f>IF(OR(GradeSheet!$M40="W (Withdrawn)", GradeSheet!$M40="I (Incomplete)"), 0, IF(BF45&gt;=65%, 1, 0))</f>
        <v>0</v>
      </c>
    </row>
    <row r="46" spans="1:70" ht="15.75" customHeight="1">
      <c r="A46" s="140">
        <v>32</v>
      </c>
      <c r="B46" s="35">
        <f>GradeSheet!X41</f>
        <v>0</v>
      </c>
      <c r="C46" s="23">
        <f>GradeSheet!W41</f>
        <v>0</v>
      </c>
      <c r="D46" s="183">
        <v>0</v>
      </c>
      <c r="E46" s="183">
        <v>0</v>
      </c>
      <c r="F46" s="183">
        <v>0</v>
      </c>
      <c r="G46" s="183">
        <v>0</v>
      </c>
      <c r="H46" s="183">
        <v>0</v>
      </c>
      <c r="I46" s="183">
        <v>0</v>
      </c>
      <c r="J46" s="183">
        <v>0</v>
      </c>
      <c r="K46" s="183">
        <v>0</v>
      </c>
      <c r="L46" s="183">
        <v>0</v>
      </c>
      <c r="M46" s="183">
        <v>0</v>
      </c>
      <c r="N46" s="183">
        <v>0</v>
      </c>
      <c r="O46" s="183">
        <v>0</v>
      </c>
      <c r="P46" s="183">
        <v>0</v>
      </c>
      <c r="Q46" s="183">
        <v>0</v>
      </c>
      <c r="R46" s="183">
        <v>0</v>
      </c>
      <c r="S46" s="183">
        <v>0</v>
      </c>
      <c r="T46" s="183">
        <v>0</v>
      </c>
      <c r="U46" s="183">
        <v>0</v>
      </c>
      <c r="V46" s="183">
        <v>0</v>
      </c>
      <c r="W46" s="183">
        <v>0</v>
      </c>
      <c r="X46" s="183">
        <v>0</v>
      </c>
      <c r="Y46" s="183">
        <v>0</v>
      </c>
      <c r="Z46" s="183">
        <v>0</v>
      </c>
      <c r="AA46" s="183">
        <v>0</v>
      </c>
      <c r="AB46" s="135">
        <f t="shared" ref="AB46:AE46" si="76">SUM(V46,D46,J46, P46)</f>
        <v>0</v>
      </c>
      <c r="AC46" s="136">
        <f t="shared" si="76"/>
        <v>0</v>
      </c>
      <c r="AD46" s="136">
        <f t="shared" si="76"/>
        <v>0</v>
      </c>
      <c r="AE46" s="136">
        <f t="shared" si="76"/>
        <v>0</v>
      </c>
      <c r="AF46" s="136">
        <f t="shared" si="15"/>
        <v>0</v>
      </c>
      <c r="AG46" s="141">
        <f t="shared" si="16"/>
        <v>0</v>
      </c>
      <c r="AH46" s="137">
        <f t="shared" ref="AH46:AM46" si="77">IF(AB46 = 0, 0, AB46/AB$14)</f>
        <v>0</v>
      </c>
      <c r="AI46" s="137">
        <f t="shared" si="77"/>
        <v>0</v>
      </c>
      <c r="AJ46" s="137">
        <f t="shared" si="77"/>
        <v>0</v>
      </c>
      <c r="AK46" s="137">
        <f t="shared" si="77"/>
        <v>0</v>
      </c>
      <c r="AL46" s="137">
        <f t="shared" si="77"/>
        <v>0</v>
      </c>
      <c r="AM46" s="137">
        <f t="shared" si="77"/>
        <v>0</v>
      </c>
      <c r="AN46" s="138">
        <f>IF(OR(GradeSheet!$M41="W (Withdrawn)", GradeSheet!$M41="I (Incomplete)"), 0, IF(AH46&gt;=55%, 1, 0))</f>
        <v>0</v>
      </c>
      <c r="AO46" s="138">
        <f>IF(OR(GradeSheet!$M41="W (Withdrawn)", GradeSheet!$M41="I (Incomplete)"), 0, IF(AI46&gt;=55%, 1, 0))</f>
        <v>0</v>
      </c>
      <c r="AP46" s="138">
        <f>IF(OR(GradeSheet!$M41="W (Withdrawn)", GradeSheet!$M41="I (Incomplete)"), 0, IF(AJ46&gt;=55%, 1, 0))</f>
        <v>0</v>
      </c>
      <c r="AQ46" s="138">
        <f>IF(OR(GradeSheet!$M41="W (Withdrawn)", GradeSheet!$M41="I (Incomplete)"), 0, IF(AK46&gt;=55%, 1, 0))</f>
        <v>0</v>
      </c>
      <c r="AR46" s="138">
        <f>IF(OR(GradeSheet!$M41="W (Withdrawn)", GradeSheet!$M41="I (Incomplete)"), 0, IF(AL46&gt;=55%, 1, 0))</f>
        <v>0</v>
      </c>
      <c r="AS46" s="138">
        <f>IF(OR(GradeSheet!$M41="W (Withdrawn)", GradeSheet!$M41="I (Incomplete)"), 0, IF(AM46&gt;=55%, 1, 0))</f>
        <v>0</v>
      </c>
      <c r="AT46" s="118"/>
      <c r="AU46" s="139">
        <f t="shared" si="9"/>
        <v>0</v>
      </c>
      <c r="AV46" s="139">
        <f t="shared" si="10"/>
        <v>0</v>
      </c>
      <c r="AW46" s="139">
        <f t="array" ref="AW46">IF($AV$9=0,0,MMULT($AH46:$AM46, AV$3:AV$8)/$AV$9)</f>
        <v>0</v>
      </c>
      <c r="AX46" s="139">
        <f t="array" ref="AX46">IF($AW$9=0,0,MMULT($AH46:$AM46, AW$3:AW$8)/$AW$9)</f>
        <v>0</v>
      </c>
      <c r="AY46" s="139">
        <f t="shared" si="11"/>
        <v>0</v>
      </c>
      <c r="AZ46" s="139">
        <f t="array" ref="AZ46">IF($AY$9=0,0,MMULT($AH46:$AM46, AY$3:AY$8)/$AY$9)</f>
        <v>0</v>
      </c>
      <c r="BA46" s="139">
        <f t="array" ref="BA46">IF($AZ$9=0,0,MMULT($AH46:$AM46, AZ$3:AZ$8)/$AZ$9)</f>
        <v>0</v>
      </c>
      <c r="BB46" s="139">
        <f t="array" ref="BB46">IF($BA$9=0,0,MMULT($AH46:$AM46, BA$3:BA$8)/$BA$9)</f>
        <v>0</v>
      </c>
      <c r="BC46" s="139">
        <f t="array" ref="BC46">IF($BB$9=0,0,MMULT($AH46:$AM46, BB$3:BB$8)/$BB$9)</f>
        <v>0</v>
      </c>
      <c r="BD46" s="139">
        <f t="array" ref="BD46">IF($BC$9=0,0,MMULT($AH46:$AM46, BC$3:BC$8)/$BC$9)</f>
        <v>0</v>
      </c>
      <c r="BE46" s="139">
        <f t="shared" si="12"/>
        <v>0</v>
      </c>
      <c r="BF46" s="139">
        <f t="shared" si="13"/>
        <v>0</v>
      </c>
      <c r="BG46" s="138">
        <f>IF(OR(GradeSheet!$M41="W (Withdrawn)", GradeSheet!$M41="I (Incomplete)"), 0, IF(AU46&gt;=65%, 1, 0))</f>
        <v>0</v>
      </c>
      <c r="BH46" s="138">
        <f>IF(OR(GradeSheet!$M41="W (Withdrawn)", GradeSheet!$M41="I (Incomplete)"), 0, IF(AV46&gt;=65%, 1, 0))</f>
        <v>0</v>
      </c>
      <c r="BI46" s="138">
        <f>IF(OR(GradeSheet!$M41="W (Withdrawn)", GradeSheet!$M41="I (Incomplete)"), 0, IF(AW46&gt;=65%, 1, 0))</f>
        <v>0</v>
      </c>
      <c r="BJ46" s="138">
        <f>IF(OR(GradeSheet!$M41="W (Withdrawn)", GradeSheet!$M41="I (Incomplete)"), 0, IF(AX46&gt;=65%, 1, 0))</f>
        <v>0</v>
      </c>
      <c r="BK46" s="138">
        <f>IF(OR(GradeSheet!$M41="W (Withdrawn)", GradeSheet!$M41="I (Incomplete)"), 0, IF(AY46&gt;=65%, 1, 0))</f>
        <v>0</v>
      </c>
      <c r="BL46" s="138">
        <f>IF(OR(GradeSheet!$M41="W (Withdrawn)", GradeSheet!$M41="I (Incomplete)"), 0, IF(AZ46&gt;=65%, 1, 0))</f>
        <v>0</v>
      </c>
      <c r="BM46" s="138">
        <f>IF(OR(GradeSheet!$M41="W (Withdrawn)", GradeSheet!$M41="I (Incomplete)"), 0, IF(BA46&gt;=65%, 1, 0))</f>
        <v>0</v>
      </c>
      <c r="BN46" s="138">
        <f>IF(OR(GradeSheet!$M41="W (Withdrawn)", GradeSheet!$M41="I (Incomplete)"), 0, IF(BB46&gt;=65%, 1, 0))</f>
        <v>0</v>
      </c>
      <c r="BO46" s="138">
        <f>IF(OR(GradeSheet!$M41="W (Withdrawn)", GradeSheet!$M41="I (Incomplete)"), 0, IF(BC46&gt;=65%, 1, 0))</f>
        <v>0</v>
      </c>
      <c r="BP46" s="138">
        <f>IF(OR(GradeSheet!$M41="W (Withdrawn)", GradeSheet!$M41="I (Incomplete)"), 0, IF(BD46&gt;=65%, 1, 0))</f>
        <v>0</v>
      </c>
      <c r="BQ46" s="138">
        <f>IF(OR(GradeSheet!$M41="W (Withdrawn)", GradeSheet!$M41="I (Incomplete)"), 0, IF(BE46&gt;=65%, 1, 0))</f>
        <v>0</v>
      </c>
      <c r="BR46" s="138">
        <f>IF(OR(GradeSheet!$M41="W (Withdrawn)", GradeSheet!$M41="I (Incomplete)"), 0, IF(BF46&gt;=65%, 1, 0))</f>
        <v>0</v>
      </c>
    </row>
    <row r="47" spans="1:70" ht="15.75" customHeight="1">
      <c r="A47" s="134">
        <v>33</v>
      </c>
      <c r="B47" s="35">
        <f>GradeSheet!X42</f>
        <v>0</v>
      </c>
      <c r="C47" s="23">
        <f>GradeSheet!W42</f>
        <v>0</v>
      </c>
      <c r="D47" s="183">
        <v>0</v>
      </c>
      <c r="E47" s="183">
        <v>0</v>
      </c>
      <c r="F47" s="183">
        <v>0</v>
      </c>
      <c r="G47" s="183">
        <v>0</v>
      </c>
      <c r="H47" s="183">
        <v>0</v>
      </c>
      <c r="I47" s="183">
        <v>0</v>
      </c>
      <c r="J47" s="183">
        <v>0</v>
      </c>
      <c r="K47" s="183">
        <v>0</v>
      </c>
      <c r="L47" s="183">
        <v>0</v>
      </c>
      <c r="M47" s="183">
        <v>0</v>
      </c>
      <c r="N47" s="183">
        <v>0</v>
      </c>
      <c r="O47" s="183">
        <v>0</v>
      </c>
      <c r="P47" s="183">
        <v>0</v>
      </c>
      <c r="Q47" s="183">
        <v>0</v>
      </c>
      <c r="R47" s="183">
        <v>0</v>
      </c>
      <c r="S47" s="183">
        <v>0</v>
      </c>
      <c r="T47" s="183">
        <v>0</v>
      </c>
      <c r="U47" s="183">
        <v>0</v>
      </c>
      <c r="V47" s="183">
        <v>0</v>
      </c>
      <c r="W47" s="183">
        <v>0</v>
      </c>
      <c r="X47" s="183">
        <v>0</v>
      </c>
      <c r="Y47" s="183">
        <v>0</v>
      </c>
      <c r="Z47" s="183">
        <v>0</v>
      </c>
      <c r="AA47" s="183">
        <v>0</v>
      </c>
      <c r="AB47" s="135">
        <f t="shared" ref="AB47:AE47" si="78">SUM(V47,D47,J47, P47)</f>
        <v>0</v>
      </c>
      <c r="AC47" s="136">
        <f t="shared" si="78"/>
        <v>0</v>
      </c>
      <c r="AD47" s="136">
        <f t="shared" si="78"/>
        <v>0</v>
      </c>
      <c r="AE47" s="136">
        <f t="shared" si="78"/>
        <v>0</v>
      </c>
      <c r="AF47" s="136">
        <f t="shared" si="15"/>
        <v>0</v>
      </c>
      <c r="AG47" s="141">
        <f t="shared" si="16"/>
        <v>0</v>
      </c>
      <c r="AH47" s="137">
        <f t="shared" ref="AH47:AM47" si="79">IF(AB47 = 0, 0, AB47/AB$14)</f>
        <v>0</v>
      </c>
      <c r="AI47" s="137">
        <f t="shared" si="79"/>
        <v>0</v>
      </c>
      <c r="AJ47" s="137">
        <f t="shared" si="79"/>
        <v>0</v>
      </c>
      <c r="AK47" s="137">
        <f t="shared" si="79"/>
        <v>0</v>
      </c>
      <c r="AL47" s="137">
        <f t="shared" si="79"/>
        <v>0</v>
      </c>
      <c r="AM47" s="137">
        <f t="shared" si="79"/>
        <v>0</v>
      </c>
      <c r="AN47" s="138">
        <f>IF(OR(GradeSheet!$M42="W (Withdrawn)", GradeSheet!$M42="I (Incomplete)"), 0, IF(AH47&gt;=55%, 1, 0))</f>
        <v>0</v>
      </c>
      <c r="AO47" s="138">
        <f>IF(OR(GradeSheet!$M42="W (Withdrawn)", GradeSheet!$M42="I (Incomplete)"), 0, IF(AI47&gt;=55%, 1, 0))</f>
        <v>0</v>
      </c>
      <c r="AP47" s="138">
        <f>IF(OR(GradeSheet!$M42="W (Withdrawn)", GradeSheet!$M42="I (Incomplete)"), 0, IF(AJ47&gt;=55%, 1, 0))</f>
        <v>0</v>
      </c>
      <c r="AQ47" s="138">
        <f>IF(OR(GradeSheet!$M42="W (Withdrawn)", GradeSheet!$M42="I (Incomplete)"), 0, IF(AK47&gt;=55%, 1, 0))</f>
        <v>0</v>
      </c>
      <c r="AR47" s="138">
        <f>IF(OR(GradeSheet!$M42="W (Withdrawn)", GradeSheet!$M42="I (Incomplete)"), 0, IF(AL47&gt;=55%, 1, 0))</f>
        <v>0</v>
      </c>
      <c r="AS47" s="138">
        <f>IF(OR(GradeSheet!$M42="W (Withdrawn)", GradeSheet!$M42="I (Incomplete)"), 0, IF(AM47&gt;=55%, 1, 0))</f>
        <v>0</v>
      </c>
      <c r="AT47" s="118"/>
      <c r="AU47" s="139">
        <f t="shared" si="9"/>
        <v>0</v>
      </c>
      <c r="AV47" s="139">
        <f t="shared" si="10"/>
        <v>0</v>
      </c>
      <c r="AW47" s="139">
        <f t="array" ref="AW47">IF($AV$9=0,0,MMULT($AH47:$AM47, AV$3:AV$8)/$AV$9)</f>
        <v>0</v>
      </c>
      <c r="AX47" s="139">
        <f t="array" ref="AX47">IF($AW$9=0,0,MMULT($AH47:$AM47, AW$3:AW$8)/$AW$9)</f>
        <v>0</v>
      </c>
      <c r="AY47" s="139">
        <f t="shared" si="11"/>
        <v>0</v>
      </c>
      <c r="AZ47" s="139">
        <f t="array" ref="AZ47">IF($AY$9=0,0,MMULT($AH47:$AM47, AY$3:AY$8)/$AY$9)</f>
        <v>0</v>
      </c>
      <c r="BA47" s="139">
        <f t="array" ref="BA47">IF($AZ$9=0,0,MMULT($AH47:$AM47, AZ$3:AZ$8)/$AZ$9)</f>
        <v>0</v>
      </c>
      <c r="BB47" s="139">
        <f t="array" ref="BB47">IF($BA$9=0,0,MMULT($AH47:$AM47, BA$3:BA$8)/$BA$9)</f>
        <v>0</v>
      </c>
      <c r="BC47" s="139">
        <f t="array" ref="BC47">IF($BB$9=0,0,MMULT($AH47:$AM47, BB$3:BB$8)/$BB$9)</f>
        <v>0</v>
      </c>
      <c r="BD47" s="139">
        <f t="array" ref="BD47">IF($BC$9=0,0,MMULT($AH47:$AM47, BC$3:BC$8)/$BC$9)</f>
        <v>0</v>
      </c>
      <c r="BE47" s="139">
        <f t="shared" si="12"/>
        <v>0</v>
      </c>
      <c r="BF47" s="139">
        <f t="shared" si="13"/>
        <v>0</v>
      </c>
      <c r="BG47" s="138">
        <f>IF(OR(GradeSheet!$M42="W (Withdrawn)", GradeSheet!$M42="I (Incomplete)"), 0, IF(AU47&gt;=65%, 1, 0))</f>
        <v>0</v>
      </c>
      <c r="BH47" s="138">
        <f>IF(OR(GradeSheet!$M42="W (Withdrawn)", GradeSheet!$M42="I (Incomplete)"), 0, IF(AV47&gt;=65%, 1, 0))</f>
        <v>0</v>
      </c>
      <c r="BI47" s="138">
        <f>IF(OR(GradeSheet!$M42="W (Withdrawn)", GradeSheet!$M42="I (Incomplete)"), 0, IF(AW47&gt;=65%, 1, 0))</f>
        <v>0</v>
      </c>
      <c r="BJ47" s="138">
        <f>IF(OR(GradeSheet!$M42="W (Withdrawn)", GradeSheet!$M42="I (Incomplete)"), 0, IF(AX47&gt;=65%, 1, 0))</f>
        <v>0</v>
      </c>
      <c r="BK47" s="138">
        <f>IF(OR(GradeSheet!$M42="W (Withdrawn)", GradeSheet!$M42="I (Incomplete)"), 0, IF(AY47&gt;=65%, 1, 0))</f>
        <v>0</v>
      </c>
      <c r="BL47" s="138">
        <f>IF(OR(GradeSheet!$M42="W (Withdrawn)", GradeSheet!$M42="I (Incomplete)"), 0, IF(AZ47&gt;=65%, 1, 0))</f>
        <v>0</v>
      </c>
      <c r="BM47" s="138">
        <f>IF(OR(GradeSheet!$M42="W (Withdrawn)", GradeSheet!$M42="I (Incomplete)"), 0, IF(BA47&gt;=65%, 1, 0))</f>
        <v>0</v>
      </c>
      <c r="BN47" s="138">
        <f>IF(OR(GradeSheet!$M42="W (Withdrawn)", GradeSheet!$M42="I (Incomplete)"), 0, IF(BB47&gt;=65%, 1, 0))</f>
        <v>0</v>
      </c>
      <c r="BO47" s="138">
        <f>IF(OR(GradeSheet!$M42="W (Withdrawn)", GradeSheet!$M42="I (Incomplete)"), 0, IF(BC47&gt;=65%, 1, 0))</f>
        <v>0</v>
      </c>
      <c r="BP47" s="138">
        <f>IF(OR(GradeSheet!$M42="W (Withdrawn)", GradeSheet!$M42="I (Incomplete)"), 0, IF(BD47&gt;=65%, 1, 0))</f>
        <v>0</v>
      </c>
      <c r="BQ47" s="138">
        <f>IF(OR(GradeSheet!$M42="W (Withdrawn)", GradeSheet!$M42="I (Incomplete)"), 0, IF(BE47&gt;=65%, 1, 0))</f>
        <v>0</v>
      </c>
      <c r="BR47" s="138">
        <f>IF(OR(GradeSheet!$M42="W (Withdrawn)", GradeSheet!$M42="I (Incomplete)"), 0, IF(BF47&gt;=65%, 1, 0))</f>
        <v>0</v>
      </c>
    </row>
    <row r="48" spans="1:70" ht="15.75" customHeight="1">
      <c r="A48" s="140">
        <v>34</v>
      </c>
      <c r="B48" s="35">
        <f>GradeSheet!X43</f>
        <v>0</v>
      </c>
      <c r="C48" s="23">
        <f>GradeSheet!W43</f>
        <v>0</v>
      </c>
      <c r="D48" s="183">
        <v>0</v>
      </c>
      <c r="E48" s="183">
        <v>0</v>
      </c>
      <c r="F48" s="183">
        <v>0</v>
      </c>
      <c r="G48" s="183">
        <v>0</v>
      </c>
      <c r="H48" s="183">
        <v>0</v>
      </c>
      <c r="I48" s="183">
        <v>0</v>
      </c>
      <c r="J48" s="183">
        <v>0</v>
      </c>
      <c r="K48" s="183">
        <v>0</v>
      </c>
      <c r="L48" s="183">
        <v>0</v>
      </c>
      <c r="M48" s="183">
        <v>0</v>
      </c>
      <c r="N48" s="183">
        <v>0</v>
      </c>
      <c r="O48" s="183">
        <v>0</v>
      </c>
      <c r="P48" s="183">
        <v>0</v>
      </c>
      <c r="Q48" s="183">
        <v>0</v>
      </c>
      <c r="R48" s="183">
        <v>0</v>
      </c>
      <c r="S48" s="183">
        <v>0</v>
      </c>
      <c r="T48" s="183">
        <v>0</v>
      </c>
      <c r="U48" s="183">
        <v>0</v>
      </c>
      <c r="V48" s="183">
        <v>0</v>
      </c>
      <c r="W48" s="183">
        <v>0</v>
      </c>
      <c r="X48" s="183">
        <v>0</v>
      </c>
      <c r="Y48" s="183">
        <v>0</v>
      </c>
      <c r="Z48" s="183">
        <v>0</v>
      </c>
      <c r="AA48" s="183">
        <v>0</v>
      </c>
      <c r="AB48" s="135">
        <f t="shared" ref="AB48:AE48" si="80">SUM(V48,D48,J48, P48)</f>
        <v>0</v>
      </c>
      <c r="AC48" s="136">
        <f t="shared" si="80"/>
        <v>0</v>
      </c>
      <c r="AD48" s="136">
        <f t="shared" si="80"/>
        <v>0</v>
      </c>
      <c r="AE48" s="136">
        <f t="shared" si="80"/>
        <v>0</v>
      </c>
      <c r="AF48" s="136">
        <f t="shared" si="15"/>
        <v>0</v>
      </c>
      <c r="AG48" s="141">
        <f t="shared" si="16"/>
        <v>0</v>
      </c>
      <c r="AH48" s="137">
        <f t="shared" ref="AH48:AM48" si="81">IF(AB48 = 0, 0, AB48/AB$14)</f>
        <v>0</v>
      </c>
      <c r="AI48" s="137">
        <f t="shared" si="81"/>
        <v>0</v>
      </c>
      <c r="AJ48" s="137">
        <f t="shared" si="81"/>
        <v>0</v>
      </c>
      <c r="AK48" s="137">
        <f t="shared" si="81"/>
        <v>0</v>
      </c>
      <c r="AL48" s="137">
        <f t="shared" si="81"/>
        <v>0</v>
      </c>
      <c r="AM48" s="137">
        <f t="shared" si="81"/>
        <v>0</v>
      </c>
      <c r="AN48" s="138">
        <f>IF(OR(GradeSheet!$M43="W (Withdrawn)", GradeSheet!$M43="I (Incomplete)"), 0, IF(AH48&gt;=55%, 1, 0))</f>
        <v>0</v>
      </c>
      <c r="AO48" s="138">
        <f>IF(OR(GradeSheet!$M43="W (Withdrawn)", GradeSheet!$M43="I (Incomplete)"), 0, IF(AI48&gt;=55%, 1, 0))</f>
        <v>0</v>
      </c>
      <c r="AP48" s="138">
        <f>IF(OR(GradeSheet!$M43="W (Withdrawn)", GradeSheet!$M43="I (Incomplete)"), 0, IF(AJ48&gt;=55%, 1, 0))</f>
        <v>0</v>
      </c>
      <c r="AQ48" s="138">
        <f>IF(OR(GradeSheet!$M43="W (Withdrawn)", GradeSheet!$M43="I (Incomplete)"), 0, IF(AK48&gt;=55%, 1, 0))</f>
        <v>0</v>
      </c>
      <c r="AR48" s="138">
        <f>IF(OR(GradeSheet!$M43="W (Withdrawn)", GradeSheet!$M43="I (Incomplete)"), 0, IF(AL48&gt;=55%, 1, 0))</f>
        <v>0</v>
      </c>
      <c r="AS48" s="138">
        <f>IF(OR(GradeSheet!$M43="W (Withdrawn)", GradeSheet!$M43="I (Incomplete)"), 0, IF(AM48&gt;=55%, 1, 0))</f>
        <v>0</v>
      </c>
      <c r="AT48" s="118"/>
      <c r="AU48" s="139">
        <f t="shared" si="9"/>
        <v>0</v>
      </c>
      <c r="AV48" s="139">
        <f t="shared" si="10"/>
        <v>0</v>
      </c>
      <c r="AW48" s="139">
        <f t="array" ref="AW48">IF($AV$9=0,0,MMULT($AH48:$AM48, AV$3:AV$8)/$AV$9)</f>
        <v>0</v>
      </c>
      <c r="AX48" s="139">
        <f t="array" ref="AX48">IF($AW$9=0,0,MMULT($AH48:$AM48, AW$3:AW$8)/$AW$9)</f>
        <v>0</v>
      </c>
      <c r="AY48" s="139">
        <f t="shared" si="11"/>
        <v>0</v>
      </c>
      <c r="AZ48" s="139">
        <f t="array" ref="AZ48">IF($AY$9=0,0,MMULT($AH48:$AM48, AY$3:AY$8)/$AY$9)</f>
        <v>0</v>
      </c>
      <c r="BA48" s="139">
        <f t="array" ref="BA48">IF($AZ$9=0,0,MMULT($AH48:$AM48, AZ$3:AZ$8)/$AZ$9)</f>
        <v>0</v>
      </c>
      <c r="BB48" s="139">
        <f t="array" ref="BB48">IF($BA$9=0,0,MMULT($AH48:$AM48, BA$3:BA$8)/$BA$9)</f>
        <v>0</v>
      </c>
      <c r="BC48" s="139">
        <f t="array" ref="BC48">IF($BB$9=0,0,MMULT($AH48:$AM48, BB$3:BB$8)/$BB$9)</f>
        <v>0</v>
      </c>
      <c r="BD48" s="139">
        <f t="array" ref="BD48">IF($BC$9=0,0,MMULT($AH48:$AM48, BC$3:BC$8)/$BC$9)</f>
        <v>0</v>
      </c>
      <c r="BE48" s="139">
        <f t="shared" si="12"/>
        <v>0</v>
      </c>
      <c r="BF48" s="139">
        <f t="shared" si="13"/>
        <v>0</v>
      </c>
      <c r="BG48" s="138">
        <f>IF(OR(GradeSheet!$M43="W (Withdrawn)", GradeSheet!$M43="I (Incomplete)"), 0, IF(AU48&gt;=65%, 1, 0))</f>
        <v>0</v>
      </c>
      <c r="BH48" s="138">
        <f>IF(OR(GradeSheet!$M43="W (Withdrawn)", GradeSheet!$M43="I (Incomplete)"), 0, IF(AV48&gt;=65%, 1, 0))</f>
        <v>0</v>
      </c>
      <c r="BI48" s="138">
        <f>IF(OR(GradeSheet!$M43="W (Withdrawn)", GradeSheet!$M43="I (Incomplete)"), 0, IF(AW48&gt;=65%, 1, 0))</f>
        <v>0</v>
      </c>
      <c r="BJ48" s="138">
        <f>IF(OR(GradeSheet!$M43="W (Withdrawn)", GradeSheet!$M43="I (Incomplete)"), 0, IF(AX48&gt;=65%, 1, 0))</f>
        <v>0</v>
      </c>
      <c r="BK48" s="138">
        <f>IF(OR(GradeSheet!$M43="W (Withdrawn)", GradeSheet!$M43="I (Incomplete)"), 0, IF(AY48&gt;=65%, 1, 0))</f>
        <v>0</v>
      </c>
      <c r="BL48" s="138">
        <f>IF(OR(GradeSheet!$M43="W (Withdrawn)", GradeSheet!$M43="I (Incomplete)"), 0, IF(AZ48&gt;=65%, 1, 0))</f>
        <v>0</v>
      </c>
      <c r="BM48" s="138">
        <f>IF(OR(GradeSheet!$M43="W (Withdrawn)", GradeSheet!$M43="I (Incomplete)"), 0, IF(BA48&gt;=65%, 1, 0))</f>
        <v>0</v>
      </c>
      <c r="BN48" s="138">
        <f>IF(OR(GradeSheet!$M43="W (Withdrawn)", GradeSheet!$M43="I (Incomplete)"), 0, IF(BB48&gt;=65%, 1, 0))</f>
        <v>0</v>
      </c>
      <c r="BO48" s="138">
        <f>IF(OR(GradeSheet!$M43="W (Withdrawn)", GradeSheet!$M43="I (Incomplete)"), 0, IF(BC48&gt;=65%, 1, 0))</f>
        <v>0</v>
      </c>
      <c r="BP48" s="138">
        <f>IF(OR(GradeSheet!$M43="W (Withdrawn)", GradeSheet!$M43="I (Incomplete)"), 0, IF(BD48&gt;=65%, 1, 0))</f>
        <v>0</v>
      </c>
      <c r="BQ48" s="138">
        <f>IF(OR(GradeSheet!$M43="W (Withdrawn)", GradeSheet!$M43="I (Incomplete)"), 0, IF(BE48&gt;=65%, 1, 0))</f>
        <v>0</v>
      </c>
      <c r="BR48" s="138">
        <f>IF(OR(GradeSheet!$M43="W (Withdrawn)", GradeSheet!$M43="I (Incomplete)"), 0, IF(BF48&gt;=65%, 1, 0))</f>
        <v>0</v>
      </c>
    </row>
    <row r="49" spans="1:70" ht="15.75" customHeight="1">
      <c r="A49" s="134">
        <v>35</v>
      </c>
      <c r="B49" s="35">
        <f>GradeSheet!X44</f>
        <v>0</v>
      </c>
      <c r="C49" s="23">
        <f>GradeSheet!W44</f>
        <v>0</v>
      </c>
      <c r="D49" s="183">
        <v>0</v>
      </c>
      <c r="E49" s="183">
        <v>0</v>
      </c>
      <c r="F49" s="183">
        <v>0</v>
      </c>
      <c r="G49" s="183">
        <v>0</v>
      </c>
      <c r="H49" s="183">
        <v>0</v>
      </c>
      <c r="I49" s="183">
        <v>0</v>
      </c>
      <c r="J49" s="183">
        <v>0</v>
      </c>
      <c r="K49" s="183">
        <v>0</v>
      </c>
      <c r="L49" s="183">
        <v>0</v>
      </c>
      <c r="M49" s="183">
        <v>0</v>
      </c>
      <c r="N49" s="183">
        <v>0</v>
      </c>
      <c r="O49" s="183">
        <v>0</v>
      </c>
      <c r="P49" s="183">
        <v>0</v>
      </c>
      <c r="Q49" s="183">
        <v>0</v>
      </c>
      <c r="R49" s="183">
        <v>0</v>
      </c>
      <c r="S49" s="183">
        <v>0</v>
      </c>
      <c r="T49" s="183">
        <v>0</v>
      </c>
      <c r="U49" s="183">
        <v>0</v>
      </c>
      <c r="V49" s="183">
        <v>0</v>
      </c>
      <c r="W49" s="183">
        <v>0</v>
      </c>
      <c r="X49" s="183">
        <v>0</v>
      </c>
      <c r="Y49" s="183">
        <v>0</v>
      </c>
      <c r="Z49" s="183">
        <v>0</v>
      </c>
      <c r="AA49" s="183">
        <v>0</v>
      </c>
      <c r="AB49" s="135">
        <f t="shared" ref="AB49:AE49" si="82">SUM(V49,D49,J49, P49)</f>
        <v>0</v>
      </c>
      <c r="AC49" s="136">
        <f t="shared" si="82"/>
        <v>0</v>
      </c>
      <c r="AD49" s="136">
        <f t="shared" si="82"/>
        <v>0</v>
      </c>
      <c r="AE49" s="136">
        <f t="shared" si="82"/>
        <v>0</v>
      </c>
      <c r="AF49" s="136">
        <f t="shared" si="15"/>
        <v>0</v>
      </c>
      <c r="AG49" s="141">
        <f t="shared" si="16"/>
        <v>0</v>
      </c>
      <c r="AH49" s="137">
        <f t="shared" ref="AH49:AM49" si="83">IF(AB49 = 0, 0, AB49/AB$14)</f>
        <v>0</v>
      </c>
      <c r="AI49" s="137">
        <f t="shared" si="83"/>
        <v>0</v>
      </c>
      <c r="AJ49" s="137">
        <f t="shared" si="83"/>
        <v>0</v>
      </c>
      <c r="AK49" s="137">
        <f t="shared" si="83"/>
        <v>0</v>
      </c>
      <c r="AL49" s="137">
        <f t="shared" si="83"/>
        <v>0</v>
      </c>
      <c r="AM49" s="137">
        <f t="shared" si="83"/>
        <v>0</v>
      </c>
      <c r="AN49" s="138">
        <f>IF(OR(GradeSheet!$M44="W (Withdrawn)", GradeSheet!$M44="I (Incomplete)"), 0, IF(AH49&gt;=55%, 1, 0))</f>
        <v>0</v>
      </c>
      <c r="AO49" s="138">
        <f>IF(OR(GradeSheet!$M44="W (Withdrawn)", GradeSheet!$M44="I (Incomplete)"), 0, IF(AI49&gt;=55%, 1, 0))</f>
        <v>0</v>
      </c>
      <c r="AP49" s="138">
        <f>IF(OR(GradeSheet!$M44="W (Withdrawn)", GradeSheet!$M44="I (Incomplete)"), 0, IF(AJ49&gt;=55%, 1, 0))</f>
        <v>0</v>
      </c>
      <c r="AQ49" s="138">
        <f>IF(OR(GradeSheet!$M44="W (Withdrawn)", GradeSheet!$M44="I (Incomplete)"), 0, IF(AK49&gt;=55%, 1, 0))</f>
        <v>0</v>
      </c>
      <c r="AR49" s="138">
        <f>IF(OR(GradeSheet!$M44="W (Withdrawn)", GradeSheet!$M44="I (Incomplete)"), 0, IF(AL49&gt;=55%, 1, 0))</f>
        <v>0</v>
      </c>
      <c r="AS49" s="138">
        <f>IF(OR(GradeSheet!$M44="W (Withdrawn)", GradeSheet!$M44="I (Incomplete)"), 0, IF(AM49&gt;=55%, 1, 0))</f>
        <v>0</v>
      </c>
      <c r="AT49" s="118"/>
      <c r="AU49" s="139">
        <f t="shared" si="9"/>
        <v>0</v>
      </c>
      <c r="AV49" s="139">
        <f t="shared" si="10"/>
        <v>0</v>
      </c>
      <c r="AW49" s="139">
        <f t="array" ref="AW49">IF($AV$9=0,0,MMULT($AH49:$AM49, AV$3:AV$8)/$AV$9)</f>
        <v>0</v>
      </c>
      <c r="AX49" s="139">
        <f t="array" ref="AX49">IF($AW$9=0,0,MMULT($AH49:$AM49, AW$3:AW$8)/$AW$9)</f>
        <v>0</v>
      </c>
      <c r="AY49" s="139">
        <f t="shared" si="11"/>
        <v>0</v>
      </c>
      <c r="AZ49" s="139">
        <f t="array" ref="AZ49">IF($AY$9=0,0,MMULT($AH49:$AM49, AY$3:AY$8)/$AY$9)</f>
        <v>0</v>
      </c>
      <c r="BA49" s="139">
        <f t="array" ref="BA49">IF($AZ$9=0,0,MMULT($AH49:$AM49, AZ$3:AZ$8)/$AZ$9)</f>
        <v>0</v>
      </c>
      <c r="BB49" s="139">
        <f t="array" ref="BB49">IF($BA$9=0,0,MMULT($AH49:$AM49, BA$3:BA$8)/$BA$9)</f>
        <v>0</v>
      </c>
      <c r="BC49" s="139">
        <f t="array" ref="BC49">IF($BB$9=0,0,MMULT($AH49:$AM49, BB$3:BB$8)/$BB$9)</f>
        <v>0</v>
      </c>
      <c r="BD49" s="139">
        <f t="array" ref="BD49">IF($BC$9=0,0,MMULT($AH49:$AM49, BC$3:BC$8)/$BC$9)</f>
        <v>0</v>
      </c>
      <c r="BE49" s="139">
        <f t="shared" si="12"/>
        <v>0</v>
      </c>
      <c r="BF49" s="139">
        <f t="shared" si="13"/>
        <v>0</v>
      </c>
      <c r="BG49" s="138">
        <f>IF(OR(GradeSheet!$M44="W (Withdrawn)", GradeSheet!$M44="I (Incomplete)"), 0, IF(AU49&gt;=65%, 1, 0))</f>
        <v>0</v>
      </c>
      <c r="BH49" s="138">
        <f>IF(OR(GradeSheet!$M44="W (Withdrawn)", GradeSheet!$M44="I (Incomplete)"), 0, IF(AV49&gt;=65%, 1, 0))</f>
        <v>0</v>
      </c>
      <c r="BI49" s="138">
        <f>IF(OR(GradeSheet!$M44="W (Withdrawn)", GradeSheet!$M44="I (Incomplete)"), 0, IF(AW49&gt;=65%, 1, 0))</f>
        <v>0</v>
      </c>
      <c r="BJ49" s="138">
        <f>IF(OR(GradeSheet!$M44="W (Withdrawn)", GradeSheet!$M44="I (Incomplete)"), 0, IF(AX49&gt;=65%, 1, 0))</f>
        <v>0</v>
      </c>
      <c r="BK49" s="138">
        <f>IF(OR(GradeSheet!$M44="W (Withdrawn)", GradeSheet!$M44="I (Incomplete)"), 0, IF(AY49&gt;=65%, 1, 0))</f>
        <v>0</v>
      </c>
      <c r="BL49" s="138">
        <f>IF(OR(GradeSheet!$M44="W (Withdrawn)", GradeSheet!$M44="I (Incomplete)"), 0, IF(AZ49&gt;=65%, 1, 0))</f>
        <v>0</v>
      </c>
      <c r="BM49" s="138">
        <f>IF(OR(GradeSheet!$M44="W (Withdrawn)", GradeSheet!$M44="I (Incomplete)"), 0, IF(BA49&gt;=65%, 1, 0))</f>
        <v>0</v>
      </c>
      <c r="BN49" s="138">
        <f>IF(OR(GradeSheet!$M44="W (Withdrawn)", GradeSheet!$M44="I (Incomplete)"), 0, IF(BB49&gt;=65%, 1, 0))</f>
        <v>0</v>
      </c>
      <c r="BO49" s="138">
        <f>IF(OR(GradeSheet!$M44="W (Withdrawn)", GradeSheet!$M44="I (Incomplete)"), 0, IF(BC49&gt;=65%, 1, 0))</f>
        <v>0</v>
      </c>
      <c r="BP49" s="138">
        <f>IF(OR(GradeSheet!$M44="W (Withdrawn)", GradeSheet!$M44="I (Incomplete)"), 0, IF(BD49&gt;=65%, 1, 0))</f>
        <v>0</v>
      </c>
      <c r="BQ49" s="138">
        <f>IF(OR(GradeSheet!$M44="W (Withdrawn)", GradeSheet!$M44="I (Incomplete)"), 0, IF(BE49&gt;=65%, 1, 0))</f>
        <v>0</v>
      </c>
      <c r="BR49" s="138">
        <f>IF(OR(GradeSheet!$M44="W (Withdrawn)", GradeSheet!$M44="I (Incomplete)"), 0, IF(BF49&gt;=65%, 1, 0))</f>
        <v>0</v>
      </c>
    </row>
    <row r="50" spans="1:70" ht="15.75" customHeight="1">
      <c r="A50" s="140">
        <v>36</v>
      </c>
      <c r="B50" s="35">
        <f>GradeSheet!X45</f>
        <v>0</v>
      </c>
      <c r="C50" s="23">
        <f>GradeSheet!W45</f>
        <v>0</v>
      </c>
      <c r="D50" s="183">
        <v>0</v>
      </c>
      <c r="E50" s="183">
        <v>0</v>
      </c>
      <c r="F50" s="183">
        <v>0</v>
      </c>
      <c r="G50" s="183">
        <v>0</v>
      </c>
      <c r="H50" s="183">
        <v>0</v>
      </c>
      <c r="I50" s="183">
        <v>0</v>
      </c>
      <c r="J50" s="183">
        <v>0</v>
      </c>
      <c r="K50" s="183">
        <v>0</v>
      </c>
      <c r="L50" s="183">
        <v>0</v>
      </c>
      <c r="M50" s="183">
        <v>0</v>
      </c>
      <c r="N50" s="183">
        <v>0</v>
      </c>
      <c r="O50" s="183">
        <v>0</v>
      </c>
      <c r="P50" s="183">
        <v>0</v>
      </c>
      <c r="Q50" s="183">
        <v>0</v>
      </c>
      <c r="R50" s="183">
        <v>0</v>
      </c>
      <c r="S50" s="183">
        <v>0</v>
      </c>
      <c r="T50" s="183">
        <v>0</v>
      </c>
      <c r="U50" s="183">
        <v>0</v>
      </c>
      <c r="V50" s="183">
        <v>0</v>
      </c>
      <c r="W50" s="183">
        <v>0</v>
      </c>
      <c r="X50" s="183">
        <v>0</v>
      </c>
      <c r="Y50" s="183">
        <v>0</v>
      </c>
      <c r="Z50" s="183">
        <v>0</v>
      </c>
      <c r="AA50" s="183">
        <v>0</v>
      </c>
      <c r="AB50" s="135">
        <f t="shared" ref="AB50:AE50" si="84">SUM(V50,D50,J50, P50)</f>
        <v>0</v>
      </c>
      <c r="AC50" s="136">
        <f t="shared" si="84"/>
        <v>0</v>
      </c>
      <c r="AD50" s="136">
        <f t="shared" si="84"/>
        <v>0</v>
      </c>
      <c r="AE50" s="136">
        <f t="shared" si="84"/>
        <v>0</v>
      </c>
      <c r="AF50" s="136">
        <f t="shared" si="15"/>
        <v>0</v>
      </c>
      <c r="AG50" s="141">
        <f t="shared" si="16"/>
        <v>0</v>
      </c>
      <c r="AH50" s="137">
        <f t="shared" ref="AH50:AM50" si="85">IF(AB50 = 0, 0, AB50/AB$14)</f>
        <v>0</v>
      </c>
      <c r="AI50" s="137">
        <f t="shared" si="85"/>
        <v>0</v>
      </c>
      <c r="AJ50" s="137">
        <f t="shared" si="85"/>
        <v>0</v>
      </c>
      <c r="AK50" s="137">
        <f t="shared" si="85"/>
        <v>0</v>
      </c>
      <c r="AL50" s="137">
        <f t="shared" si="85"/>
        <v>0</v>
      </c>
      <c r="AM50" s="137">
        <f t="shared" si="85"/>
        <v>0</v>
      </c>
      <c r="AN50" s="138">
        <f>IF(OR(GradeSheet!$M45="W (Withdrawn)", GradeSheet!$M45="I (Incomplete)"), 0, IF(AH50&gt;=55%, 1, 0))</f>
        <v>0</v>
      </c>
      <c r="AO50" s="138">
        <f>IF(OR(GradeSheet!$M45="W (Withdrawn)", GradeSheet!$M45="I (Incomplete)"), 0, IF(AI50&gt;=55%, 1, 0))</f>
        <v>0</v>
      </c>
      <c r="AP50" s="138">
        <f>IF(OR(GradeSheet!$M45="W (Withdrawn)", GradeSheet!$M45="I (Incomplete)"), 0, IF(AJ50&gt;=55%, 1, 0))</f>
        <v>0</v>
      </c>
      <c r="AQ50" s="138">
        <f>IF(OR(GradeSheet!$M45="W (Withdrawn)", GradeSheet!$M45="I (Incomplete)"), 0, IF(AK50&gt;=55%, 1, 0))</f>
        <v>0</v>
      </c>
      <c r="AR50" s="138">
        <f>IF(OR(GradeSheet!$M45="W (Withdrawn)", GradeSheet!$M45="I (Incomplete)"), 0, IF(AL50&gt;=55%, 1, 0))</f>
        <v>0</v>
      </c>
      <c r="AS50" s="138">
        <f>IF(OR(GradeSheet!$M45="W (Withdrawn)", GradeSheet!$M45="I (Incomplete)"), 0, IF(AM50&gt;=55%, 1, 0))</f>
        <v>0</v>
      </c>
      <c r="AT50" s="118"/>
      <c r="AU50" s="139">
        <f t="shared" si="9"/>
        <v>0</v>
      </c>
      <c r="AV50" s="139">
        <f t="shared" si="10"/>
        <v>0</v>
      </c>
      <c r="AW50" s="139">
        <f t="array" ref="AW50">IF($AV$9=0,0,MMULT($AH50:$AM50, AV$3:AV$8)/$AV$9)</f>
        <v>0</v>
      </c>
      <c r="AX50" s="139">
        <f t="array" ref="AX50">IF($AW$9=0,0,MMULT($AH50:$AM50, AW$3:AW$8)/$AW$9)</f>
        <v>0</v>
      </c>
      <c r="AY50" s="139">
        <f t="shared" si="11"/>
        <v>0</v>
      </c>
      <c r="AZ50" s="139">
        <f t="array" ref="AZ50">IF($AY$9=0,0,MMULT($AH50:$AM50, AY$3:AY$8)/$AY$9)</f>
        <v>0</v>
      </c>
      <c r="BA50" s="139">
        <f t="array" ref="BA50">IF($AZ$9=0,0,MMULT($AH50:$AM50, AZ$3:AZ$8)/$AZ$9)</f>
        <v>0</v>
      </c>
      <c r="BB50" s="139">
        <f t="array" ref="BB50">IF($BA$9=0,0,MMULT($AH50:$AM50, BA$3:BA$8)/$BA$9)</f>
        <v>0</v>
      </c>
      <c r="BC50" s="139">
        <f t="array" ref="BC50">IF($BB$9=0,0,MMULT($AH50:$AM50, BB$3:BB$8)/$BB$9)</f>
        <v>0</v>
      </c>
      <c r="BD50" s="139">
        <f t="array" ref="BD50">IF($BC$9=0,0,MMULT($AH50:$AM50, BC$3:BC$8)/$BC$9)</f>
        <v>0</v>
      </c>
      <c r="BE50" s="139">
        <f t="shared" si="12"/>
        <v>0</v>
      </c>
      <c r="BF50" s="139">
        <f t="shared" si="13"/>
        <v>0</v>
      </c>
      <c r="BG50" s="138">
        <f>IF(OR(GradeSheet!$M45="W (Withdrawn)", GradeSheet!$M45="I (Incomplete)"), 0, IF(AU50&gt;=65%, 1, 0))</f>
        <v>0</v>
      </c>
      <c r="BH50" s="138">
        <f>IF(OR(GradeSheet!$M45="W (Withdrawn)", GradeSheet!$M45="I (Incomplete)"), 0, IF(AV50&gt;=65%, 1, 0))</f>
        <v>0</v>
      </c>
      <c r="BI50" s="138">
        <f>IF(OR(GradeSheet!$M45="W (Withdrawn)", GradeSheet!$M45="I (Incomplete)"), 0, IF(AW50&gt;=65%, 1, 0))</f>
        <v>0</v>
      </c>
      <c r="BJ50" s="138">
        <f>IF(OR(GradeSheet!$M45="W (Withdrawn)", GradeSheet!$M45="I (Incomplete)"), 0, IF(AX50&gt;=65%, 1, 0))</f>
        <v>0</v>
      </c>
      <c r="BK50" s="138">
        <f>IF(OR(GradeSheet!$M45="W (Withdrawn)", GradeSheet!$M45="I (Incomplete)"), 0, IF(AY50&gt;=65%, 1, 0))</f>
        <v>0</v>
      </c>
      <c r="BL50" s="138">
        <f>IF(OR(GradeSheet!$M45="W (Withdrawn)", GradeSheet!$M45="I (Incomplete)"), 0, IF(AZ50&gt;=65%, 1, 0))</f>
        <v>0</v>
      </c>
      <c r="BM50" s="138">
        <f>IF(OR(GradeSheet!$M45="W (Withdrawn)", GradeSheet!$M45="I (Incomplete)"), 0, IF(BA50&gt;=65%, 1, 0))</f>
        <v>0</v>
      </c>
      <c r="BN50" s="138">
        <f>IF(OR(GradeSheet!$M45="W (Withdrawn)", GradeSheet!$M45="I (Incomplete)"), 0, IF(BB50&gt;=65%, 1, 0))</f>
        <v>0</v>
      </c>
      <c r="BO50" s="138">
        <f>IF(OR(GradeSheet!$M45="W (Withdrawn)", GradeSheet!$M45="I (Incomplete)"), 0, IF(BC50&gt;=65%, 1, 0))</f>
        <v>0</v>
      </c>
      <c r="BP50" s="138">
        <f>IF(OR(GradeSheet!$M45="W (Withdrawn)", GradeSheet!$M45="I (Incomplete)"), 0, IF(BD50&gt;=65%, 1, 0))</f>
        <v>0</v>
      </c>
      <c r="BQ50" s="138">
        <f>IF(OR(GradeSheet!$M45="W (Withdrawn)", GradeSheet!$M45="I (Incomplete)"), 0, IF(BE50&gt;=65%, 1, 0))</f>
        <v>0</v>
      </c>
      <c r="BR50" s="138">
        <f>IF(OR(GradeSheet!$M45="W (Withdrawn)", GradeSheet!$M45="I (Incomplete)"), 0, IF(BF50&gt;=65%, 1, 0))</f>
        <v>0</v>
      </c>
    </row>
    <row r="51" spans="1:70" ht="15.75" customHeight="1">
      <c r="A51" s="134">
        <v>37</v>
      </c>
      <c r="B51" s="35">
        <f>GradeSheet!X46</f>
        <v>0</v>
      </c>
      <c r="C51" s="23">
        <f>GradeSheet!W46</f>
        <v>0</v>
      </c>
      <c r="D51" s="183">
        <v>0</v>
      </c>
      <c r="E51" s="183">
        <v>0</v>
      </c>
      <c r="F51" s="183">
        <v>0</v>
      </c>
      <c r="G51" s="183">
        <v>0</v>
      </c>
      <c r="H51" s="183">
        <v>0</v>
      </c>
      <c r="I51" s="183">
        <v>0</v>
      </c>
      <c r="J51" s="183">
        <v>0</v>
      </c>
      <c r="K51" s="183">
        <v>0</v>
      </c>
      <c r="L51" s="183">
        <v>0</v>
      </c>
      <c r="M51" s="183">
        <v>0</v>
      </c>
      <c r="N51" s="183">
        <v>0</v>
      </c>
      <c r="O51" s="183">
        <v>0</v>
      </c>
      <c r="P51" s="183">
        <v>0</v>
      </c>
      <c r="Q51" s="183">
        <v>0</v>
      </c>
      <c r="R51" s="183">
        <v>0</v>
      </c>
      <c r="S51" s="183">
        <v>0</v>
      </c>
      <c r="T51" s="183">
        <v>0</v>
      </c>
      <c r="U51" s="183">
        <v>0</v>
      </c>
      <c r="V51" s="183">
        <v>0</v>
      </c>
      <c r="W51" s="183">
        <v>0</v>
      </c>
      <c r="X51" s="183">
        <v>0</v>
      </c>
      <c r="Y51" s="183">
        <v>0</v>
      </c>
      <c r="Z51" s="183">
        <v>0</v>
      </c>
      <c r="AA51" s="183">
        <v>0</v>
      </c>
      <c r="AB51" s="135">
        <f t="shared" ref="AB51:AE51" si="86">SUM(V51,D51,J51, P51)</f>
        <v>0</v>
      </c>
      <c r="AC51" s="136">
        <f t="shared" si="86"/>
        <v>0</v>
      </c>
      <c r="AD51" s="136">
        <f t="shared" si="86"/>
        <v>0</v>
      </c>
      <c r="AE51" s="136">
        <f t="shared" si="86"/>
        <v>0</v>
      </c>
      <c r="AF51" s="136">
        <f t="shared" si="15"/>
        <v>0</v>
      </c>
      <c r="AG51" s="141">
        <f t="shared" si="16"/>
        <v>0</v>
      </c>
      <c r="AH51" s="137">
        <f t="shared" ref="AH51:AM51" si="87">IF(AB51 = 0, 0, AB51/AB$14)</f>
        <v>0</v>
      </c>
      <c r="AI51" s="137">
        <f t="shared" si="87"/>
        <v>0</v>
      </c>
      <c r="AJ51" s="137">
        <f t="shared" si="87"/>
        <v>0</v>
      </c>
      <c r="AK51" s="137">
        <f t="shared" si="87"/>
        <v>0</v>
      </c>
      <c r="AL51" s="137">
        <f t="shared" si="87"/>
        <v>0</v>
      </c>
      <c r="AM51" s="137">
        <f t="shared" si="87"/>
        <v>0</v>
      </c>
      <c r="AN51" s="138">
        <f>IF(OR(GradeSheet!$M46="W (Withdrawn)", GradeSheet!$M46="I (Incomplete)"), 0, IF(AH51&gt;=55%, 1, 0))</f>
        <v>0</v>
      </c>
      <c r="AO51" s="138">
        <f>IF(OR(GradeSheet!$M46="W (Withdrawn)", GradeSheet!$M46="I (Incomplete)"), 0, IF(AI51&gt;=55%, 1, 0))</f>
        <v>0</v>
      </c>
      <c r="AP51" s="138">
        <f>IF(OR(GradeSheet!$M46="W (Withdrawn)", GradeSheet!$M46="I (Incomplete)"), 0, IF(AJ51&gt;=55%, 1, 0))</f>
        <v>0</v>
      </c>
      <c r="AQ51" s="138">
        <f>IF(OR(GradeSheet!$M46="W (Withdrawn)", GradeSheet!$M46="I (Incomplete)"), 0, IF(AK51&gt;=55%, 1, 0))</f>
        <v>0</v>
      </c>
      <c r="AR51" s="138">
        <f>IF(OR(GradeSheet!$M46="W (Withdrawn)", GradeSheet!$M46="I (Incomplete)"), 0, IF(AL51&gt;=55%, 1, 0))</f>
        <v>0</v>
      </c>
      <c r="AS51" s="138">
        <f>IF(OR(GradeSheet!$M46="W (Withdrawn)", GradeSheet!$M46="I (Incomplete)"), 0, IF(AM51&gt;=55%, 1, 0))</f>
        <v>0</v>
      </c>
      <c r="AT51" s="118"/>
      <c r="AU51" s="139">
        <f t="shared" si="9"/>
        <v>0</v>
      </c>
      <c r="AV51" s="139">
        <f t="shared" si="10"/>
        <v>0</v>
      </c>
      <c r="AW51" s="139">
        <f t="array" ref="AW51">IF($AV$9=0,0,MMULT($AH51:$AM51, AV$3:AV$8)/$AV$9)</f>
        <v>0</v>
      </c>
      <c r="AX51" s="139">
        <f t="array" ref="AX51">IF($AW$9=0,0,MMULT($AH51:$AM51, AW$3:AW$8)/$AW$9)</f>
        <v>0</v>
      </c>
      <c r="AY51" s="139">
        <f t="shared" si="11"/>
        <v>0</v>
      </c>
      <c r="AZ51" s="139">
        <f t="array" ref="AZ51">IF($AY$9=0,0,MMULT($AH51:$AM51, AY$3:AY$8)/$AY$9)</f>
        <v>0</v>
      </c>
      <c r="BA51" s="139">
        <f t="array" ref="BA51">IF($AZ$9=0,0,MMULT($AH51:$AM51, AZ$3:AZ$8)/$AZ$9)</f>
        <v>0</v>
      </c>
      <c r="BB51" s="139">
        <f t="array" ref="BB51">IF($BA$9=0,0,MMULT($AH51:$AM51, BA$3:BA$8)/$BA$9)</f>
        <v>0</v>
      </c>
      <c r="BC51" s="139">
        <f t="array" ref="BC51">IF($BB$9=0,0,MMULT($AH51:$AM51, BB$3:BB$8)/$BB$9)</f>
        <v>0</v>
      </c>
      <c r="BD51" s="139">
        <f t="array" ref="BD51">IF($BC$9=0,0,MMULT($AH51:$AM51, BC$3:BC$8)/$BC$9)</f>
        <v>0</v>
      </c>
      <c r="BE51" s="139">
        <f t="shared" si="12"/>
        <v>0</v>
      </c>
      <c r="BF51" s="139">
        <f t="shared" si="13"/>
        <v>0</v>
      </c>
      <c r="BG51" s="138">
        <f>IF(OR(GradeSheet!$M46="W (Withdrawn)", GradeSheet!$M46="I (Incomplete)"), 0, IF(AU51&gt;=65%, 1, 0))</f>
        <v>0</v>
      </c>
      <c r="BH51" s="138">
        <f>IF(OR(GradeSheet!$M46="W (Withdrawn)", GradeSheet!$M46="I (Incomplete)"), 0, IF(AV51&gt;=65%, 1, 0))</f>
        <v>0</v>
      </c>
      <c r="BI51" s="138">
        <f>IF(OR(GradeSheet!$M46="W (Withdrawn)", GradeSheet!$M46="I (Incomplete)"), 0, IF(AW51&gt;=65%, 1, 0))</f>
        <v>0</v>
      </c>
      <c r="BJ51" s="138">
        <f>IF(OR(GradeSheet!$M46="W (Withdrawn)", GradeSheet!$M46="I (Incomplete)"), 0, IF(AX51&gt;=65%, 1, 0))</f>
        <v>0</v>
      </c>
      <c r="BK51" s="138">
        <f>IF(OR(GradeSheet!$M46="W (Withdrawn)", GradeSheet!$M46="I (Incomplete)"), 0, IF(AY51&gt;=65%, 1, 0))</f>
        <v>0</v>
      </c>
      <c r="BL51" s="138">
        <f>IF(OR(GradeSheet!$M46="W (Withdrawn)", GradeSheet!$M46="I (Incomplete)"), 0, IF(AZ51&gt;=65%, 1, 0))</f>
        <v>0</v>
      </c>
      <c r="BM51" s="138">
        <f>IF(OR(GradeSheet!$M46="W (Withdrawn)", GradeSheet!$M46="I (Incomplete)"), 0, IF(BA51&gt;=65%, 1, 0))</f>
        <v>0</v>
      </c>
      <c r="BN51" s="138">
        <f>IF(OR(GradeSheet!$M46="W (Withdrawn)", GradeSheet!$M46="I (Incomplete)"), 0, IF(BB51&gt;=65%, 1, 0))</f>
        <v>0</v>
      </c>
      <c r="BO51" s="138">
        <f>IF(OR(GradeSheet!$M46="W (Withdrawn)", GradeSheet!$M46="I (Incomplete)"), 0, IF(BC51&gt;=65%, 1, 0))</f>
        <v>0</v>
      </c>
      <c r="BP51" s="138">
        <f>IF(OR(GradeSheet!$M46="W (Withdrawn)", GradeSheet!$M46="I (Incomplete)"), 0, IF(BD51&gt;=65%, 1, 0))</f>
        <v>0</v>
      </c>
      <c r="BQ51" s="138">
        <f>IF(OR(GradeSheet!$M46="W (Withdrawn)", GradeSheet!$M46="I (Incomplete)"), 0, IF(BE51&gt;=65%, 1, 0))</f>
        <v>0</v>
      </c>
      <c r="BR51" s="138">
        <f>IF(OR(GradeSheet!$M46="W (Withdrawn)", GradeSheet!$M46="I (Incomplete)"), 0, IF(BF51&gt;=65%, 1, 0))</f>
        <v>0</v>
      </c>
    </row>
    <row r="52" spans="1:70" ht="15.75" customHeight="1">
      <c r="A52" s="140">
        <v>38</v>
      </c>
      <c r="B52" s="35">
        <f>GradeSheet!X47</f>
        <v>0</v>
      </c>
      <c r="C52" s="23">
        <f>GradeSheet!W47</f>
        <v>0</v>
      </c>
      <c r="D52" s="183">
        <v>0</v>
      </c>
      <c r="E52" s="183">
        <v>0</v>
      </c>
      <c r="F52" s="183">
        <v>0</v>
      </c>
      <c r="G52" s="183">
        <v>0</v>
      </c>
      <c r="H52" s="183">
        <v>0</v>
      </c>
      <c r="I52" s="183">
        <v>0</v>
      </c>
      <c r="J52" s="183">
        <v>0</v>
      </c>
      <c r="K52" s="183">
        <v>0</v>
      </c>
      <c r="L52" s="183">
        <v>0</v>
      </c>
      <c r="M52" s="183">
        <v>0</v>
      </c>
      <c r="N52" s="183">
        <v>0</v>
      </c>
      <c r="O52" s="183">
        <v>0</v>
      </c>
      <c r="P52" s="183">
        <v>0</v>
      </c>
      <c r="Q52" s="183">
        <v>0</v>
      </c>
      <c r="R52" s="183">
        <v>0</v>
      </c>
      <c r="S52" s="183">
        <v>0</v>
      </c>
      <c r="T52" s="183">
        <v>0</v>
      </c>
      <c r="U52" s="183">
        <v>0</v>
      </c>
      <c r="V52" s="183">
        <v>0</v>
      </c>
      <c r="W52" s="183">
        <v>0</v>
      </c>
      <c r="X52" s="183">
        <v>0</v>
      </c>
      <c r="Y52" s="183">
        <v>0</v>
      </c>
      <c r="Z52" s="183">
        <v>0</v>
      </c>
      <c r="AA52" s="183">
        <v>0</v>
      </c>
      <c r="AB52" s="135">
        <f t="shared" ref="AB52:AE52" si="88">SUM(V52,D52,J52, P52)</f>
        <v>0</v>
      </c>
      <c r="AC52" s="136">
        <f t="shared" si="88"/>
        <v>0</v>
      </c>
      <c r="AD52" s="136">
        <f t="shared" si="88"/>
        <v>0</v>
      </c>
      <c r="AE52" s="136">
        <f t="shared" si="88"/>
        <v>0</v>
      </c>
      <c r="AF52" s="136">
        <f t="shared" si="15"/>
        <v>0</v>
      </c>
      <c r="AG52" s="141">
        <f t="shared" si="16"/>
        <v>0</v>
      </c>
      <c r="AH52" s="137">
        <f t="shared" ref="AH52:AM52" si="89">IF(AB52 = 0, 0, AB52/AB$14)</f>
        <v>0</v>
      </c>
      <c r="AI52" s="137">
        <f t="shared" si="89"/>
        <v>0</v>
      </c>
      <c r="AJ52" s="137">
        <f t="shared" si="89"/>
        <v>0</v>
      </c>
      <c r="AK52" s="137">
        <f t="shared" si="89"/>
        <v>0</v>
      </c>
      <c r="AL52" s="137">
        <f t="shared" si="89"/>
        <v>0</v>
      </c>
      <c r="AM52" s="137">
        <f t="shared" si="89"/>
        <v>0</v>
      </c>
      <c r="AN52" s="138">
        <f>IF(OR(GradeSheet!$M47="W (Withdrawn)", GradeSheet!$M47="I (Incomplete)"), 0, IF(AH52&gt;=55%, 1, 0))</f>
        <v>0</v>
      </c>
      <c r="AO52" s="138">
        <f>IF(OR(GradeSheet!$M47="W (Withdrawn)", GradeSheet!$M47="I (Incomplete)"), 0, IF(AI52&gt;=55%, 1, 0))</f>
        <v>0</v>
      </c>
      <c r="AP52" s="138">
        <f>IF(OR(GradeSheet!$M47="W (Withdrawn)", GradeSheet!$M47="I (Incomplete)"), 0, IF(AJ52&gt;=55%, 1, 0))</f>
        <v>0</v>
      </c>
      <c r="AQ52" s="138">
        <f>IF(OR(GradeSheet!$M47="W (Withdrawn)", GradeSheet!$M47="I (Incomplete)"), 0, IF(AK52&gt;=55%, 1, 0))</f>
        <v>0</v>
      </c>
      <c r="AR52" s="138">
        <f>IF(OR(GradeSheet!$M47="W (Withdrawn)", GradeSheet!$M47="I (Incomplete)"), 0, IF(AL52&gt;=55%, 1, 0))</f>
        <v>0</v>
      </c>
      <c r="AS52" s="138">
        <f>IF(OR(GradeSheet!$M47="W (Withdrawn)", GradeSheet!$M47="I (Incomplete)"), 0, IF(AM52&gt;=55%, 1, 0))</f>
        <v>0</v>
      </c>
      <c r="AT52" s="118"/>
      <c r="AU52" s="139">
        <f t="shared" si="9"/>
        <v>0</v>
      </c>
      <c r="AV52" s="139">
        <f t="shared" si="10"/>
        <v>0</v>
      </c>
      <c r="AW52" s="139">
        <f t="array" ref="AW52">IF($AV$9=0,0,MMULT($AH52:$AM52, AV$3:AV$8)/$AV$9)</f>
        <v>0</v>
      </c>
      <c r="AX52" s="139">
        <f t="array" ref="AX52">IF($AW$9=0,0,MMULT($AH52:$AM52, AW$3:AW$8)/$AW$9)</f>
        <v>0</v>
      </c>
      <c r="AY52" s="139">
        <f t="shared" si="11"/>
        <v>0</v>
      </c>
      <c r="AZ52" s="139">
        <f t="array" ref="AZ52">IF($AY$9=0,0,MMULT($AH52:$AM52, AY$3:AY$8)/$AY$9)</f>
        <v>0</v>
      </c>
      <c r="BA52" s="139">
        <f t="array" ref="BA52">IF($AZ$9=0,0,MMULT($AH52:$AM52, AZ$3:AZ$8)/$AZ$9)</f>
        <v>0</v>
      </c>
      <c r="BB52" s="139">
        <f t="array" ref="BB52">IF($BA$9=0,0,MMULT($AH52:$AM52, BA$3:BA$8)/$BA$9)</f>
        <v>0</v>
      </c>
      <c r="BC52" s="139">
        <f t="array" ref="BC52">IF($BB$9=0,0,MMULT($AH52:$AM52, BB$3:BB$8)/$BB$9)</f>
        <v>0</v>
      </c>
      <c r="BD52" s="139">
        <f t="array" ref="BD52">IF($BC$9=0,0,MMULT($AH52:$AM52, BC$3:BC$8)/$BC$9)</f>
        <v>0</v>
      </c>
      <c r="BE52" s="139">
        <f t="shared" si="12"/>
        <v>0</v>
      </c>
      <c r="BF52" s="139">
        <f t="shared" si="13"/>
        <v>0</v>
      </c>
      <c r="BG52" s="138">
        <f>IF(OR(GradeSheet!$M47="W (Withdrawn)", GradeSheet!$M47="I (Incomplete)"), 0, IF(AU52&gt;=65%, 1, 0))</f>
        <v>0</v>
      </c>
      <c r="BH52" s="138">
        <f>IF(OR(GradeSheet!$M47="W (Withdrawn)", GradeSheet!$M47="I (Incomplete)"), 0, IF(AV52&gt;=65%, 1, 0))</f>
        <v>0</v>
      </c>
      <c r="BI52" s="138">
        <f>IF(OR(GradeSheet!$M47="W (Withdrawn)", GradeSheet!$M47="I (Incomplete)"), 0, IF(AW52&gt;=65%, 1, 0))</f>
        <v>0</v>
      </c>
      <c r="BJ52" s="138">
        <f>IF(OR(GradeSheet!$M47="W (Withdrawn)", GradeSheet!$M47="I (Incomplete)"), 0, IF(AX52&gt;=65%, 1, 0))</f>
        <v>0</v>
      </c>
      <c r="BK52" s="138">
        <f>IF(OR(GradeSheet!$M47="W (Withdrawn)", GradeSheet!$M47="I (Incomplete)"), 0, IF(AY52&gt;=65%, 1, 0))</f>
        <v>0</v>
      </c>
      <c r="BL52" s="138">
        <f>IF(OR(GradeSheet!$M47="W (Withdrawn)", GradeSheet!$M47="I (Incomplete)"), 0, IF(AZ52&gt;=65%, 1, 0))</f>
        <v>0</v>
      </c>
      <c r="BM52" s="138">
        <f>IF(OR(GradeSheet!$M47="W (Withdrawn)", GradeSheet!$M47="I (Incomplete)"), 0, IF(BA52&gt;=65%, 1, 0))</f>
        <v>0</v>
      </c>
      <c r="BN52" s="138">
        <f>IF(OR(GradeSheet!$M47="W (Withdrawn)", GradeSheet!$M47="I (Incomplete)"), 0, IF(BB52&gt;=65%, 1, 0))</f>
        <v>0</v>
      </c>
      <c r="BO52" s="138">
        <f>IF(OR(GradeSheet!$M47="W (Withdrawn)", GradeSheet!$M47="I (Incomplete)"), 0, IF(BC52&gt;=65%, 1, 0))</f>
        <v>0</v>
      </c>
      <c r="BP52" s="138">
        <f>IF(OR(GradeSheet!$M47="W (Withdrawn)", GradeSheet!$M47="I (Incomplete)"), 0, IF(BD52&gt;=65%, 1, 0))</f>
        <v>0</v>
      </c>
      <c r="BQ52" s="138">
        <f>IF(OR(GradeSheet!$M47="W (Withdrawn)", GradeSheet!$M47="I (Incomplete)"), 0, IF(BE52&gt;=65%, 1, 0))</f>
        <v>0</v>
      </c>
      <c r="BR52" s="138">
        <f>IF(OR(GradeSheet!$M47="W (Withdrawn)", GradeSheet!$M47="I (Incomplete)"), 0, IF(BF52&gt;=65%, 1, 0))</f>
        <v>0</v>
      </c>
    </row>
    <row r="53" spans="1:70" ht="15.75" customHeight="1">
      <c r="A53" s="134">
        <v>39</v>
      </c>
      <c r="B53" s="35">
        <f>GradeSheet!X48</f>
        <v>0</v>
      </c>
      <c r="C53" s="23">
        <f>GradeSheet!W48</f>
        <v>0</v>
      </c>
      <c r="D53" s="183">
        <v>0</v>
      </c>
      <c r="E53" s="183">
        <v>0</v>
      </c>
      <c r="F53" s="183">
        <v>0</v>
      </c>
      <c r="G53" s="183">
        <v>0</v>
      </c>
      <c r="H53" s="183">
        <v>0</v>
      </c>
      <c r="I53" s="183">
        <v>0</v>
      </c>
      <c r="J53" s="183">
        <v>0</v>
      </c>
      <c r="K53" s="183">
        <v>0</v>
      </c>
      <c r="L53" s="183">
        <v>0</v>
      </c>
      <c r="M53" s="183">
        <v>0</v>
      </c>
      <c r="N53" s="183">
        <v>0</v>
      </c>
      <c r="O53" s="183">
        <v>0</v>
      </c>
      <c r="P53" s="183">
        <v>0</v>
      </c>
      <c r="Q53" s="183">
        <v>0</v>
      </c>
      <c r="R53" s="183">
        <v>0</v>
      </c>
      <c r="S53" s="183">
        <v>0</v>
      </c>
      <c r="T53" s="183">
        <v>0</v>
      </c>
      <c r="U53" s="183">
        <v>0</v>
      </c>
      <c r="V53" s="183">
        <v>0</v>
      </c>
      <c r="W53" s="183">
        <v>0</v>
      </c>
      <c r="X53" s="183">
        <v>0</v>
      </c>
      <c r="Y53" s="183">
        <v>0</v>
      </c>
      <c r="Z53" s="183">
        <v>0</v>
      </c>
      <c r="AA53" s="183">
        <v>0</v>
      </c>
      <c r="AB53" s="135">
        <f t="shared" ref="AB53:AE53" si="90">SUM(V53,D53,J53, P53)</f>
        <v>0</v>
      </c>
      <c r="AC53" s="136">
        <f t="shared" si="90"/>
        <v>0</v>
      </c>
      <c r="AD53" s="136">
        <f t="shared" si="90"/>
        <v>0</v>
      </c>
      <c r="AE53" s="136">
        <f t="shared" si="90"/>
        <v>0</v>
      </c>
      <c r="AF53" s="136">
        <f t="shared" si="15"/>
        <v>0</v>
      </c>
      <c r="AG53" s="141">
        <f t="shared" si="16"/>
        <v>0</v>
      </c>
      <c r="AH53" s="137">
        <f t="shared" ref="AH53:AM53" si="91">IF(AB53 = 0, 0, AB53/AB$14)</f>
        <v>0</v>
      </c>
      <c r="AI53" s="137">
        <f t="shared" si="91"/>
        <v>0</v>
      </c>
      <c r="AJ53" s="137">
        <f t="shared" si="91"/>
        <v>0</v>
      </c>
      <c r="AK53" s="137">
        <f t="shared" si="91"/>
        <v>0</v>
      </c>
      <c r="AL53" s="137">
        <f t="shared" si="91"/>
        <v>0</v>
      </c>
      <c r="AM53" s="137">
        <f t="shared" si="91"/>
        <v>0</v>
      </c>
      <c r="AN53" s="138">
        <f>IF(OR(GradeSheet!$M48="W (Withdrawn)", GradeSheet!$M48="I (Incomplete)"), 0, IF(AH53&gt;=55%, 1, 0))</f>
        <v>0</v>
      </c>
      <c r="AO53" s="138">
        <f>IF(OR(GradeSheet!$M48="W (Withdrawn)", GradeSheet!$M48="I (Incomplete)"), 0, IF(AI53&gt;=55%, 1, 0))</f>
        <v>0</v>
      </c>
      <c r="AP53" s="138">
        <f>IF(OR(GradeSheet!$M48="W (Withdrawn)", GradeSheet!$M48="I (Incomplete)"), 0, IF(AJ53&gt;=55%, 1, 0))</f>
        <v>0</v>
      </c>
      <c r="AQ53" s="138">
        <f>IF(OR(GradeSheet!$M48="W (Withdrawn)", GradeSheet!$M48="I (Incomplete)"), 0, IF(AK53&gt;=55%, 1, 0))</f>
        <v>0</v>
      </c>
      <c r="AR53" s="138">
        <f>IF(OR(GradeSheet!$M48="W (Withdrawn)", GradeSheet!$M48="I (Incomplete)"), 0, IF(AL53&gt;=55%, 1, 0))</f>
        <v>0</v>
      </c>
      <c r="AS53" s="138">
        <f>IF(OR(GradeSheet!$M48="W (Withdrawn)", GradeSheet!$M48="I (Incomplete)"), 0, IF(AM53&gt;=55%, 1, 0))</f>
        <v>0</v>
      </c>
      <c r="AT53" s="118"/>
      <c r="AU53" s="139">
        <f t="shared" si="9"/>
        <v>0</v>
      </c>
      <c r="AV53" s="139">
        <f t="shared" si="10"/>
        <v>0</v>
      </c>
      <c r="AW53" s="139">
        <f t="array" ref="AW53">IF($AV$9=0,0,MMULT($AH53:$AM53, AV$3:AV$8)/$AV$9)</f>
        <v>0</v>
      </c>
      <c r="AX53" s="139">
        <f t="array" ref="AX53">IF($AW$9=0,0,MMULT($AH53:$AM53, AW$3:AW$8)/$AW$9)</f>
        <v>0</v>
      </c>
      <c r="AY53" s="139">
        <f t="shared" si="11"/>
        <v>0</v>
      </c>
      <c r="AZ53" s="139">
        <f t="array" ref="AZ53">IF($AY$9=0,0,MMULT($AH53:$AM53, AY$3:AY$8)/$AY$9)</f>
        <v>0</v>
      </c>
      <c r="BA53" s="139">
        <f t="array" ref="BA53">IF($AZ$9=0,0,MMULT($AH53:$AM53, AZ$3:AZ$8)/$AZ$9)</f>
        <v>0</v>
      </c>
      <c r="BB53" s="139">
        <f t="array" ref="BB53">IF($BA$9=0,0,MMULT($AH53:$AM53, BA$3:BA$8)/$BA$9)</f>
        <v>0</v>
      </c>
      <c r="BC53" s="139">
        <f t="array" ref="BC53">IF($BB$9=0,0,MMULT($AH53:$AM53, BB$3:BB$8)/$BB$9)</f>
        <v>0</v>
      </c>
      <c r="BD53" s="139">
        <f t="array" ref="BD53">IF($BC$9=0,0,MMULT($AH53:$AM53, BC$3:BC$8)/$BC$9)</f>
        <v>0</v>
      </c>
      <c r="BE53" s="139">
        <f t="shared" si="12"/>
        <v>0</v>
      </c>
      <c r="BF53" s="139">
        <f t="shared" si="13"/>
        <v>0</v>
      </c>
      <c r="BG53" s="138">
        <f>IF(OR(GradeSheet!$M48="W (Withdrawn)", GradeSheet!$M48="I (Incomplete)"), 0, IF(AU53&gt;=65%, 1, 0))</f>
        <v>0</v>
      </c>
      <c r="BH53" s="138">
        <f>IF(OR(GradeSheet!$M48="W (Withdrawn)", GradeSheet!$M48="I (Incomplete)"), 0, IF(AV53&gt;=65%, 1, 0))</f>
        <v>0</v>
      </c>
      <c r="BI53" s="138">
        <f>IF(OR(GradeSheet!$M48="W (Withdrawn)", GradeSheet!$M48="I (Incomplete)"), 0, IF(AW53&gt;=65%, 1, 0))</f>
        <v>0</v>
      </c>
      <c r="BJ53" s="138">
        <f>IF(OR(GradeSheet!$M48="W (Withdrawn)", GradeSheet!$M48="I (Incomplete)"), 0, IF(AX53&gt;=65%, 1, 0))</f>
        <v>0</v>
      </c>
      <c r="BK53" s="138">
        <f>IF(OR(GradeSheet!$M48="W (Withdrawn)", GradeSheet!$M48="I (Incomplete)"), 0, IF(AY53&gt;=65%, 1, 0))</f>
        <v>0</v>
      </c>
      <c r="BL53" s="138">
        <f>IF(OR(GradeSheet!$M48="W (Withdrawn)", GradeSheet!$M48="I (Incomplete)"), 0, IF(AZ53&gt;=65%, 1, 0))</f>
        <v>0</v>
      </c>
      <c r="BM53" s="138">
        <f>IF(OR(GradeSheet!$M48="W (Withdrawn)", GradeSheet!$M48="I (Incomplete)"), 0, IF(BA53&gt;=65%, 1, 0))</f>
        <v>0</v>
      </c>
      <c r="BN53" s="138">
        <f>IF(OR(GradeSheet!$M48="W (Withdrawn)", GradeSheet!$M48="I (Incomplete)"), 0, IF(BB53&gt;=65%, 1, 0))</f>
        <v>0</v>
      </c>
      <c r="BO53" s="138">
        <f>IF(OR(GradeSheet!$M48="W (Withdrawn)", GradeSheet!$M48="I (Incomplete)"), 0, IF(BC53&gt;=65%, 1, 0))</f>
        <v>0</v>
      </c>
      <c r="BP53" s="138">
        <f>IF(OR(GradeSheet!$M48="W (Withdrawn)", GradeSheet!$M48="I (Incomplete)"), 0, IF(BD53&gt;=65%, 1, 0))</f>
        <v>0</v>
      </c>
      <c r="BQ53" s="138">
        <f>IF(OR(GradeSheet!$M48="W (Withdrawn)", GradeSheet!$M48="I (Incomplete)"), 0, IF(BE53&gt;=65%, 1, 0))</f>
        <v>0</v>
      </c>
      <c r="BR53" s="138">
        <f>IF(OR(GradeSheet!$M48="W (Withdrawn)", GradeSheet!$M48="I (Incomplete)"), 0, IF(BF53&gt;=65%, 1, 0))</f>
        <v>0</v>
      </c>
    </row>
    <row r="54" spans="1:70" ht="15.75" customHeight="1">
      <c r="A54" s="140">
        <v>40</v>
      </c>
      <c r="B54" s="35">
        <f>GradeSheet!X49</f>
        <v>0</v>
      </c>
      <c r="C54" s="23">
        <f>GradeSheet!W49</f>
        <v>0</v>
      </c>
      <c r="D54" s="183">
        <v>0</v>
      </c>
      <c r="E54" s="183">
        <v>0</v>
      </c>
      <c r="F54" s="183">
        <v>0</v>
      </c>
      <c r="G54" s="183">
        <v>0</v>
      </c>
      <c r="H54" s="183">
        <v>0</v>
      </c>
      <c r="I54" s="183">
        <v>0</v>
      </c>
      <c r="J54" s="183">
        <v>0</v>
      </c>
      <c r="K54" s="183">
        <v>0</v>
      </c>
      <c r="L54" s="183">
        <v>0</v>
      </c>
      <c r="M54" s="183">
        <v>0</v>
      </c>
      <c r="N54" s="183">
        <v>0</v>
      </c>
      <c r="O54" s="183">
        <v>0</v>
      </c>
      <c r="P54" s="183">
        <v>0</v>
      </c>
      <c r="Q54" s="183">
        <v>0</v>
      </c>
      <c r="R54" s="183">
        <v>0</v>
      </c>
      <c r="S54" s="183">
        <v>0</v>
      </c>
      <c r="T54" s="183">
        <v>0</v>
      </c>
      <c r="U54" s="183">
        <v>0</v>
      </c>
      <c r="V54" s="183">
        <v>0</v>
      </c>
      <c r="W54" s="183">
        <v>0</v>
      </c>
      <c r="X54" s="183">
        <v>0</v>
      </c>
      <c r="Y54" s="183">
        <v>0</v>
      </c>
      <c r="Z54" s="183">
        <v>0</v>
      </c>
      <c r="AA54" s="183">
        <v>0</v>
      </c>
      <c r="AB54" s="135">
        <f t="shared" ref="AB54:AE54" si="92">SUM(V54,D54,J54, P54)</f>
        <v>0</v>
      </c>
      <c r="AC54" s="136">
        <f t="shared" si="92"/>
        <v>0</v>
      </c>
      <c r="AD54" s="136">
        <f t="shared" si="92"/>
        <v>0</v>
      </c>
      <c r="AE54" s="136">
        <f t="shared" si="92"/>
        <v>0</v>
      </c>
      <c r="AF54" s="136">
        <f t="shared" si="15"/>
        <v>0</v>
      </c>
      <c r="AG54" s="141">
        <f t="shared" si="16"/>
        <v>0</v>
      </c>
      <c r="AH54" s="137">
        <f t="shared" ref="AH54:AM54" si="93">IF(AB54 = 0, 0, AB54/AB$14)</f>
        <v>0</v>
      </c>
      <c r="AI54" s="137">
        <f t="shared" si="93"/>
        <v>0</v>
      </c>
      <c r="AJ54" s="137">
        <f t="shared" si="93"/>
        <v>0</v>
      </c>
      <c r="AK54" s="137">
        <f t="shared" si="93"/>
        <v>0</v>
      </c>
      <c r="AL54" s="137">
        <f t="shared" si="93"/>
        <v>0</v>
      </c>
      <c r="AM54" s="137">
        <f t="shared" si="93"/>
        <v>0</v>
      </c>
      <c r="AN54" s="138">
        <f>IF(OR(GradeSheet!$M49="W (Withdrawn)", GradeSheet!$M49="I (Incomplete)"), 0, IF(AH54&gt;=55%, 1, 0))</f>
        <v>0</v>
      </c>
      <c r="AO54" s="114">
        <f>IF(OR(GradeSheet!$M49="W (Withdrawn)", GradeSheet!$M49="I (Incomplete)"), 0, IF(AI54&gt;=55%, 1, 0))</f>
        <v>0</v>
      </c>
      <c r="AP54" s="114">
        <f>IF(OR(GradeSheet!$M49="W (Withdrawn)", GradeSheet!$M49="I (Incomplete)"), 0, IF(AJ54&gt;=55%, 1, 0))</f>
        <v>0</v>
      </c>
      <c r="AQ54" s="114">
        <f>IF(OR(GradeSheet!$M49="W (Withdrawn)", GradeSheet!$M49="I (Incomplete)"), 0, IF(AK54&gt;=55%, 1, 0))</f>
        <v>0</v>
      </c>
      <c r="AR54" s="114">
        <f>IF(OR(GradeSheet!$M49="W (Withdrawn)", GradeSheet!$M49="I (Incomplete)"), 0, IF(AL54&gt;=55%, 1, 0))</f>
        <v>0</v>
      </c>
      <c r="AS54" s="114">
        <f>IF(OR(GradeSheet!$M49="W (Withdrawn)", GradeSheet!$M49="I (Incomplete)"), 0, IF(AM54&gt;=55%, 1, 0))</f>
        <v>0</v>
      </c>
      <c r="AT54" s="118"/>
      <c r="AU54" s="139">
        <f t="shared" si="9"/>
        <v>0</v>
      </c>
      <c r="AV54" s="139">
        <f t="shared" si="10"/>
        <v>0</v>
      </c>
      <c r="AW54" s="139">
        <f t="array" ref="AW54">IF($AV$9=0,0,MMULT($AH54:$AM54, AV$3:AV$8)/$AV$9)</f>
        <v>0</v>
      </c>
      <c r="AX54" s="139">
        <f t="array" ref="AX54">IF($AW$9=0,0,MMULT($AH54:$AM54, AW$3:AW$8)/$AW$9)</f>
        <v>0</v>
      </c>
      <c r="AY54" s="139">
        <f t="shared" si="11"/>
        <v>0</v>
      </c>
      <c r="AZ54" s="139">
        <f t="array" ref="AZ54">IF($AY$9=0,0,MMULT($AH54:$AM54, AY$3:AY$8)/$AY$9)</f>
        <v>0</v>
      </c>
      <c r="BA54" s="139">
        <f t="array" ref="BA54">IF($AZ$9=0,0,MMULT($AH54:$AM54, AZ$3:AZ$8)/$AZ$9)</f>
        <v>0</v>
      </c>
      <c r="BB54" s="139">
        <f t="array" ref="BB54">IF($BA$9=0,0,MMULT($AH54:$AM54, BA$3:BA$8)/$BA$9)</f>
        <v>0</v>
      </c>
      <c r="BC54" s="139">
        <f t="array" ref="BC54">IF($BB$9=0,0,MMULT($AH54:$AM54, BB$3:BB$8)/$BB$9)</f>
        <v>0</v>
      </c>
      <c r="BD54" s="139">
        <f t="array" ref="BD54">IF($BC$9=0,0,MMULT($AH54:$AM54, BC$3:BC$8)/$BC$9)</f>
        <v>0</v>
      </c>
      <c r="BE54" s="139">
        <f t="shared" si="12"/>
        <v>0</v>
      </c>
      <c r="BF54" s="139">
        <f t="shared" si="13"/>
        <v>0</v>
      </c>
      <c r="BG54" s="114">
        <f>IF(OR(GradeSheet!$M49="W (Withdrawn)", GradeSheet!$M49="I (Incomplete)"), 0, IF(AU54&gt;=65%, 1, 0))</f>
        <v>0</v>
      </c>
      <c r="BH54" s="114">
        <f>IF(OR(GradeSheet!$M49="W (Withdrawn)", GradeSheet!$M49="I (Incomplete)"), 0, IF(AV54&gt;=65%, 1, 0))</f>
        <v>0</v>
      </c>
      <c r="BI54" s="114">
        <f>IF(OR(GradeSheet!$M49="W (Withdrawn)", GradeSheet!$M49="I (Incomplete)"), 0, IF(AW54&gt;=65%, 1, 0))</f>
        <v>0</v>
      </c>
      <c r="BJ54" s="114">
        <f>IF(OR(GradeSheet!$M49="W (Withdrawn)", GradeSheet!$M49="I (Incomplete)"), 0, IF(AX54&gt;=65%, 1, 0))</f>
        <v>0</v>
      </c>
      <c r="BK54" s="114">
        <f>IF(OR(GradeSheet!$M49="W (Withdrawn)", GradeSheet!$M49="I (Incomplete)"), 0, IF(AY54&gt;=65%, 1, 0))</f>
        <v>0</v>
      </c>
      <c r="BL54" s="114">
        <f>IF(OR(GradeSheet!$M49="W (Withdrawn)", GradeSheet!$M49="I (Incomplete)"), 0, IF(AZ54&gt;=65%, 1, 0))</f>
        <v>0</v>
      </c>
      <c r="BM54" s="114">
        <f>IF(OR(GradeSheet!$M49="W (Withdrawn)", GradeSheet!$M49="I (Incomplete)"), 0, IF(BA54&gt;=65%, 1, 0))</f>
        <v>0</v>
      </c>
      <c r="BN54" s="114">
        <f>IF(OR(GradeSheet!$M49="W (Withdrawn)", GradeSheet!$M49="I (Incomplete)"), 0, IF(BB54&gt;=65%, 1, 0))</f>
        <v>0</v>
      </c>
      <c r="BO54" s="114">
        <f>IF(OR(GradeSheet!$M49="W (Withdrawn)", GradeSheet!$M49="I (Incomplete)"), 0, IF(BC54&gt;=65%, 1, 0))</f>
        <v>0</v>
      </c>
      <c r="BP54" s="114">
        <f>IF(OR(GradeSheet!$M49="W (Withdrawn)", GradeSheet!$M49="I (Incomplete)"), 0, IF(BD54&gt;=65%, 1, 0))</f>
        <v>0</v>
      </c>
      <c r="BQ54" s="114">
        <f>IF(OR(GradeSheet!$M49="W (Withdrawn)", GradeSheet!$M49="I (Incomplete)"), 0, IF(BE54&gt;=65%, 1, 0))</f>
        <v>0</v>
      </c>
      <c r="BR54" s="114">
        <f>IF(OR(GradeSheet!$M49="W (Withdrawn)", GradeSheet!$M49="I (Incomplete)"), 0, IF(BF54&gt;=65%, 1, 0))</f>
        <v>0</v>
      </c>
    </row>
    <row r="55" spans="1:70" ht="15.75" customHeight="1">
      <c r="A55" s="140">
        <v>41</v>
      </c>
      <c r="B55" s="35">
        <f>GradeSheet!X50</f>
        <v>0</v>
      </c>
      <c r="C55" s="23">
        <f>GradeSheet!W50</f>
        <v>0</v>
      </c>
      <c r="D55" s="183">
        <v>0</v>
      </c>
      <c r="E55" s="183">
        <v>0</v>
      </c>
      <c r="F55" s="183">
        <v>0</v>
      </c>
      <c r="G55" s="183">
        <v>0</v>
      </c>
      <c r="H55" s="183">
        <v>0</v>
      </c>
      <c r="I55" s="183">
        <v>0</v>
      </c>
      <c r="J55" s="183">
        <v>0</v>
      </c>
      <c r="K55" s="183">
        <v>0</v>
      </c>
      <c r="L55" s="183">
        <v>0</v>
      </c>
      <c r="M55" s="183">
        <v>0</v>
      </c>
      <c r="N55" s="183">
        <v>0</v>
      </c>
      <c r="O55" s="183">
        <v>0</v>
      </c>
      <c r="P55" s="183">
        <v>0</v>
      </c>
      <c r="Q55" s="183">
        <v>0</v>
      </c>
      <c r="R55" s="183">
        <v>0</v>
      </c>
      <c r="S55" s="183">
        <v>0</v>
      </c>
      <c r="T55" s="183">
        <v>0</v>
      </c>
      <c r="U55" s="183">
        <v>0</v>
      </c>
      <c r="V55" s="183">
        <v>0</v>
      </c>
      <c r="W55" s="183">
        <v>0</v>
      </c>
      <c r="X55" s="183">
        <v>0</v>
      </c>
      <c r="Y55" s="183">
        <v>0</v>
      </c>
      <c r="Z55" s="183">
        <v>0</v>
      </c>
      <c r="AA55" s="183">
        <v>0</v>
      </c>
      <c r="AB55" s="135">
        <f t="shared" ref="AB55:AE55" si="94">SUM(V55,D55,J55, P55)</f>
        <v>0</v>
      </c>
      <c r="AC55" s="136">
        <f t="shared" si="94"/>
        <v>0</v>
      </c>
      <c r="AD55" s="136">
        <f t="shared" si="94"/>
        <v>0</v>
      </c>
      <c r="AE55" s="136">
        <f t="shared" si="94"/>
        <v>0</v>
      </c>
      <c r="AF55" s="136">
        <f t="shared" si="15"/>
        <v>0</v>
      </c>
      <c r="AG55" s="141">
        <f t="shared" si="16"/>
        <v>0</v>
      </c>
      <c r="AH55" s="137">
        <f t="shared" ref="AH55:AM55" si="95">IF(AB55 = 0, 0, AB55/AB$14)</f>
        <v>0</v>
      </c>
      <c r="AI55" s="137">
        <f t="shared" si="95"/>
        <v>0</v>
      </c>
      <c r="AJ55" s="137">
        <f t="shared" si="95"/>
        <v>0</v>
      </c>
      <c r="AK55" s="137">
        <f t="shared" si="95"/>
        <v>0</v>
      </c>
      <c r="AL55" s="137">
        <f t="shared" si="95"/>
        <v>0</v>
      </c>
      <c r="AM55" s="137">
        <f t="shared" si="95"/>
        <v>0</v>
      </c>
      <c r="AN55" s="138">
        <f>IF(OR(GradeSheet!$M50="W (Withdrawn)", GradeSheet!$M50="I (Incomplete)"), 0, IF(AH55&gt;=55%, 1, 0))</f>
        <v>0</v>
      </c>
      <c r="AO55" s="114">
        <f>IF(OR(GradeSheet!$M50="W (Withdrawn)", GradeSheet!$M50="I (Incomplete)"), 0, IF(AI55&gt;=55%, 1, 0))</f>
        <v>0</v>
      </c>
      <c r="AP55" s="114">
        <f>IF(OR(GradeSheet!$M50="W (Withdrawn)", GradeSheet!$M50="I (Incomplete)"), 0, IF(AJ55&gt;=55%, 1, 0))</f>
        <v>0</v>
      </c>
      <c r="AQ55" s="114">
        <f>IF(OR(GradeSheet!$M50="W (Withdrawn)", GradeSheet!$M50="I (Incomplete)"), 0, IF(AK55&gt;=55%, 1, 0))</f>
        <v>0</v>
      </c>
      <c r="AR55" s="114">
        <f>IF(OR(GradeSheet!$M50="W (Withdrawn)", GradeSheet!$M50="I (Incomplete)"), 0, IF(AL55&gt;=55%, 1, 0))</f>
        <v>0</v>
      </c>
      <c r="AS55" s="114">
        <f>IF(OR(GradeSheet!$M50="W (Withdrawn)", GradeSheet!$M50="I (Incomplete)"), 0, IF(AM55&gt;=55%, 1, 0))</f>
        <v>0</v>
      </c>
      <c r="AT55" s="118"/>
      <c r="AU55" s="139">
        <f t="shared" si="9"/>
        <v>0</v>
      </c>
      <c r="AV55" s="139">
        <f t="shared" si="10"/>
        <v>0</v>
      </c>
      <c r="AW55" s="139">
        <f t="array" ref="AW55">IF($AV$9=0,0,MMULT($AH55:$AM55, AV$3:AV$8)/$AV$9)</f>
        <v>0</v>
      </c>
      <c r="AX55" s="139">
        <f t="array" ref="AX55">IF($AW$9=0,0,MMULT($AH55:$AM55, AW$3:AW$8)/$AW$9)</f>
        <v>0</v>
      </c>
      <c r="AY55" s="139">
        <f t="shared" si="11"/>
        <v>0</v>
      </c>
      <c r="AZ55" s="139">
        <f t="array" ref="AZ55">IF($AY$9=0,0,MMULT($AH55:$AM55, AY$3:AY$8)/$AY$9)</f>
        <v>0</v>
      </c>
      <c r="BA55" s="139">
        <f t="array" ref="BA55">IF($AZ$9=0,0,MMULT($AH55:$AM55, AZ$3:AZ$8)/$AZ$9)</f>
        <v>0</v>
      </c>
      <c r="BB55" s="139">
        <f t="array" ref="BB55">IF($BA$9=0,0,MMULT($AH55:$AM55, BA$3:BA$8)/$BA$9)</f>
        <v>0</v>
      </c>
      <c r="BC55" s="139">
        <f t="array" ref="BC55">IF($BB$9=0,0,MMULT($AH55:$AM55, BB$3:BB$8)/$BB$9)</f>
        <v>0</v>
      </c>
      <c r="BD55" s="139">
        <f t="array" ref="BD55">IF($BC$9=0,0,MMULT($AH55:$AM55, BC$3:BC$8)/$BC$9)</f>
        <v>0</v>
      </c>
      <c r="BE55" s="139">
        <f t="shared" si="12"/>
        <v>0</v>
      </c>
      <c r="BF55" s="139">
        <f t="shared" si="13"/>
        <v>0</v>
      </c>
      <c r="BG55" s="114">
        <f>IF(OR(GradeSheet!$M50="W (Withdrawn)", GradeSheet!$M50="I (Incomplete)"), 0, IF(AU55&gt;=65%, 1, 0))</f>
        <v>0</v>
      </c>
      <c r="BH55" s="114">
        <f>IF(OR(GradeSheet!$M50="W (Withdrawn)", GradeSheet!$M50="I (Incomplete)"), 0, IF(AV55&gt;=65%, 1, 0))</f>
        <v>0</v>
      </c>
      <c r="BI55" s="114">
        <f>IF(OR(GradeSheet!$M50="W (Withdrawn)", GradeSheet!$M50="I (Incomplete)"), 0, IF(AW55&gt;=65%, 1, 0))</f>
        <v>0</v>
      </c>
      <c r="BJ55" s="114">
        <f>IF(OR(GradeSheet!$M50="W (Withdrawn)", GradeSheet!$M50="I (Incomplete)"), 0, IF(AX55&gt;=65%, 1, 0))</f>
        <v>0</v>
      </c>
      <c r="BK55" s="114">
        <f>IF(OR(GradeSheet!$M50="W (Withdrawn)", GradeSheet!$M50="I (Incomplete)"), 0, IF(AY55&gt;=65%, 1, 0))</f>
        <v>0</v>
      </c>
      <c r="BL55" s="114">
        <f>IF(OR(GradeSheet!$M50="W (Withdrawn)", GradeSheet!$M50="I (Incomplete)"), 0, IF(AZ55&gt;=65%, 1, 0))</f>
        <v>0</v>
      </c>
      <c r="BM55" s="114">
        <f>IF(OR(GradeSheet!$M50="W (Withdrawn)", GradeSheet!$M50="I (Incomplete)"), 0, IF(BA55&gt;=65%, 1, 0))</f>
        <v>0</v>
      </c>
      <c r="BN55" s="114">
        <f>IF(OR(GradeSheet!$M50="W (Withdrawn)", GradeSheet!$M50="I (Incomplete)"), 0, IF(BB55&gt;=65%, 1, 0))</f>
        <v>0</v>
      </c>
      <c r="BO55" s="114">
        <f>IF(OR(GradeSheet!$M50="W (Withdrawn)", GradeSheet!$M50="I (Incomplete)"), 0, IF(BC55&gt;=65%, 1, 0))</f>
        <v>0</v>
      </c>
      <c r="BP55" s="114">
        <f>IF(OR(GradeSheet!$M50="W (Withdrawn)", GradeSheet!$M50="I (Incomplete)"), 0, IF(BD55&gt;=65%, 1, 0))</f>
        <v>0</v>
      </c>
      <c r="BQ55" s="114">
        <f>IF(OR(GradeSheet!$M50="W (Withdrawn)", GradeSheet!$M50="I (Incomplete)"), 0, IF(BE55&gt;=65%, 1, 0))</f>
        <v>0</v>
      </c>
      <c r="BR55" s="114">
        <f>IF(OR(GradeSheet!$M50="W (Withdrawn)", GradeSheet!$M50="I (Incomplete)"), 0, IF(BF55&gt;=65%, 1, 0))</f>
        <v>0</v>
      </c>
    </row>
    <row r="56" spans="1:70" ht="15.75" customHeight="1">
      <c r="A56" s="142">
        <v>42</v>
      </c>
      <c r="B56" s="35">
        <f>GradeSheet!X51</f>
        <v>0</v>
      </c>
      <c r="C56" s="23">
        <f>GradeSheet!W51</f>
        <v>0</v>
      </c>
      <c r="D56" s="183">
        <v>0</v>
      </c>
      <c r="E56" s="183">
        <v>0</v>
      </c>
      <c r="F56" s="183">
        <v>0</v>
      </c>
      <c r="G56" s="183">
        <v>0</v>
      </c>
      <c r="H56" s="183">
        <v>0</v>
      </c>
      <c r="I56" s="183">
        <v>0</v>
      </c>
      <c r="J56" s="183">
        <v>0</v>
      </c>
      <c r="K56" s="183">
        <v>0</v>
      </c>
      <c r="L56" s="183">
        <v>0</v>
      </c>
      <c r="M56" s="183">
        <v>0</v>
      </c>
      <c r="N56" s="183">
        <v>0</v>
      </c>
      <c r="O56" s="183">
        <v>0</v>
      </c>
      <c r="P56" s="183">
        <v>0</v>
      </c>
      <c r="Q56" s="183">
        <v>0</v>
      </c>
      <c r="R56" s="183">
        <v>0</v>
      </c>
      <c r="S56" s="183">
        <v>0</v>
      </c>
      <c r="T56" s="183">
        <v>0</v>
      </c>
      <c r="U56" s="183">
        <v>0</v>
      </c>
      <c r="V56" s="183">
        <v>0</v>
      </c>
      <c r="W56" s="183">
        <v>0</v>
      </c>
      <c r="X56" s="183">
        <v>0</v>
      </c>
      <c r="Y56" s="183">
        <v>0</v>
      </c>
      <c r="Z56" s="183">
        <v>0</v>
      </c>
      <c r="AA56" s="183">
        <v>0</v>
      </c>
      <c r="AB56" s="135">
        <f t="shared" ref="AB56:AE56" si="96">SUM(V56,D56,J56, P56)</f>
        <v>0</v>
      </c>
      <c r="AC56" s="136">
        <f t="shared" si="96"/>
        <v>0</v>
      </c>
      <c r="AD56" s="136">
        <f t="shared" si="96"/>
        <v>0</v>
      </c>
      <c r="AE56" s="136">
        <f t="shared" si="96"/>
        <v>0</v>
      </c>
      <c r="AF56" s="143">
        <f t="shared" si="15"/>
        <v>0</v>
      </c>
      <c r="AG56" s="143">
        <f t="shared" si="16"/>
        <v>0</v>
      </c>
      <c r="AH56" s="137">
        <f t="shared" ref="AH56:AM56" si="97">IF(AB56 = 0, 0, AB56/AB$14)</f>
        <v>0</v>
      </c>
      <c r="AI56" s="144">
        <f t="shared" si="97"/>
        <v>0</v>
      </c>
      <c r="AJ56" s="144">
        <f t="shared" si="97"/>
        <v>0</v>
      </c>
      <c r="AK56" s="144">
        <f t="shared" si="97"/>
        <v>0</v>
      </c>
      <c r="AL56" s="144">
        <f t="shared" si="97"/>
        <v>0</v>
      </c>
      <c r="AM56" s="144">
        <f t="shared" si="97"/>
        <v>0</v>
      </c>
      <c r="AN56" s="138">
        <f>IF(OR(GradeSheet!$M51="W (Withdrawn)", GradeSheet!$M51="I (Incomplete)"), 0, IF(AH56&gt;=55%, 1, 0))</f>
        <v>0</v>
      </c>
      <c r="AO56" s="145">
        <f>IF(OR(GradeSheet!$M51="W (Withdrawn)", GradeSheet!$M51="I (Incomplete)"), 0, IF(AI56&gt;=55%, 1, 0))</f>
        <v>0</v>
      </c>
      <c r="AP56" s="145">
        <f>IF(OR(GradeSheet!$M51="W (Withdrawn)", GradeSheet!$M51="I (Incomplete)"), 0, IF(AJ56&gt;=55%, 1, 0))</f>
        <v>0</v>
      </c>
      <c r="AQ56" s="145">
        <f>IF(OR(GradeSheet!$M51="W (Withdrawn)", GradeSheet!$M51="I (Incomplete)"), 0, IF(AK56&gt;=55%, 1, 0))</f>
        <v>0</v>
      </c>
      <c r="AR56" s="145">
        <f>IF(OR(GradeSheet!$M51="W (Withdrawn)", GradeSheet!$M51="I (Incomplete)"), 0, IF(AL56&gt;=55%, 1, 0))</f>
        <v>0</v>
      </c>
      <c r="AS56" s="146">
        <f>IF(OR(GradeSheet!$M51="W (Withdrawn)", GradeSheet!$M51="I (Incomplete)"), 0, IF(AM56&gt;=55%, 1, 0))</f>
        <v>0</v>
      </c>
      <c r="AT56" s="147"/>
      <c r="AU56" s="148">
        <f t="array" ref="AU56">IF($AT$9=0,0,MMULT($AH56:$AM56, AT$3:AT$8)/$AT$9)</f>
        <v>0</v>
      </c>
      <c r="AV56" s="148">
        <f t="array" ref="AV56">IF($AU$9=0,0,MMULT($AH56:$AM56, AU$3:AU$8)/$AU$9)</f>
        <v>0</v>
      </c>
      <c r="AW56" s="148">
        <f t="array" ref="AW56">IF($AV$9=0,0,MMULT($AH56:$AM56, AV$3:AV$8)/$AV$9)</f>
        <v>0</v>
      </c>
      <c r="AX56" s="148">
        <f t="array" ref="AX56">IF($AW$9=0,0,MMULT($AH56:$AM56, AW$3:AW$8)/$AW$9)</f>
        <v>0</v>
      </c>
      <c r="AY56" s="148">
        <f t="array" ref="AY56">IF($AX$9=0,0,MMULT($AH56:$AM56, AX$3:AX$8)/$AX$9)</f>
        <v>0</v>
      </c>
      <c r="AZ56" s="148">
        <f t="array" ref="AZ56">IF($AY$9=0,0,MMULT($AH56:$AM56, AY$3:AY$8)/$AY$9)</f>
        <v>0</v>
      </c>
      <c r="BA56" s="148">
        <f t="array" ref="BA56">IF($AZ$9=0,0,MMULT($AH56:$AM56, AZ$3:AZ$8)/$AZ$9)</f>
        <v>0</v>
      </c>
      <c r="BB56" s="148">
        <f t="array" ref="BB56">IF($BA$9=0,0,MMULT($AH56:$AM56, BA$3:BA$8)/$BA$9)</f>
        <v>0</v>
      </c>
      <c r="BC56" s="148">
        <f t="array" ref="BC56">IF($BB$9=0,0,MMULT($AH56:$AM56, BB$3:BB$8)/$BB$9)</f>
        <v>0</v>
      </c>
      <c r="BD56" s="148">
        <f t="array" ref="BD56">IF($BC$9=0,0,MMULT($AH56:$AM56, BC$3:BC$8)/$BC$9)</f>
        <v>0</v>
      </c>
      <c r="BE56" s="148">
        <f t="array" ref="BE56">IF($BD$9=0,0,MMULT($AH56:$AM56, BD$3:BD$8)/$BD$9)</f>
        <v>0</v>
      </c>
      <c r="BF56" s="148">
        <f t="array" ref="BF56">IF($BE$9=0,0,MMULT($AH56:$AM56, BE$3:BE$8)/$BE$9)</f>
        <v>0</v>
      </c>
      <c r="BG56" s="145">
        <f>IF(OR(GradeSheet!$M51="W (Withdrawn)", GradeSheet!$M51="I (Incomplete)"), 0, IF(AU56&gt;=65%, 1, 0))</f>
        <v>0</v>
      </c>
      <c r="BH56" s="145">
        <f>IF(OR(GradeSheet!$M51="W (Withdrawn)", GradeSheet!$M51="I (Incomplete)"), 0, IF(AV56&gt;=65%, 1, 0))</f>
        <v>0</v>
      </c>
      <c r="BI56" s="145">
        <f>IF(OR(GradeSheet!$M51="W (Withdrawn)", GradeSheet!$M51="I (Incomplete)"), 0, IF(AW56&gt;=65%, 1, 0))</f>
        <v>0</v>
      </c>
      <c r="BJ56" s="145">
        <f>IF(OR(GradeSheet!$M51="W (Withdrawn)", GradeSheet!$M51="I (Incomplete)"), 0, IF(AX56&gt;=65%, 1, 0))</f>
        <v>0</v>
      </c>
      <c r="BK56" s="145">
        <f>IF(OR(GradeSheet!$M51="W (Withdrawn)", GradeSheet!$M51="I (Incomplete)"), 0, IF(AY56&gt;=65%, 1, 0))</f>
        <v>0</v>
      </c>
      <c r="BL56" s="145">
        <f>IF(OR(GradeSheet!$M51="W (Withdrawn)", GradeSheet!$M51="I (Incomplete)"), 0, IF(AZ56&gt;=65%, 1, 0))</f>
        <v>0</v>
      </c>
      <c r="BM56" s="145">
        <f>IF(OR(GradeSheet!$M51="W (Withdrawn)", GradeSheet!$M51="I (Incomplete)"), 0, IF(BA56&gt;=65%, 1, 0))</f>
        <v>0</v>
      </c>
      <c r="BN56" s="145">
        <f>IF(OR(GradeSheet!$M51="W (Withdrawn)", GradeSheet!$M51="I (Incomplete)"), 0, IF(BB56&gt;=65%, 1, 0))</f>
        <v>0</v>
      </c>
      <c r="BO56" s="145">
        <f>IF(OR(GradeSheet!$M51="W (Withdrawn)", GradeSheet!$M51="I (Incomplete)"), 0, IF(BC56&gt;=65%, 1, 0))</f>
        <v>0</v>
      </c>
      <c r="BP56" s="145">
        <f>IF(OR(GradeSheet!$M51="W (Withdrawn)", GradeSheet!$M51="I (Incomplete)"), 0, IF(BD56&gt;=65%, 1, 0))</f>
        <v>0</v>
      </c>
      <c r="BQ56" s="145">
        <f>IF(OR(GradeSheet!$M51="W (Withdrawn)", GradeSheet!$M51="I (Incomplete)"), 0, IF(BE56&gt;=65%, 1, 0))</f>
        <v>0</v>
      </c>
      <c r="BR56" s="146">
        <f>IF(OR(GradeSheet!$M51="W (Withdrawn)", GradeSheet!$M51="I (Incomplete)"), 0, IF(BF56&gt;=65%, 1, 0))</f>
        <v>0</v>
      </c>
    </row>
    <row r="57" spans="1:70" ht="15.75" customHeight="1">
      <c r="A57" s="142">
        <v>43</v>
      </c>
      <c r="B57" s="35">
        <f>GradeSheet!X52</f>
        <v>0</v>
      </c>
      <c r="C57" s="23">
        <f>GradeSheet!W52</f>
        <v>0</v>
      </c>
      <c r="D57" s="183">
        <v>0</v>
      </c>
      <c r="E57" s="183">
        <v>0</v>
      </c>
      <c r="F57" s="183">
        <v>0</v>
      </c>
      <c r="G57" s="183">
        <v>0</v>
      </c>
      <c r="H57" s="183">
        <v>0</v>
      </c>
      <c r="I57" s="183">
        <v>0</v>
      </c>
      <c r="J57" s="183">
        <v>0</v>
      </c>
      <c r="K57" s="183">
        <v>0</v>
      </c>
      <c r="L57" s="183">
        <v>0</v>
      </c>
      <c r="M57" s="183">
        <v>0</v>
      </c>
      <c r="N57" s="183">
        <v>0</v>
      </c>
      <c r="O57" s="183">
        <v>0</v>
      </c>
      <c r="P57" s="183">
        <v>0</v>
      </c>
      <c r="Q57" s="183">
        <v>0</v>
      </c>
      <c r="R57" s="183">
        <v>0</v>
      </c>
      <c r="S57" s="183">
        <v>0</v>
      </c>
      <c r="T57" s="183">
        <v>0</v>
      </c>
      <c r="U57" s="183">
        <v>0</v>
      </c>
      <c r="V57" s="183">
        <v>0</v>
      </c>
      <c r="W57" s="183">
        <v>0</v>
      </c>
      <c r="X57" s="183">
        <v>0</v>
      </c>
      <c r="Y57" s="183">
        <v>0</v>
      </c>
      <c r="Z57" s="183">
        <v>0</v>
      </c>
      <c r="AA57" s="183">
        <v>0</v>
      </c>
      <c r="AB57" s="135">
        <f t="shared" ref="AB57:AE57" si="98">SUM(V57,D57,J57, P57)</f>
        <v>0</v>
      </c>
      <c r="AC57" s="136">
        <f t="shared" si="98"/>
        <v>0</v>
      </c>
      <c r="AD57" s="136">
        <f t="shared" si="98"/>
        <v>0</v>
      </c>
      <c r="AE57" s="136">
        <f t="shared" si="98"/>
        <v>0</v>
      </c>
      <c r="AF57" s="143">
        <f t="shared" si="15"/>
        <v>0</v>
      </c>
      <c r="AG57" s="143">
        <f t="shared" si="16"/>
        <v>0</v>
      </c>
      <c r="AH57" s="137">
        <f t="shared" ref="AH57:AM57" si="99">IF(AB57 = 0, 0, AB57/AB$14)</f>
        <v>0</v>
      </c>
      <c r="AI57" s="144">
        <f t="shared" si="99"/>
        <v>0</v>
      </c>
      <c r="AJ57" s="144">
        <f t="shared" si="99"/>
        <v>0</v>
      </c>
      <c r="AK57" s="144">
        <f t="shared" si="99"/>
        <v>0</v>
      </c>
      <c r="AL57" s="144">
        <f t="shared" si="99"/>
        <v>0</v>
      </c>
      <c r="AM57" s="144">
        <f t="shared" si="99"/>
        <v>0</v>
      </c>
      <c r="AN57" s="138">
        <f>IF(OR(GradeSheet!$M52="W (Withdrawn)", GradeSheet!$M52="I (Incomplete)"), 0, IF(AH57&gt;=55%, 1, 0))</f>
        <v>0</v>
      </c>
      <c r="AO57" s="145">
        <f>IF(OR(GradeSheet!$M52="W (Withdrawn)", GradeSheet!$M52="I (Incomplete)"), 0, IF(AI57&gt;=55%, 1, 0))</f>
        <v>0</v>
      </c>
      <c r="AP57" s="145">
        <f>IF(OR(GradeSheet!$M52="W (Withdrawn)", GradeSheet!$M52="I (Incomplete)"), 0, IF(AJ57&gt;=55%, 1, 0))</f>
        <v>0</v>
      </c>
      <c r="AQ57" s="145">
        <f>IF(OR(GradeSheet!$M52="W (Withdrawn)", GradeSheet!$M52="I (Incomplete)"), 0, IF(AK57&gt;=55%, 1, 0))</f>
        <v>0</v>
      </c>
      <c r="AR57" s="145">
        <f>IF(OR(GradeSheet!$M52="W (Withdrawn)", GradeSheet!$M52="I (Incomplete)"), 0, IF(AL57&gt;=55%, 1, 0))</f>
        <v>0</v>
      </c>
      <c r="AS57" s="146">
        <f>IF(OR(GradeSheet!$M52="W (Withdrawn)", GradeSheet!$M52="I (Incomplete)"), 0, IF(AM57&gt;=55%, 1, 0))</f>
        <v>0</v>
      </c>
      <c r="AT57" s="149"/>
      <c r="AU57" s="148">
        <f t="array" ref="AU57">IF($AT$9=0,0,MMULT($AH57:$AM57, AT$3:AT$8)/$AT$9)</f>
        <v>0</v>
      </c>
      <c r="AV57" s="148">
        <f t="array" ref="AV57">IF($AU$9=0,0,MMULT($AH57:$AM57, AU$3:AU$8)/$AU$9)</f>
        <v>0</v>
      </c>
      <c r="AW57" s="148">
        <f t="array" ref="AW57">IF($AV$9=0,0,MMULT($AH57:$AM57, AV$3:AV$8)/$AV$9)</f>
        <v>0</v>
      </c>
      <c r="AX57" s="148">
        <f t="array" ref="AX57">IF($AW$9=0,0,MMULT($AH57:$AM57, AW$3:AW$8)/$AW$9)</f>
        <v>0</v>
      </c>
      <c r="AY57" s="148">
        <f t="array" ref="AY57">IF($AX$9=0,0,MMULT($AH57:$AM57, AX$3:AX$8)/$AX$9)</f>
        <v>0</v>
      </c>
      <c r="AZ57" s="148">
        <f t="array" ref="AZ57">IF($AY$9=0,0,MMULT($AH57:$AM57, AY$3:AY$8)/$AY$9)</f>
        <v>0</v>
      </c>
      <c r="BA57" s="148">
        <f t="array" ref="BA57">IF($AZ$9=0,0,MMULT($AH57:$AM57, AZ$3:AZ$8)/$AZ$9)</f>
        <v>0</v>
      </c>
      <c r="BB57" s="148">
        <f t="array" ref="BB57">IF($BA$9=0,0,MMULT($AH57:$AM57, BA$3:BA$8)/$BA$9)</f>
        <v>0</v>
      </c>
      <c r="BC57" s="148">
        <f t="array" ref="BC57">IF($BB$9=0,0,MMULT($AH57:$AM57, BB$3:BB$8)/$BB$9)</f>
        <v>0</v>
      </c>
      <c r="BD57" s="148">
        <f t="array" ref="BD57">IF($BC$9=0,0,MMULT($AH57:$AM57, BC$3:BC$8)/$BC$9)</f>
        <v>0</v>
      </c>
      <c r="BE57" s="148">
        <f t="array" ref="BE57">IF($BD$9=0,0,MMULT($AH57:$AM57, BD$3:BD$8)/$BD$9)</f>
        <v>0</v>
      </c>
      <c r="BF57" s="148">
        <f t="array" ref="BF57">IF($BE$9=0,0,MMULT($AH57:$AM57, BE$3:BE$8)/$BE$9)</f>
        <v>0</v>
      </c>
      <c r="BG57" s="145">
        <f>IF(OR(GradeSheet!$M52="W (Withdrawn)", GradeSheet!$M52="I (Incomplete)"), 0, IF(AU57&gt;=65%, 1, 0))</f>
        <v>0</v>
      </c>
      <c r="BH57" s="145">
        <f>IF(OR(GradeSheet!$M52="W (Withdrawn)", GradeSheet!$M52="I (Incomplete)"), 0, IF(AV57&gt;=65%, 1, 0))</f>
        <v>0</v>
      </c>
      <c r="BI57" s="145">
        <f>IF(OR(GradeSheet!$M52="W (Withdrawn)", GradeSheet!$M52="I (Incomplete)"), 0, IF(AW57&gt;=65%, 1, 0))</f>
        <v>0</v>
      </c>
      <c r="BJ57" s="145">
        <f>IF(OR(GradeSheet!$M52="W (Withdrawn)", GradeSheet!$M52="I (Incomplete)"), 0, IF(AX57&gt;=65%, 1, 0))</f>
        <v>0</v>
      </c>
      <c r="BK57" s="145">
        <f>IF(OR(GradeSheet!$M52="W (Withdrawn)", GradeSheet!$M52="I (Incomplete)"), 0, IF(AY57&gt;=65%, 1, 0))</f>
        <v>0</v>
      </c>
      <c r="BL57" s="145">
        <f>IF(OR(GradeSheet!$M52="W (Withdrawn)", GradeSheet!$M52="I (Incomplete)"), 0, IF(AZ57&gt;=65%, 1, 0))</f>
        <v>0</v>
      </c>
      <c r="BM57" s="145">
        <f>IF(OR(GradeSheet!$M52="W (Withdrawn)", GradeSheet!$M52="I (Incomplete)"), 0, IF(BA57&gt;=65%, 1, 0))</f>
        <v>0</v>
      </c>
      <c r="BN57" s="145">
        <f>IF(OR(GradeSheet!$M52="W (Withdrawn)", GradeSheet!$M52="I (Incomplete)"), 0, IF(BB57&gt;=65%, 1, 0))</f>
        <v>0</v>
      </c>
      <c r="BO57" s="145">
        <f>IF(OR(GradeSheet!$M52="W (Withdrawn)", GradeSheet!$M52="I (Incomplete)"), 0, IF(BC57&gt;=65%, 1, 0))</f>
        <v>0</v>
      </c>
      <c r="BP57" s="145">
        <f>IF(OR(GradeSheet!$M52="W (Withdrawn)", GradeSheet!$M52="I (Incomplete)"), 0, IF(BD57&gt;=65%, 1, 0))</f>
        <v>0</v>
      </c>
      <c r="BQ57" s="145">
        <f>IF(OR(GradeSheet!$M52="W (Withdrawn)", GradeSheet!$M52="I (Incomplete)"), 0, IF(BE57&gt;=65%, 1, 0))</f>
        <v>0</v>
      </c>
      <c r="BR57" s="146">
        <f>IF(OR(GradeSheet!$M52="W (Withdrawn)", GradeSheet!$M52="I (Incomplete)"), 0, IF(BF57&gt;=65%, 1, 0))</f>
        <v>0</v>
      </c>
    </row>
    <row r="58" spans="1:70" ht="15.75" customHeight="1">
      <c r="A58" s="142">
        <v>44</v>
      </c>
      <c r="B58" s="35">
        <f>GradeSheet!X53</f>
        <v>0</v>
      </c>
      <c r="C58" s="23">
        <f>GradeSheet!W53</f>
        <v>0</v>
      </c>
      <c r="D58" s="183">
        <v>0</v>
      </c>
      <c r="E58" s="183">
        <v>0</v>
      </c>
      <c r="F58" s="183">
        <v>0</v>
      </c>
      <c r="G58" s="183">
        <v>0</v>
      </c>
      <c r="H58" s="183">
        <v>0</v>
      </c>
      <c r="I58" s="183">
        <v>0</v>
      </c>
      <c r="J58" s="183">
        <v>0</v>
      </c>
      <c r="K58" s="183">
        <v>0</v>
      </c>
      <c r="L58" s="183">
        <v>0</v>
      </c>
      <c r="M58" s="183">
        <v>0</v>
      </c>
      <c r="N58" s="183">
        <v>0</v>
      </c>
      <c r="O58" s="183">
        <v>0</v>
      </c>
      <c r="P58" s="183">
        <v>0</v>
      </c>
      <c r="Q58" s="183">
        <v>0</v>
      </c>
      <c r="R58" s="183">
        <v>0</v>
      </c>
      <c r="S58" s="183">
        <v>0</v>
      </c>
      <c r="T58" s="183">
        <v>0</v>
      </c>
      <c r="U58" s="183">
        <v>0</v>
      </c>
      <c r="V58" s="183">
        <v>0</v>
      </c>
      <c r="W58" s="183">
        <v>0</v>
      </c>
      <c r="X58" s="183">
        <v>0</v>
      </c>
      <c r="Y58" s="183">
        <v>0</v>
      </c>
      <c r="Z58" s="183">
        <v>0</v>
      </c>
      <c r="AA58" s="183">
        <v>0</v>
      </c>
      <c r="AB58" s="135">
        <f t="shared" ref="AB58:AE58" si="100">SUM(V58,D58,J58, P58)</f>
        <v>0</v>
      </c>
      <c r="AC58" s="136">
        <f t="shared" si="100"/>
        <v>0</v>
      </c>
      <c r="AD58" s="136">
        <f t="shared" si="100"/>
        <v>0</v>
      </c>
      <c r="AE58" s="136">
        <f t="shared" si="100"/>
        <v>0</v>
      </c>
      <c r="AF58" s="143">
        <f t="shared" si="15"/>
        <v>0</v>
      </c>
      <c r="AG58" s="143">
        <f t="shared" si="16"/>
        <v>0</v>
      </c>
      <c r="AH58" s="137">
        <f t="shared" ref="AH58:AM58" si="101">IF(AB58 = 0, 0, AB58/AB$14)</f>
        <v>0</v>
      </c>
      <c r="AI58" s="144">
        <f t="shared" si="101"/>
        <v>0</v>
      </c>
      <c r="AJ58" s="144">
        <f t="shared" si="101"/>
        <v>0</v>
      </c>
      <c r="AK58" s="144">
        <f t="shared" si="101"/>
        <v>0</v>
      </c>
      <c r="AL58" s="144">
        <f t="shared" si="101"/>
        <v>0</v>
      </c>
      <c r="AM58" s="144">
        <f t="shared" si="101"/>
        <v>0</v>
      </c>
      <c r="AN58" s="138">
        <f>IF(OR(GradeSheet!$M53="W (Withdrawn)", GradeSheet!$M53="I (Incomplete)"), 0, IF(AH58&gt;=55%, 1, 0))</f>
        <v>0</v>
      </c>
      <c r="AO58" s="145">
        <f>IF(OR(GradeSheet!$M53="W (Withdrawn)", GradeSheet!$M53="I (Incomplete)"), 0, IF(AI58&gt;=55%, 1, 0))</f>
        <v>0</v>
      </c>
      <c r="AP58" s="145">
        <f>IF(OR(GradeSheet!$M53="W (Withdrawn)", GradeSheet!$M53="I (Incomplete)"), 0, IF(AJ58&gt;=55%, 1, 0))</f>
        <v>0</v>
      </c>
      <c r="AQ58" s="145">
        <f>IF(OR(GradeSheet!$M53="W (Withdrawn)", GradeSheet!$M53="I (Incomplete)"), 0, IF(AK58&gt;=55%, 1, 0))</f>
        <v>0</v>
      </c>
      <c r="AR58" s="145">
        <f>IF(OR(GradeSheet!$M53="W (Withdrawn)", GradeSheet!$M53="I (Incomplete)"), 0, IF(AL58&gt;=55%, 1, 0))</f>
        <v>0</v>
      </c>
      <c r="AS58" s="146">
        <f>IF(OR(GradeSheet!$M53="W (Withdrawn)", GradeSheet!$M53="I (Incomplete)"), 0, IF(AM58&gt;=55%, 1, 0))</f>
        <v>0</v>
      </c>
      <c r="AU58" s="148">
        <f t="array" ref="AU58">IF($AT$9=0,0,MMULT($AH58:$AM58, AT$3:AT$8)/$AT$9)</f>
        <v>0</v>
      </c>
      <c r="AV58" s="148">
        <f t="array" ref="AV58">IF($AU$9=0,0,MMULT($AH58:$AM58, AU$3:AU$8)/$AU$9)</f>
        <v>0</v>
      </c>
      <c r="AW58" s="148">
        <f t="array" ref="AW58">IF($AV$9=0,0,MMULT($AH58:$AM58, AV$3:AV$8)/$AV$9)</f>
        <v>0</v>
      </c>
      <c r="AX58" s="148">
        <f t="array" ref="AX58">IF($AW$9=0,0,MMULT($AH58:$AM58, AW$3:AW$8)/$AW$9)</f>
        <v>0</v>
      </c>
      <c r="AY58" s="148">
        <f t="array" ref="AY58">IF($AX$9=0,0,MMULT($AH58:$AM58, AX$3:AX$8)/$AX$9)</f>
        <v>0</v>
      </c>
      <c r="AZ58" s="148">
        <f t="array" ref="AZ58">IF($AY$9=0,0,MMULT($AH58:$AM58, AY$3:AY$8)/$AY$9)</f>
        <v>0</v>
      </c>
      <c r="BA58" s="148">
        <f t="array" ref="BA58">IF($AZ$9=0,0,MMULT($AH58:$AM58, AZ$3:AZ$8)/$AZ$9)</f>
        <v>0</v>
      </c>
      <c r="BB58" s="148">
        <f t="array" ref="BB58">IF($BA$9=0,0,MMULT($AH58:$AM58, BA$3:BA$8)/$BA$9)</f>
        <v>0</v>
      </c>
      <c r="BC58" s="148">
        <f t="array" ref="BC58">IF($BB$9=0,0,MMULT($AH58:$AM58, BB$3:BB$8)/$BB$9)</f>
        <v>0</v>
      </c>
      <c r="BD58" s="148">
        <f t="array" ref="BD58">IF($BC$9=0,0,MMULT($AH58:$AM58, BC$3:BC$8)/$BC$9)</f>
        <v>0</v>
      </c>
      <c r="BE58" s="148">
        <f t="array" ref="BE58">IF($BD$9=0,0,MMULT($AH58:$AM58, BD$3:BD$8)/$BD$9)</f>
        <v>0</v>
      </c>
      <c r="BF58" s="148">
        <f t="array" ref="BF58">IF($BE$9=0,0,MMULT($AH58:$AM58, BE$3:BE$8)/$BE$9)</f>
        <v>0</v>
      </c>
      <c r="BG58" s="145">
        <f>IF(OR(GradeSheet!$M53="W (Withdrawn)", GradeSheet!$M53="I (Incomplete)"), 0, IF(AU58&gt;=65%, 1, 0))</f>
        <v>0</v>
      </c>
      <c r="BH58" s="145">
        <f>IF(OR(GradeSheet!$M53="W (Withdrawn)", GradeSheet!$M53="I (Incomplete)"), 0, IF(AV58&gt;=65%, 1, 0))</f>
        <v>0</v>
      </c>
      <c r="BI58" s="145">
        <f>IF(OR(GradeSheet!$M53="W (Withdrawn)", GradeSheet!$M53="I (Incomplete)"), 0, IF(AW58&gt;=65%, 1, 0))</f>
        <v>0</v>
      </c>
      <c r="BJ58" s="145">
        <f>IF(OR(GradeSheet!$M53="W (Withdrawn)", GradeSheet!$M53="I (Incomplete)"), 0, IF(AX58&gt;=65%, 1, 0))</f>
        <v>0</v>
      </c>
      <c r="BK58" s="145">
        <f>IF(OR(GradeSheet!$M53="W (Withdrawn)", GradeSheet!$M53="I (Incomplete)"), 0, IF(AY58&gt;=65%, 1, 0))</f>
        <v>0</v>
      </c>
      <c r="BL58" s="145">
        <f>IF(OR(GradeSheet!$M53="W (Withdrawn)", GradeSheet!$M53="I (Incomplete)"), 0, IF(AZ58&gt;=65%, 1, 0))</f>
        <v>0</v>
      </c>
      <c r="BM58" s="145">
        <f>IF(OR(GradeSheet!$M53="W (Withdrawn)", GradeSheet!$M53="I (Incomplete)"), 0, IF(BA58&gt;=65%, 1, 0))</f>
        <v>0</v>
      </c>
      <c r="BN58" s="145">
        <f>IF(OR(GradeSheet!$M53="W (Withdrawn)", GradeSheet!$M53="I (Incomplete)"), 0, IF(BB58&gt;=65%, 1, 0))</f>
        <v>0</v>
      </c>
      <c r="BO58" s="145">
        <f>IF(OR(GradeSheet!$M53="W (Withdrawn)", GradeSheet!$M53="I (Incomplete)"), 0, IF(BC58&gt;=65%, 1, 0))</f>
        <v>0</v>
      </c>
      <c r="BP58" s="145">
        <f>IF(OR(GradeSheet!$M53="W (Withdrawn)", GradeSheet!$M53="I (Incomplete)"), 0, IF(BD58&gt;=65%, 1, 0))</f>
        <v>0</v>
      </c>
      <c r="BQ58" s="145">
        <f>IF(OR(GradeSheet!$M53="W (Withdrawn)", GradeSheet!$M53="I (Incomplete)"), 0, IF(BE58&gt;=65%, 1, 0))</f>
        <v>0</v>
      </c>
      <c r="BR58" s="146">
        <f>IF(OR(GradeSheet!$M53="W (Withdrawn)", GradeSheet!$M53="I (Incomplete)"), 0, IF(BF58&gt;=65%, 1, 0))</f>
        <v>0</v>
      </c>
    </row>
    <row r="59" spans="1:70" ht="15.75" customHeight="1">
      <c r="A59" s="142">
        <v>45</v>
      </c>
      <c r="B59" s="35">
        <f>GradeSheet!X54</f>
        <v>0</v>
      </c>
      <c r="C59" s="23">
        <f>GradeSheet!W54</f>
        <v>0</v>
      </c>
      <c r="D59" s="183">
        <v>0</v>
      </c>
      <c r="E59" s="183">
        <v>0</v>
      </c>
      <c r="F59" s="183">
        <v>0</v>
      </c>
      <c r="G59" s="183">
        <v>0</v>
      </c>
      <c r="H59" s="183">
        <v>0</v>
      </c>
      <c r="I59" s="183">
        <v>0</v>
      </c>
      <c r="J59" s="183">
        <v>0</v>
      </c>
      <c r="K59" s="183">
        <v>0</v>
      </c>
      <c r="L59" s="183">
        <v>0</v>
      </c>
      <c r="M59" s="183">
        <v>0</v>
      </c>
      <c r="N59" s="183">
        <v>0</v>
      </c>
      <c r="O59" s="183">
        <v>0</v>
      </c>
      <c r="P59" s="183">
        <v>0</v>
      </c>
      <c r="Q59" s="183">
        <v>0</v>
      </c>
      <c r="R59" s="183">
        <v>0</v>
      </c>
      <c r="S59" s="183">
        <v>0</v>
      </c>
      <c r="T59" s="183">
        <v>0</v>
      </c>
      <c r="U59" s="183">
        <v>0</v>
      </c>
      <c r="V59" s="183">
        <v>0</v>
      </c>
      <c r="W59" s="183">
        <v>0</v>
      </c>
      <c r="X59" s="183">
        <v>0</v>
      </c>
      <c r="Y59" s="183">
        <v>0</v>
      </c>
      <c r="Z59" s="183">
        <v>0</v>
      </c>
      <c r="AA59" s="183">
        <v>0</v>
      </c>
      <c r="AB59" s="135">
        <f t="shared" ref="AB59:AE59" si="102">SUM(V59,D59,J59, P59)</f>
        <v>0</v>
      </c>
      <c r="AC59" s="136">
        <f t="shared" si="102"/>
        <v>0</v>
      </c>
      <c r="AD59" s="136">
        <f t="shared" si="102"/>
        <v>0</v>
      </c>
      <c r="AE59" s="136">
        <f t="shared" si="102"/>
        <v>0</v>
      </c>
      <c r="AF59" s="143">
        <f t="shared" si="15"/>
        <v>0</v>
      </c>
      <c r="AG59" s="143">
        <f t="shared" si="16"/>
        <v>0</v>
      </c>
      <c r="AH59" s="137">
        <f t="shared" ref="AH59:AM59" si="103">IF(AB59 = 0, 0, AB59/AB$14)</f>
        <v>0</v>
      </c>
      <c r="AI59" s="144">
        <f t="shared" si="103"/>
        <v>0</v>
      </c>
      <c r="AJ59" s="144">
        <f t="shared" si="103"/>
        <v>0</v>
      </c>
      <c r="AK59" s="144">
        <f t="shared" si="103"/>
        <v>0</v>
      </c>
      <c r="AL59" s="144">
        <f t="shared" si="103"/>
        <v>0</v>
      </c>
      <c r="AM59" s="144">
        <f t="shared" si="103"/>
        <v>0</v>
      </c>
      <c r="AN59" s="138">
        <f>IF(OR(GradeSheet!$M54="W (Withdrawn)", GradeSheet!$M54="I (Incomplete)"), 0, IF(AH59&gt;=55%, 1, 0))</f>
        <v>0</v>
      </c>
      <c r="AO59" s="145">
        <f>IF(OR(GradeSheet!$M54="W (Withdrawn)", GradeSheet!$M54="I (Incomplete)"), 0, IF(AI59&gt;=55%, 1, 0))</f>
        <v>0</v>
      </c>
      <c r="AP59" s="145">
        <f>IF(OR(GradeSheet!$M54="W (Withdrawn)", GradeSheet!$M54="I (Incomplete)"), 0, IF(AJ59&gt;=55%, 1, 0))</f>
        <v>0</v>
      </c>
      <c r="AQ59" s="145">
        <f>IF(OR(GradeSheet!$M54="W (Withdrawn)", GradeSheet!$M54="I (Incomplete)"), 0, IF(AK59&gt;=55%, 1, 0))</f>
        <v>0</v>
      </c>
      <c r="AR59" s="145">
        <f>IF(OR(GradeSheet!$M54="W (Withdrawn)", GradeSheet!$M54="I (Incomplete)"), 0, IF(AL59&gt;=55%, 1, 0))</f>
        <v>0</v>
      </c>
      <c r="AS59" s="146">
        <f>IF(OR(GradeSheet!$M54="W (Withdrawn)", GradeSheet!$M54="I (Incomplete)"), 0, IF(AM59&gt;=55%, 1, 0))</f>
        <v>0</v>
      </c>
      <c r="AU59" s="148">
        <f t="array" ref="AU59">IF($AT$9=0,0,MMULT($AH59:$AM59, AT$3:AT$8)/$AT$9)</f>
        <v>0</v>
      </c>
      <c r="AV59" s="148">
        <f t="array" ref="AV59">IF($AU$9=0,0,MMULT($AH59:$AM59, AU$3:AU$8)/$AU$9)</f>
        <v>0</v>
      </c>
      <c r="AW59" s="148">
        <f t="array" ref="AW59">IF($AV$9=0,0,MMULT($AH59:$AM59, AV$3:AV$8)/$AV$9)</f>
        <v>0</v>
      </c>
      <c r="AX59" s="148">
        <f t="array" ref="AX59">IF($AW$9=0,0,MMULT($AH59:$AM59, AW$3:AW$8)/$AW$9)</f>
        <v>0</v>
      </c>
      <c r="AY59" s="148">
        <f t="array" ref="AY59">IF($AX$9=0,0,MMULT($AH59:$AM59, AX$3:AX$8)/$AX$9)</f>
        <v>0</v>
      </c>
      <c r="AZ59" s="148">
        <f t="array" ref="AZ59">IF($AY$9=0,0,MMULT($AH59:$AM59, AY$3:AY$8)/$AY$9)</f>
        <v>0</v>
      </c>
      <c r="BA59" s="148">
        <f t="array" ref="BA59">IF($AZ$9=0,0,MMULT($AH59:$AM59, AZ$3:AZ$8)/$AZ$9)</f>
        <v>0</v>
      </c>
      <c r="BB59" s="148">
        <f t="array" ref="BB59">IF($BA$9=0,0,MMULT($AH59:$AM59, BA$3:BA$8)/$BA$9)</f>
        <v>0</v>
      </c>
      <c r="BC59" s="148">
        <f t="array" ref="BC59">IF($BB$9=0,0,MMULT($AH59:$AM59, BB$3:BB$8)/$BB$9)</f>
        <v>0</v>
      </c>
      <c r="BD59" s="148">
        <f t="array" ref="BD59">IF($BC$9=0,0,MMULT($AH59:$AM59, BC$3:BC$8)/$BC$9)</f>
        <v>0</v>
      </c>
      <c r="BE59" s="148">
        <f t="array" ref="BE59">IF($BD$9=0,0,MMULT($AH59:$AM59, BD$3:BD$8)/$BD$9)</f>
        <v>0</v>
      </c>
      <c r="BF59" s="148">
        <f t="array" ref="BF59">IF($BE$9=0,0,MMULT($AH59:$AM59, BE$3:BE$8)/$BE$9)</f>
        <v>0</v>
      </c>
      <c r="BG59" s="145">
        <f>IF(OR(GradeSheet!$M54="W (Withdrawn)", GradeSheet!$M54="I (Incomplete)"), 0, IF(AU59&gt;=65%, 1, 0))</f>
        <v>0</v>
      </c>
      <c r="BH59" s="145">
        <f>IF(OR(GradeSheet!$M54="W (Withdrawn)", GradeSheet!$M54="I (Incomplete)"), 0, IF(AV59&gt;=65%, 1, 0))</f>
        <v>0</v>
      </c>
      <c r="BI59" s="145">
        <f>IF(OR(GradeSheet!$M54="W (Withdrawn)", GradeSheet!$M54="I (Incomplete)"), 0, IF(AW59&gt;=65%, 1, 0))</f>
        <v>0</v>
      </c>
      <c r="BJ59" s="145">
        <f>IF(OR(GradeSheet!$M54="W (Withdrawn)", GradeSheet!$M54="I (Incomplete)"), 0, IF(AX59&gt;=65%, 1, 0))</f>
        <v>0</v>
      </c>
      <c r="BK59" s="145">
        <f>IF(OR(GradeSheet!$M54="W (Withdrawn)", GradeSheet!$M54="I (Incomplete)"), 0, IF(AY59&gt;=65%, 1, 0))</f>
        <v>0</v>
      </c>
      <c r="BL59" s="145">
        <f>IF(OR(GradeSheet!$M54="W (Withdrawn)", GradeSheet!$M54="I (Incomplete)"), 0, IF(AZ59&gt;=65%, 1, 0))</f>
        <v>0</v>
      </c>
      <c r="BM59" s="145">
        <f>IF(OR(GradeSheet!$M54="W (Withdrawn)", GradeSheet!$M54="I (Incomplete)"), 0, IF(BA59&gt;=65%, 1, 0))</f>
        <v>0</v>
      </c>
      <c r="BN59" s="145">
        <f>IF(OR(GradeSheet!$M54="W (Withdrawn)", GradeSheet!$M54="I (Incomplete)"), 0, IF(BB59&gt;=65%, 1, 0))</f>
        <v>0</v>
      </c>
      <c r="BO59" s="145">
        <f>IF(OR(GradeSheet!$M54="W (Withdrawn)", GradeSheet!$M54="I (Incomplete)"), 0, IF(BC59&gt;=65%, 1, 0))</f>
        <v>0</v>
      </c>
      <c r="BP59" s="145">
        <f>IF(OR(GradeSheet!$M54="W (Withdrawn)", GradeSheet!$M54="I (Incomplete)"), 0, IF(BD59&gt;=65%, 1, 0))</f>
        <v>0</v>
      </c>
      <c r="BQ59" s="145">
        <f>IF(OR(GradeSheet!$M54="W (Withdrawn)", GradeSheet!$M54="I (Incomplete)"), 0, IF(BE59&gt;=65%, 1, 0))</f>
        <v>0</v>
      </c>
      <c r="BR59" s="146">
        <f>IF(OR(GradeSheet!$M54="W (Withdrawn)", GradeSheet!$M54="I (Incomplete)"), 0, IF(BF59&gt;=65%, 1, 0))</f>
        <v>0</v>
      </c>
    </row>
    <row r="60" spans="1:70" ht="15.75" customHeight="1">
      <c r="A60" s="142">
        <v>46</v>
      </c>
      <c r="B60" s="35">
        <f>GradeSheet!X55</f>
        <v>0</v>
      </c>
      <c r="C60" s="23">
        <f>GradeSheet!W55</f>
        <v>0</v>
      </c>
      <c r="D60" s="183">
        <v>0</v>
      </c>
      <c r="E60" s="183">
        <v>0</v>
      </c>
      <c r="F60" s="183">
        <v>0</v>
      </c>
      <c r="G60" s="183">
        <v>0</v>
      </c>
      <c r="H60" s="183">
        <v>0</v>
      </c>
      <c r="I60" s="183">
        <v>0</v>
      </c>
      <c r="J60" s="183">
        <v>0</v>
      </c>
      <c r="K60" s="183">
        <v>0</v>
      </c>
      <c r="L60" s="183">
        <v>0</v>
      </c>
      <c r="M60" s="183">
        <v>0</v>
      </c>
      <c r="N60" s="183">
        <v>0</v>
      </c>
      <c r="O60" s="183">
        <v>0</v>
      </c>
      <c r="P60" s="183">
        <v>0</v>
      </c>
      <c r="Q60" s="183">
        <v>0</v>
      </c>
      <c r="R60" s="183">
        <v>0</v>
      </c>
      <c r="S60" s="183">
        <v>0</v>
      </c>
      <c r="T60" s="183">
        <v>0</v>
      </c>
      <c r="U60" s="183">
        <v>0</v>
      </c>
      <c r="V60" s="183">
        <v>0</v>
      </c>
      <c r="W60" s="183">
        <v>0</v>
      </c>
      <c r="X60" s="183">
        <v>0</v>
      </c>
      <c r="Y60" s="183">
        <v>0</v>
      </c>
      <c r="Z60" s="183">
        <v>0</v>
      </c>
      <c r="AA60" s="183">
        <v>0</v>
      </c>
      <c r="AB60" s="135">
        <f t="shared" ref="AB60:AE60" si="104">SUM(V60,D60,J60, P60)</f>
        <v>0</v>
      </c>
      <c r="AC60" s="136">
        <f t="shared" si="104"/>
        <v>0</v>
      </c>
      <c r="AD60" s="136">
        <f t="shared" si="104"/>
        <v>0</v>
      </c>
      <c r="AE60" s="136">
        <f t="shared" si="104"/>
        <v>0</v>
      </c>
      <c r="AF60" s="143">
        <f t="shared" si="15"/>
        <v>0</v>
      </c>
      <c r="AG60" s="143">
        <f t="shared" si="16"/>
        <v>0</v>
      </c>
      <c r="AH60" s="137">
        <f t="shared" ref="AH60:AM60" si="105">IF(AB60 = 0, 0, AB60/AB$14)</f>
        <v>0</v>
      </c>
      <c r="AI60" s="144">
        <f t="shared" si="105"/>
        <v>0</v>
      </c>
      <c r="AJ60" s="144">
        <f t="shared" si="105"/>
        <v>0</v>
      </c>
      <c r="AK60" s="144">
        <f t="shared" si="105"/>
        <v>0</v>
      </c>
      <c r="AL60" s="144">
        <f t="shared" si="105"/>
        <v>0</v>
      </c>
      <c r="AM60" s="144">
        <f t="shared" si="105"/>
        <v>0</v>
      </c>
      <c r="AN60" s="138">
        <f>IF(OR(GradeSheet!$M55="W (Withdrawn)", GradeSheet!$M55="I (Incomplete)"), 0, IF(AH60&gt;=55%, 1, 0))</f>
        <v>0</v>
      </c>
      <c r="AO60" s="145">
        <f>IF(OR(GradeSheet!$M55="W (Withdrawn)", GradeSheet!$M55="I (Incomplete)"), 0, IF(AI60&gt;=55%, 1, 0))</f>
        <v>0</v>
      </c>
      <c r="AP60" s="145">
        <f>IF(OR(GradeSheet!$M55="W (Withdrawn)", GradeSheet!$M55="I (Incomplete)"), 0, IF(AJ60&gt;=55%, 1, 0))</f>
        <v>0</v>
      </c>
      <c r="AQ60" s="145">
        <f>IF(OR(GradeSheet!$M55="W (Withdrawn)", GradeSheet!$M55="I (Incomplete)"), 0, IF(AK60&gt;=55%, 1, 0))</f>
        <v>0</v>
      </c>
      <c r="AR60" s="145">
        <f>IF(OR(GradeSheet!$M55="W (Withdrawn)", GradeSheet!$M55="I (Incomplete)"), 0, IF(AL60&gt;=55%, 1, 0))</f>
        <v>0</v>
      </c>
      <c r="AS60" s="146">
        <f>IF(OR(GradeSheet!$M55="W (Withdrawn)", GradeSheet!$M55="I (Incomplete)"), 0, IF(AM60&gt;=55%, 1, 0))</f>
        <v>0</v>
      </c>
      <c r="AU60" s="148">
        <f t="array" ref="AU60">IF($AT$9=0,0,MMULT($AH60:$AM60, AT$3:AT$8)/$AT$9)</f>
        <v>0</v>
      </c>
      <c r="AV60" s="148">
        <f t="array" ref="AV60">IF($AU$9=0,0,MMULT($AH60:$AM60, AU$3:AU$8)/$AU$9)</f>
        <v>0</v>
      </c>
      <c r="AW60" s="148">
        <f t="array" ref="AW60">IF($AV$9=0,0,MMULT($AH60:$AM60, AV$3:AV$8)/$AV$9)</f>
        <v>0</v>
      </c>
      <c r="AX60" s="148">
        <f t="array" ref="AX60">IF($AW$9=0,0,MMULT($AH60:$AM60, AW$3:AW$8)/$AW$9)</f>
        <v>0</v>
      </c>
      <c r="AY60" s="148">
        <f t="array" ref="AY60">IF($AX$9=0,0,MMULT($AH60:$AM60, AX$3:AX$8)/$AX$9)</f>
        <v>0</v>
      </c>
      <c r="AZ60" s="148">
        <f t="array" ref="AZ60">IF($AY$9=0,0,MMULT($AH60:$AM60, AY$3:AY$8)/$AY$9)</f>
        <v>0</v>
      </c>
      <c r="BA60" s="148">
        <f t="array" ref="BA60">IF($AZ$9=0,0,MMULT($AH60:$AM60, AZ$3:AZ$8)/$AZ$9)</f>
        <v>0</v>
      </c>
      <c r="BB60" s="148">
        <f t="array" ref="BB60">IF($BA$9=0,0,MMULT($AH60:$AM60, BA$3:BA$8)/$BA$9)</f>
        <v>0</v>
      </c>
      <c r="BC60" s="148">
        <f t="array" ref="BC60">IF($BB$9=0,0,MMULT($AH60:$AM60, BB$3:BB$8)/$BB$9)</f>
        <v>0</v>
      </c>
      <c r="BD60" s="148">
        <f t="array" ref="BD60">IF($BC$9=0,0,MMULT($AH60:$AM60, BC$3:BC$8)/$BC$9)</f>
        <v>0</v>
      </c>
      <c r="BE60" s="148">
        <f t="array" ref="BE60">IF($BD$9=0,0,MMULT($AH60:$AM60, BD$3:BD$8)/$BD$9)</f>
        <v>0</v>
      </c>
      <c r="BF60" s="148">
        <f t="array" ref="BF60">IF($BE$9=0,0,MMULT($AH60:$AM60, BE$3:BE$8)/$BE$9)</f>
        <v>0</v>
      </c>
      <c r="BG60" s="145">
        <f>IF(OR(GradeSheet!$M55="W (Withdrawn)", GradeSheet!$M55="I (Incomplete)"), 0, IF(AU60&gt;=65%, 1, 0))</f>
        <v>0</v>
      </c>
      <c r="BH60" s="145">
        <f>IF(OR(GradeSheet!$M55="W (Withdrawn)", GradeSheet!$M55="I (Incomplete)"), 0, IF(AV60&gt;=65%, 1, 0))</f>
        <v>0</v>
      </c>
      <c r="BI60" s="145">
        <f>IF(OR(GradeSheet!$M55="W (Withdrawn)", GradeSheet!$M55="I (Incomplete)"), 0, IF(AW60&gt;=65%, 1, 0))</f>
        <v>0</v>
      </c>
      <c r="BJ60" s="145">
        <f>IF(OR(GradeSheet!$M55="W (Withdrawn)", GradeSheet!$M55="I (Incomplete)"), 0, IF(AX60&gt;=65%, 1, 0))</f>
        <v>0</v>
      </c>
      <c r="BK60" s="145">
        <f>IF(OR(GradeSheet!$M55="W (Withdrawn)", GradeSheet!$M55="I (Incomplete)"), 0, IF(AY60&gt;=65%, 1, 0))</f>
        <v>0</v>
      </c>
      <c r="BL60" s="145">
        <f>IF(OR(GradeSheet!$M55="W (Withdrawn)", GradeSheet!$M55="I (Incomplete)"), 0, IF(AZ60&gt;=65%, 1, 0))</f>
        <v>0</v>
      </c>
      <c r="BM60" s="145">
        <f>IF(OR(GradeSheet!$M55="W (Withdrawn)", GradeSheet!$M55="I (Incomplete)"), 0, IF(BA60&gt;=65%, 1, 0))</f>
        <v>0</v>
      </c>
      <c r="BN60" s="145">
        <f>IF(OR(GradeSheet!$M55="W (Withdrawn)", GradeSheet!$M55="I (Incomplete)"), 0, IF(BB60&gt;=65%, 1, 0))</f>
        <v>0</v>
      </c>
      <c r="BO60" s="145">
        <f>IF(OR(GradeSheet!$M55="W (Withdrawn)", GradeSheet!$M55="I (Incomplete)"), 0, IF(BC60&gt;=65%, 1, 0))</f>
        <v>0</v>
      </c>
      <c r="BP60" s="145">
        <f>IF(OR(GradeSheet!$M55="W (Withdrawn)", GradeSheet!$M55="I (Incomplete)"), 0, IF(BD60&gt;=65%, 1, 0))</f>
        <v>0</v>
      </c>
      <c r="BQ60" s="145">
        <f>IF(OR(GradeSheet!$M55="W (Withdrawn)", GradeSheet!$M55="I (Incomplete)"), 0, IF(BE60&gt;=65%, 1, 0))</f>
        <v>0</v>
      </c>
      <c r="BR60" s="146">
        <f>IF(OR(GradeSheet!$M55="W (Withdrawn)", GradeSheet!$M55="I (Incomplete)"), 0, IF(BF60&gt;=65%, 1, 0))</f>
        <v>0</v>
      </c>
    </row>
    <row r="61" spans="1:70" ht="15.75" customHeight="1">
      <c r="A61" s="142">
        <v>47</v>
      </c>
      <c r="B61" s="35">
        <f>GradeSheet!X56</f>
        <v>0</v>
      </c>
      <c r="C61" s="23">
        <f>GradeSheet!W56</f>
        <v>0</v>
      </c>
      <c r="D61" s="183">
        <v>0</v>
      </c>
      <c r="E61" s="183">
        <v>0</v>
      </c>
      <c r="F61" s="183">
        <v>0</v>
      </c>
      <c r="G61" s="183">
        <v>0</v>
      </c>
      <c r="H61" s="183">
        <v>0</v>
      </c>
      <c r="I61" s="183">
        <v>0</v>
      </c>
      <c r="J61" s="183">
        <v>0</v>
      </c>
      <c r="K61" s="183">
        <v>0</v>
      </c>
      <c r="L61" s="183">
        <v>0</v>
      </c>
      <c r="M61" s="183">
        <v>0</v>
      </c>
      <c r="N61" s="183">
        <v>0</v>
      </c>
      <c r="O61" s="183">
        <v>0</v>
      </c>
      <c r="P61" s="183">
        <v>0</v>
      </c>
      <c r="Q61" s="183">
        <v>0</v>
      </c>
      <c r="R61" s="183">
        <v>0</v>
      </c>
      <c r="S61" s="183">
        <v>0</v>
      </c>
      <c r="T61" s="183">
        <v>0</v>
      </c>
      <c r="U61" s="183">
        <v>0</v>
      </c>
      <c r="V61" s="183">
        <v>0</v>
      </c>
      <c r="W61" s="183">
        <v>0</v>
      </c>
      <c r="X61" s="183">
        <v>0</v>
      </c>
      <c r="Y61" s="183">
        <v>0</v>
      </c>
      <c r="Z61" s="183">
        <v>0</v>
      </c>
      <c r="AA61" s="183">
        <v>0</v>
      </c>
      <c r="AB61" s="135">
        <f t="shared" ref="AB61:AE61" si="106">SUM(V61,D61,J61, P61)</f>
        <v>0</v>
      </c>
      <c r="AC61" s="136">
        <f t="shared" si="106"/>
        <v>0</v>
      </c>
      <c r="AD61" s="136">
        <f t="shared" si="106"/>
        <v>0</v>
      </c>
      <c r="AE61" s="136">
        <f t="shared" si="106"/>
        <v>0</v>
      </c>
      <c r="AF61" s="143">
        <f t="shared" si="15"/>
        <v>0</v>
      </c>
      <c r="AG61" s="143">
        <f t="shared" si="16"/>
        <v>0</v>
      </c>
      <c r="AH61" s="137">
        <f t="shared" ref="AH61:AM61" si="107">IF(AB61 = 0, 0, AB61/AB$14)</f>
        <v>0</v>
      </c>
      <c r="AI61" s="144">
        <f t="shared" si="107"/>
        <v>0</v>
      </c>
      <c r="AJ61" s="144">
        <f t="shared" si="107"/>
        <v>0</v>
      </c>
      <c r="AK61" s="144">
        <f t="shared" si="107"/>
        <v>0</v>
      </c>
      <c r="AL61" s="144">
        <f t="shared" si="107"/>
        <v>0</v>
      </c>
      <c r="AM61" s="144">
        <f t="shared" si="107"/>
        <v>0</v>
      </c>
      <c r="AN61" s="138">
        <f>IF(OR(GradeSheet!$M56="W (Withdrawn)", GradeSheet!$M56="I (Incomplete)"), 0, IF(AH61&gt;=55%, 1, 0))</f>
        <v>0</v>
      </c>
      <c r="AO61" s="145">
        <f>IF(OR(GradeSheet!$M56="W (Withdrawn)", GradeSheet!$M56="I (Incomplete)"), 0, IF(AI61&gt;=55%, 1, 0))</f>
        <v>0</v>
      </c>
      <c r="AP61" s="145">
        <f>IF(OR(GradeSheet!$M56="W (Withdrawn)", GradeSheet!$M56="I (Incomplete)"), 0, IF(AJ61&gt;=55%, 1, 0))</f>
        <v>0</v>
      </c>
      <c r="AQ61" s="145">
        <f>IF(OR(GradeSheet!$M56="W (Withdrawn)", GradeSheet!$M56="I (Incomplete)"), 0, IF(AK61&gt;=55%, 1, 0))</f>
        <v>0</v>
      </c>
      <c r="AR61" s="145">
        <f>IF(OR(GradeSheet!$M56="W (Withdrawn)", GradeSheet!$M56="I (Incomplete)"), 0, IF(AL61&gt;=55%, 1, 0))</f>
        <v>0</v>
      </c>
      <c r="AS61" s="146">
        <f>IF(OR(GradeSheet!$M56="W (Withdrawn)", GradeSheet!$M56="I (Incomplete)"), 0, IF(AM61&gt;=55%, 1, 0))</f>
        <v>0</v>
      </c>
      <c r="AU61" s="148">
        <f t="array" ref="AU61">IF($AT$9=0,0,MMULT($AH61:$AM61, AT$3:AT$8)/$AT$9)</f>
        <v>0</v>
      </c>
      <c r="AV61" s="148">
        <f t="array" ref="AV61">IF($AU$9=0,0,MMULT($AH61:$AM61, AU$3:AU$8)/$AU$9)</f>
        <v>0</v>
      </c>
      <c r="AW61" s="148">
        <f t="array" ref="AW61">IF($AV$9=0,0,MMULT($AH61:$AM61, AV$3:AV$8)/$AV$9)</f>
        <v>0</v>
      </c>
      <c r="AX61" s="148">
        <f t="array" ref="AX61">IF($AW$9=0,0,MMULT($AH61:$AM61, AW$3:AW$8)/$AW$9)</f>
        <v>0</v>
      </c>
      <c r="AY61" s="148">
        <f t="array" ref="AY61">IF($AX$9=0,0,MMULT($AH61:$AM61, AX$3:AX$8)/$AX$9)</f>
        <v>0</v>
      </c>
      <c r="AZ61" s="148">
        <f t="array" ref="AZ61">IF($AY$9=0,0,MMULT($AH61:$AM61, AY$3:AY$8)/$AY$9)</f>
        <v>0</v>
      </c>
      <c r="BA61" s="148">
        <f t="array" ref="BA61">IF($AZ$9=0,0,MMULT($AH61:$AM61, AZ$3:AZ$8)/$AZ$9)</f>
        <v>0</v>
      </c>
      <c r="BB61" s="148">
        <f t="array" ref="BB61">IF($BA$9=0,0,MMULT($AH61:$AM61, BA$3:BA$8)/$BA$9)</f>
        <v>0</v>
      </c>
      <c r="BC61" s="148">
        <f t="array" ref="BC61">IF($BB$9=0,0,MMULT($AH61:$AM61, BB$3:BB$8)/$BB$9)</f>
        <v>0</v>
      </c>
      <c r="BD61" s="148">
        <f t="array" ref="BD61">IF($BC$9=0,0,MMULT($AH61:$AM61, BC$3:BC$8)/$BC$9)</f>
        <v>0</v>
      </c>
      <c r="BE61" s="148">
        <f t="array" ref="BE61">IF($BD$9=0,0,MMULT($AH61:$AM61, BD$3:BD$8)/$BD$9)</f>
        <v>0</v>
      </c>
      <c r="BF61" s="148">
        <f t="array" ref="BF61">IF($BE$9=0,0,MMULT($AH61:$AM61, BE$3:BE$8)/$BE$9)</f>
        <v>0</v>
      </c>
      <c r="BG61" s="145">
        <f>IF(OR(GradeSheet!$M56="W (Withdrawn)", GradeSheet!$M56="I (Incomplete)"), 0, IF(AU61&gt;=65%, 1, 0))</f>
        <v>0</v>
      </c>
      <c r="BH61" s="145">
        <f>IF(OR(GradeSheet!$M56="W (Withdrawn)", GradeSheet!$M56="I (Incomplete)"), 0, IF(AV61&gt;=65%, 1, 0))</f>
        <v>0</v>
      </c>
      <c r="BI61" s="145">
        <f>IF(OR(GradeSheet!$M56="W (Withdrawn)", GradeSheet!$M56="I (Incomplete)"), 0, IF(AW61&gt;=65%, 1, 0))</f>
        <v>0</v>
      </c>
      <c r="BJ61" s="145">
        <f>IF(OR(GradeSheet!$M56="W (Withdrawn)", GradeSheet!$M56="I (Incomplete)"), 0, IF(AX61&gt;=65%, 1, 0))</f>
        <v>0</v>
      </c>
      <c r="BK61" s="145">
        <f>IF(OR(GradeSheet!$M56="W (Withdrawn)", GradeSheet!$M56="I (Incomplete)"), 0, IF(AY61&gt;=65%, 1, 0))</f>
        <v>0</v>
      </c>
      <c r="BL61" s="145">
        <f>IF(OR(GradeSheet!$M56="W (Withdrawn)", GradeSheet!$M56="I (Incomplete)"), 0, IF(AZ61&gt;=65%, 1, 0))</f>
        <v>0</v>
      </c>
      <c r="BM61" s="145">
        <f>IF(OR(GradeSheet!$M56="W (Withdrawn)", GradeSheet!$M56="I (Incomplete)"), 0, IF(BA61&gt;=65%, 1, 0))</f>
        <v>0</v>
      </c>
      <c r="BN61" s="145">
        <f>IF(OR(GradeSheet!$M56="W (Withdrawn)", GradeSheet!$M56="I (Incomplete)"), 0, IF(BB61&gt;=65%, 1, 0))</f>
        <v>0</v>
      </c>
      <c r="BO61" s="145">
        <f>IF(OR(GradeSheet!$M56="W (Withdrawn)", GradeSheet!$M56="I (Incomplete)"), 0, IF(BC61&gt;=65%, 1, 0))</f>
        <v>0</v>
      </c>
      <c r="BP61" s="145">
        <f>IF(OR(GradeSheet!$M56="W (Withdrawn)", GradeSheet!$M56="I (Incomplete)"), 0, IF(BD61&gt;=65%, 1, 0))</f>
        <v>0</v>
      </c>
      <c r="BQ61" s="145">
        <f>IF(OR(GradeSheet!$M56="W (Withdrawn)", GradeSheet!$M56="I (Incomplete)"), 0, IF(BE61&gt;=65%, 1, 0))</f>
        <v>0</v>
      </c>
      <c r="BR61" s="146">
        <f>IF(OR(GradeSheet!$M56="W (Withdrawn)", GradeSheet!$M56="I (Incomplete)"), 0, IF(BF61&gt;=65%, 1, 0))</f>
        <v>0</v>
      </c>
    </row>
    <row r="62" spans="1:70" ht="15.75" customHeight="1">
      <c r="A62" s="142">
        <v>48</v>
      </c>
      <c r="B62" s="35">
        <f>GradeSheet!X57</f>
        <v>0</v>
      </c>
      <c r="C62" s="23">
        <f>GradeSheet!W57</f>
        <v>0</v>
      </c>
      <c r="D62" s="183">
        <v>0</v>
      </c>
      <c r="E62" s="183">
        <v>0</v>
      </c>
      <c r="F62" s="183">
        <v>0</v>
      </c>
      <c r="G62" s="183">
        <v>0</v>
      </c>
      <c r="H62" s="183">
        <v>0</v>
      </c>
      <c r="I62" s="183">
        <v>0</v>
      </c>
      <c r="J62" s="183">
        <v>0</v>
      </c>
      <c r="K62" s="183">
        <v>0</v>
      </c>
      <c r="L62" s="183">
        <v>0</v>
      </c>
      <c r="M62" s="183">
        <v>0</v>
      </c>
      <c r="N62" s="183">
        <v>0</v>
      </c>
      <c r="O62" s="183">
        <v>0</v>
      </c>
      <c r="P62" s="183">
        <v>0</v>
      </c>
      <c r="Q62" s="183">
        <v>0</v>
      </c>
      <c r="R62" s="183">
        <v>0</v>
      </c>
      <c r="S62" s="183">
        <v>0</v>
      </c>
      <c r="T62" s="183">
        <v>0</v>
      </c>
      <c r="U62" s="183">
        <v>0</v>
      </c>
      <c r="V62" s="183">
        <v>0</v>
      </c>
      <c r="W62" s="183">
        <v>0</v>
      </c>
      <c r="X62" s="183">
        <v>0</v>
      </c>
      <c r="Y62" s="183">
        <v>0</v>
      </c>
      <c r="Z62" s="183">
        <v>0</v>
      </c>
      <c r="AA62" s="183">
        <v>0</v>
      </c>
      <c r="AB62" s="135">
        <f t="shared" ref="AB62:AE62" si="108">SUM(V62,D62,J62, P62)</f>
        <v>0</v>
      </c>
      <c r="AC62" s="136">
        <f t="shared" si="108"/>
        <v>0</v>
      </c>
      <c r="AD62" s="136">
        <f t="shared" si="108"/>
        <v>0</v>
      </c>
      <c r="AE62" s="136">
        <f t="shared" si="108"/>
        <v>0</v>
      </c>
      <c r="AF62" s="143">
        <f t="shared" si="15"/>
        <v>0</v>
      </c>
      <c r="AG62" s="143">
        <f t="shared" si="16"/>
        <v>0</v>
      </c>
      <c r="AH62" s="137">
        <f t="shared" ref="AH62:AM62" si="109">IF(AB62 = 0, 0, AB62/AB$14)</f>
        <v>0</v>
      </c>
      <c r="AI62" s="144">
        <f t="shared" si="109"/>
        <v>0</v>
      </c>
      <c r="AJ62" s="144">
        <f t="shared" si="109"/>
        <v>0</v>
      </c>
      <c r="AK62" s="144">
        <f t="shared" si="109"/>
        <v>0</v>
      </c>
      <c r="AL62" s="144">
        <f t="shared" si="109"/>
        <v>0</v>
      </c>
      <c r="AM62" s="144">
        <f t="shared" si="109"/>
        <v>0</v>
      </c>
      <c r="AN62" s="138">
        <f>IF(OR(GradeSheet!$M57="W (Withdrawn)", GradeSheet!$M57="I (Incomplete)"), 0, IF(AH62&gt;=55%, 1, 0))</f>
        <v>0</v>
      </c>
      <c r="AO62" s="145">
        <f>IF(OR(GradeSheet!$M57="W (Withdrawn)", GradeSheet!$M57="I (Incomplete)"), 0, IF(AI62&gt;=55%, 1, 0))</f>
        <v>0</v>
      </c>
      <c r="AP62" s="145">
        <f>IF(OR(GradeSheet!$M57="W (Withdrawn)", GradeSheet!$M57="I (Incomplete)"), 0, IF(AJ62&gt;=55%, 1, 0))</f>
        <v>0</v>
      </c>
      <c r="AQ62" s="145">
        <f>IF(OR(GradeSheet!$M57="W (Withdrawn)", GradeSheet!$M57="I (Incomplete)"), 0, IF(AK62&gt;=55%, 1, 0))</f>
        <v>0</v>
      </c>
      <c r="AR62" s="145">
        <f>IF(OR(GradeSheet!$M57="W (Withdrawn)", GradeSheet!$M57="I (Incomplete)"), 0, IF(AL62&gt;=55%, 1, 0))</f>
        <v>0</v>
      </c>
      <c r="AS62" s="146">
        <f>IF(OR(GradeSheet!$M57="W (Withdrawn)", GradeSheet!$M57="I (Incomplete)"), 0, IF(AM62&gt;=55%, 1, 0))</f>
        <v>0</v>
      </c>
      <c r="AU62" s="148">
        <f t="array" ref="AU62">IF($AT$9=0,0,MMULT($AH62:$AM62, AT$3:AT$8)/$AT$9)</f>
        <v>0</v>
      </c>
      <c r="AV62" s="148">
        <f t="array" ref="AV62">IF($AU$9=0,0,MMULT($AH62:$AM62, AU$3:AU$8)/$AU$9)</f>
        <v>0</v>
      </c>
      <c r="AW62" s="148">
        <f t="array" ref="AW62">IF($AV$9=0,0,MMULT($AH62:$AM62, AV$3:AV$8)/$AV$9)</f>
        <v>0</v>
      </c>
      <c r="AX62" s="148">
        <f t="array" ref="AX62">IF($AW$9=0,0,MMULT($AH62:$AM62, AW$3:AW$8)/$AW$9)</f>
        <v>0</v>
      </c>
      <c r="AY62" s="148">
        <f t="array" ref="AY62">IF($AX$9=0,0,MMULT($AH62:$AM62, AX$3:AX$8)/$AX$9)</f>
        <v>0</v>
      </c>
      <c r="AZ62" s="148">
        <f t="array" ref="AZ62">IF($AY$9=0,0,MMULT($AH62:$AM62, AY$3:AY$8)/$AY$9)</f>
        <v>0</v>
      </c>
      <c r="BA62" s="148">
        <f t="array" ref="BA62">IF($AZ$9=0,0,MMULT($AH62:$AM62, AZ$3:AZ$8)/$AZ$9)</f>
        <v>0</v>
      </c>
      <c r="BB62" s="148">
        <f t="array" ref="BB62">IF($BA$9=0,0,MMULT($AH62:$AM62, BA$3:BA$8)/$BA$9)</f>
        <v>0</v>
      </c>
      <c r="BC62" s="148">
        <f t="array" ref="BC62">IF($BB$9=0,0,MMULT($AH62:$AM62, BB$3:BB$8)/$BB$9)</f>
        <v>0</v>
      </c>
      <c r="BD62" s="148">
        <f t="array" ref="BD62">IF($BC$9=0,0,MMULT($AH62:$AM62, BC$3:BC$8)/$BC$9)</f>
        <v>0</v>
      </c>
      <c r="BE62" s="148">
        <f t="array" ref="BE62">IF($BD$9=0,0,MMULT($AH62:$AM62, BD$3:BD$8)/$BD$9)</f>
        <v>0</v>
      </c>
      <c r="BF62" s="148">
        <f t="array" ref="BF62">IF($BE$9=0,0,MMULT($AH62:$AM62, BE$3:BE$8)/$BE$9)</f>
        <v>0</v>
      </c>
      <c r="BG62" s="145">
        <f>IF(OR(GradeSheet!$M57="W (Withdrawn)", GradeSheet!$M57="I (Incomplete)"), 0, IF(AU62&gt;=65%, 1, 0))</f>
        <v>0</v>
      </c>
      <c r="BH62" s="145">
        <f>IF(OR(GradeSheet!$M57="W (Withdrawn)", GradeSheet!$M57="I (Incomplete)"), 0, IF(AV62&gt;=65%, 1, 0))</f>
        <v>0</v>
      </c>
      <c r="BI62" s="145">
        <f>IF(OR(GradeSheet!$M57="W (Withdrawn)", GradeSheet!$M57="I (Incomplete)"), 0, IF(AW62&gt;=65%, 1, 0))</f>
        <v>0</v>
      </c>
      <c r="BJ62" s="145">
        <f>IF(OR(GradeSheet!$M57="W (Withdrawn)", GradeSheet!$M57="I (Incomplete)"), 0, IF(AX62&gt;=65%, 1, 0))</f>
        <v>0</v>
      </c>
      <c r="BK62" s="145">
        <f>IF(OR(GradeSheet!$M57="W (Withdrawn)", GradeSheet!$M57="I (Incomplete)"), 0, IF(AY62&gt;=65%, 1, 0))</f>
        <v>0</v>
      </c>
      <c r="BL62" s="145">
        <f>IF(OR(GradeSheet!$M57="W (Withdrawn)", GradeSheet!$M57="I (Incomplete)"), 0, IF(AZ62&gt;=65%, 1, 0))</f>
        <v>0</v>
      </c>
      <c r="BM62" s="145">
        <f>IF(OR(GradeSheet!$M57="W (Withdrawn)", GradeSheet!$M57="I (Incomplete)"), 0, IF(BA62&gt;=65%, 1, 0))</f>
        <v>0</v>
      </c>
      <c r="BN62" s="145">
        <f>IF(OR(GradeSheet!$M57="W (Withdrawn)", GradeSheet!$M57="I (Incomplete)"), 0, IF(BB62&gt;=65%, 1, 0))</f>
        <v>0</v>
      </c>
      <c r="BO62" s="145">
        <f>IF(OR(GradeSheet!$M57="W (Withdrawn)", GradeSheet!$M57="I (Incomplete)"), 0, IF(BC62&gt;=65%, 1, 0))</f>
        <v>0</v>
      </c>
      <c r="BP62" s="145">
        <f>IF(OR(GradeSheet!$M57="W (Withdrawn)", GradeSheet!$M57="I (Incomplete)"), 0, IF(BD62&gt;=65%, 1, 0))</f>
        <v>0</v>
      </c>
      <c r="BQ62" s="145">
        <f>IF(OR(GradeSheet!$M57="W (Withdrawn)", GradeSheet!$M57="I (Incomplete)"), 0, IF(BE62&gt;=65%, 1, 0))</f>
        <v>0</v>
      </c>
      <c r="BR62" s="146">
        <f>IF(OR(GradeSheet!$M57="W (Withdrawn)", GradeSheet!$M57="I (Incomplete)"), 0, IF(BF62&gt;=65%, 1, 0))</f>
        <v>0</v>
      </c>
    </row>
    <row r="63" spans="1:70" ht="15.75" customHeight="1">
      <c r="A63" s="142">
        <v>49</v>
      </c>
      <c r="B63" s="35">
        <f>GradeSheet!X58</f>
        <v>0</v>
      </c>
      <c r="C63" s="23">
        <f>GradeSheet!W58</f>
        <v>0</v>
      </c>
      <c r="D63" s="183">
        <v>0</v>
      </c>
      <c r="E63" s="183">
        <v>0</v>
      </c>
      <c r="F63" s="183">
        <v>0</v>
      </c>
      <c r="G63" s="183">
        <v>0</v>
      </c>
      <c r="H63" s="183">
        <v>0</v>
      </c>
      <c r="I63" s="183">
        <v>0</v>
      </c>
      <c r="J63" s="183">
        <v>0</v>
      </c>
      <c r="K63" s="183">
        <v>0</v>
      </c>
      <c r="L63" s="183">
        <v>0</v>
      </c>
      <c r="M63" s="183">
        <v>0</v>
      </c>
      <c r="N63" s="183">
        <v>0</v>
      </c>
      <c r="O63" s="183">
        <v>0</v>
      </c>
      <c r="P63" s="183">
        <v>0</v>
      </c>
      <c r="Q63" s="183">
        <v>0</v>
      </c>
      <c r="R63" s="183">
        <v>0</v>
      </c>
      <c r="S63" s="183">
        <v>0</v>
      </c>
      <c r="T63" s="183">
        <v>0</v>
      </c>
      <c r="U63" s="183">
        <v>0</v>
      </c>
      <c r="V63" s="183">
        <v>0</v>
      </c>
      <c r="W63" s="183">
        <v>0</v>
      </c>
      <c r="X63" s="183">
        <v>0</v>
      </c>
      <c r="Y63" s="183">
        <v>0</v>
      </c>
      <c r="Z63" s="183">
        <v>0</v>
      </c>
      <c r="AA63" s="183">
        <v>0</v>
      </c>
      <c r="AB63" s="135">
        <f t="shared" ref="AB63:AE63" si="110">SUM(V63,D63,J63, P63)</f>
        <v>0</v>
      </c>
      <c r="AC63" s="136">
        <f t="shared" si="110"/>
        <v>0</v>
      </c>
      <c r="AD63" s="136">
        <f t="shared" si="110"/>
        <v>0</v>
      </c>
      <c r="AE63" s="136">
        <f t="shared" si="110"/>
        <v>0</v>
      </c>
      <c r="AF63" s="143">
        <f t="shared" si="15"/>
        <v>0</v>
      </c>
      <c r="AG63" s="143">
        <f t="shared" si="16"/>
        <v>0</v>
      </c>
      <c r="AH63" s="137">
        <f t="shared" ref="AH63:AM63" si="111">IF(AB63 = 0, 0, AB63/AB$14)</f>
        <v>0</v>
      </c>
      <c r="AI63" s="144">
        <f t="shared" si="111"/>
        <v>0</v>
      </c>
      <c r="AJ63" s="144">
        <f t="shared" si="111"/>
        <v>0</v>
      </c>
      <c r="AK63" s="144">
        <f t="shared" si="111"/>
        <v>0</v>
      </c>
      <c r="AL63" s="144">
        <f t="shared" si="111"/>
        <v>0</v>
      </c>
      <c r="AM63" s="144">
        <f t="shared" si="111"/>
        <v>0</v>
      </c>
      <c r="AN63" s="138">
        <f>IF(OR(GradeSheet!$M58="W (Withdrawn)", GradeSheet!$M58="I (Incomplete)"), 0, IF(AH63&gt;=55%, 1, 0))</f>
        <v>0</v>
      </c>
      <c r="AO63" s="145">
        <f>IF(OR(GradeSheet!$M58="W (Withdrawn)", GradeSheet!$M58="I (Incomplete)"), 0, IF(AI63&gt;=55%, 1, 0))</f>
        <v>0</v>
      </c>
      <c r="AP63" s="145">
        <f>IF(OR(GradeSheet!$M58="W (Withdrawn)", GradeSheet!$M58="I (Incomplete)"), 0, IF(AJ63&gt;=55%, 1, 0))</f>
        <v>0</v>
      </c>
      <c r="AQ63" s="145">
        <f>IF(OR(GradeSheet!$M58="W (Withdrawn)", GradeSheet!$M58="I (Incomplete)"), 0, IF(AK63&gt;=55%, 1, 0))</f>
        <v>0</v>
      </c>
      <c r="AR63" s="145">
        <f>IF(OR(GradeSheet!$M58="W (Withdrawn)", GradeSheet!$M58="I (Incomplete)"), 0, IF(AL63&gt;=55%, 1, 0))</f>
        <v>0</v>
      </c>
      <c r="AS63" s="146">
        <f>IF(OR(GradeSheet!$M58="W (Withdrawn)", GradeSheet!$M58="I (Incomplete)"), 0, IF(AM63&gt;=55%, 1, 0))</f>
        <v>0</v>
      </c>
      <c r="AU63" s="148">
        <f t="array" ref="AU63">IF($AT$9=0,0,MMULT($AH63:$AM63, AT$3:AT$8)/$AT$9)</f>
        <v>0</v>
      </c>
      <c r="AV63" s="148">
        <f t="array" ref="AV63">IF($AU$9=0,0,MMULT($AH63:$AM63, AU$3:AU$8)/$AU$9)</f>
        <v>0</v>
      </c>
      <c r="AW63" s="148">
        <f t="array" ref="AW63">IF($AV$9=0,0,MMULT($AH63:$AM63, AV$3:AV$8)/$AV$9)</f>
        <v>0</v>
      </c>
      <c r="AX63" s="148">
        <f t="array" ref="AX63">IF($AW$9=0,0,MMULT($AH63:$AM63, AW$3:AW$8)/$AW$9)</f>
        <v>0</v>
      </c>
      <c r="AY63" s="148">
        <f t="array" ref="AY63">IF($AX$9=0,0,MMULT($AH63:$AM63, AX$3:AX$8)/$AX$9)</f>
        <v>0</v>
      </c>
      <c r="AZ63" s="148">
        <f t="array" ref="AZ63">IF($AY$9=0,0,MMULT($AH63:$AM63, AY$3:AY$8)/$AY$9)</f>
        <v>0</v>
      </c>
      <c r="BA63" s="148">
        <f t="array" ref="BA63">IF($AZ$9=0,0,MMULT($AH63:$AM63, AZ$3:AZ$8)/$AZ$9)</f>
        <v>0</v>
      </c>
      <c r="BB63" s="148">
        <f t="array" ref="BB63">IF($BA$9=0,0,MMULT($AH63:$AM63, BA$3:BA$8)/$BA$9)</f>
        <v>0</v>
      </c>
      <c r="BC63" s="148">
        <f t="array" ref="BC63">IF($BB$9=0,0,MMULT($AH63:$AM63, BB$3:BB$8)/$BB$9)</f>
        <v>0</v>
      </c>
      <c r="BD63" s="148">
        <f t="array" ref="BD63">IF($BC$9=0,0,MMULT($AH63:$AM63, BC$3:BC$8)/$BC$9)</f>
        <v>0</v>
      </c>
      <c r="BE63" s="148">
        <f t="array" ref="BE63">IF($BD$9=0,0,MMULT($AH63:$AM63, BD$3:BD$8)/$BD$9)</f>
        <v>0</v>
      </c>
      <c r="BF63" s="148">
        <f t="array" ref="BF63">IF($BE$9=0,0,MMULT($AH63:$AM63, BE$3:BE$8)/$BE$9)</f>
        <v>0</v>
      </c>
      <c r="BG63" s="145">
        <f>IF(OR(GradeSheet!$M58="W (Withdrawn)", GradeSheet!$M58="I (Incomplete)"), 0, IF(AU63&gt;=65%, 1, 0))</f>
        <v>0</v>
      </c>
      <c r="BH63" s="145">
        <f>IF(OR(GradeSheet!$M58="W (Withdrawn)", GradeSheet!$M58="I (Incomplete)"), 0, IF(AV63&gt;=65%, 1, 0))</f>
        <v>0</v>
      </c>
      <c r="BI63" s="145">
        <f>IF(OR(GradeSheet!$M58="W (Withdrawn)", GradeSheet!$M58="I (Incomplete)"), 0, IF(AW63&gt;=65%, 1, 0))</f>
        <v>0</v>
      </c>
      <c r="BJ63" s="145">
        <f>IF(OR(GradeSheet!$M58="W (Withdrawn)", GradeSheet!$M58="I (Incomplete)"), 0, IF(AX63&gt;=65%, 1, 0))</f>
        <v>0</v>
      </c>
      <c r="BK63" s="145">
        <f>IF(OR(GradeSheet!$M58="W (Withdrawn)", GradeSheet!$M58="I (Incomplete)"), 0, IF(AY63&gt;=65%, 1, 0))</f>
        <v>0</v>
      </c>
      <c r="BL63" s="145">
        <f>IF(OR(GradeSheet!$M58="W (Withdrawn)", GradeSheet!$M58="I (Incomplete)"), 0, IF(AZ63&gt;=65%, 1, 0))</f>
        <v>0</v>
      </c>
      <c r="BM63" s="145">
        <f>IF(OR(GradeSheet!$M58="W (Withdrawn)", GradeSheet!$M58="I (Incomplete)"), 0, IF(BA63&gt;=65%, 1, 0))</f>
        <v>0</v>
      </c>
      <c r="BN63" s="145">
        <f>IF(OR(GradeSheet!$M58="W (Withdrawn)", GradeSheet!$M58="I (Incomplete)"), 0, IF(BB63&gt;=65%, 1, 0))</f>
        <v>0</v>
      </c>
      <c r="BO63" s="145">
        <f>IF(OR(GradeSheet!$M58="W (Withdrawn)", GradeSheet!$M58="I (Incomplete)"), 0, IF(BC63&gt;=65%, 1, 0))</f>
        <v>0</v>
      </c>
      <c r="BP63" s="145">
        <f>IF(OR(GradeSheet!$M58="W (Withdrawn)", GradeSheet!$M58="I (Incomplete)"), 0, IF(BD63&gt;=65%, 1, 0))</f>
        <v>0</v>
      </c>
      <c r="BQ63" s="145">
        <f>IF(OR(GradeSheet!$M58="W (Withdrawn)", GradeSheet!$M58="I (Incomplete)"), 0, IF(BE63&gt;=65%, 1, 0))</f>
        <v>0</v>
      </c>
      <c r="BR63" s="146">
        <f>IF(OR(GradeSheet!$M58="W (Withdrawn)", GradeSheet!$M58="I (Incomplete)"), 0, IF(BF63&gt;=65%, 1, 0))</f>
        <v>0</v>
      </c>
    </row>
    <row r="64" spans="1:70" ht="15.75" customHeight="1">
      <c r="A64" s="142">
        <v>50</v>
      </c>
      <c r="B64" s="35">
        <f>GradeSheet!X59</f>
        <v>0</v>
      </c>
      <c r="C64" s="23">
        <f>GradeSheet!W59</f>
        <v>0</v>
      </c>
      <c r="D64" s="183">
        <v>0</v>
      </c>
      <c r="E64" s="183">
        <v>0</v>
      </c>
      <c r="F64" s="183">
        <v>0</v>
      </c>
      <c r="G64" s="183">
        <v>0</v>
      </c>
      <c r="H64" s="183">
        <v>0</v>
      </c>
      <c r="I64" s="183">
        <v>0</v>
      </c>
      <c r="J64" s="183">
        <v>0</v>
      </c>
      <c r="K64" s="183">
        <v>0</v>
      </c>
      <c r="L64" s="183">
        <v>0</v>
      </c>
      <c r="M64" s="183">
        <v>0</v>
      </c>
      <c r="N64" s="183">
        <v>0</v>
      </c>
      <c r="O64" s="183">
        <v>0</v>
      </c>
      <c r="P64" s="183">
        <v>0</v>
      </c>
      <c r="Q64" s="183">
        <v>0</v>
      </c>
      <c r="R64" s="183">
        <v>0</v>
      </c>
      <c r="S64" s="183">
        <v>0</v>
      </c>
      <c r="T64" s="183">
        <v>0</v>
      </c>
      <c r="U64" s="183">
        <v>0</v>
      </c>
      <c r="V64" s="183">
        <v>0</v>
      </c>
      <c r="W64" s="183">
        <v>0</v>
      </c>
      <c r="X64" s="183">
        <v>0</v>
      </c>
      <c r="Y64" s="183">
        <v>0</v>
      </c>
      <c r="Z64" s="183">
        <v>0</v>
      </c>
      <c r="AA64" s="183">
        <v>0</v>
      </c>
      <c r="AB64" s="135">
        <f t="shared" ref="AB64:AE64" si="112">SUM(V64,D64,J64, P64)</f>
        <v>0</v>
      </c>
      <c r="AC64" s="136">
        <f t="shared" si="112"/>
        <v>0</v>
      </c>
      <c r="AD64" s="136">
        <f t="shared" si="112"/>
        <v>0</v>
      </c>
      <c r="AE64" s="136">
        <f t="shared" si="112"/>
        <v>0</v>
      </c>
      <c r="AF64" s="143">
        <f t="shared" si="15"/>
        <v>0</v>
      </c>
      <c r="AG64" s="143">
        <f t="shared" si="16"/>
        <v>0</v>
      </c>
      <c r="AH64" s="137">
        <f t="shared" ref="AH64:AM64" si="113">IF(AB64 = 0, 0, AB64/AB$14)</f>
        <v>0</v>
      </c>
      <c r="AI64" s="144">
        <f t="shared" si="113"/>
        <v>0</v>
      </c>
      <c r="AJ64" s="144">
        <f t="shared" si="113"/>
        <v>0</v>
      </c>
      <c r="AK64" s="144">
        <f t="shared" si="113"/>
        <v>0</v>
      </c>
      <c r="AL64" s="144">
        <f t="shared" si="113"/>
        <v>0</v>
      </c>
      <c r="AM64" s="144">
        <f t="shared" si="113"/>
        <v>0</v>
      </c>
      <c r="AN64" s="138">
        <f>IF(OR(GradeSheet!$M59="W (Withdrawn)", GradeSheet!$M59="I (Incomplete)"), 0, IF(AH64&gt;=55%, 1, 0))</f>
        <v>0</v>
      </c>
      <c r="AO64" s="145">
        <f>IF(OR(GradeSheet!$M59="W (Withdrawn)", GradeSheet!$M59="I (Incomplete)"), 0, IF(AI64&gt;=55%, 1, 0))</f>
        <v>0</v>
      </c>
      <c r="AP64" s="145">
        <f>IF(OR(GradeSheet!$M59="W (Withdrawn)", GradeSheet!$M59="I (Incomplete)"), 0, IF(AJ64&gt;=55%, 1, 0))</f>
        <v>0</v>
      </c>
      <c r="AQ64" s="145">
        <f>IF(OR(GradeSheet!$M59="W (Withdrawn)", GradeSheet!$M59="I (Incomplete)"), 0, IF(AK64&gt;=55%, 1, 0))</f>
        <v>0</v>
      </c>
      <c r="AR64" s="145">
        <f>IF(OR(GradeSheet!$M59="W (Withdrawn)", GradeSheet!$M59="I (Incomplete)"), 0, IF(AL64&gt;=55%, 1, 0))</f>
        <v>0</v>
      </c>
      <c r="AS64" s="146">
        <f>IF(OR(GradeSheet!$M59="W (Withdrawn)", GradeSheet!$M59="I (Incomplete)"), 0, IF(AM64&gt;=55%, 1, 0))</f>
        <v>0</v>
      </c>
      <c r="AU64" s="148">
        <f t="array" ref="AU64">IF($AT$9=0,0,MMULT($AH64:$AM64, AT$3:AT$8)/$AT$9)</f>
        <v>0</v>
      </c>
      <c r="AV64" s="148">
        <f t="array" ref="AV64">IF($AU$9=0,0,MMULT($AH64:$AM64, AU$3:AU$8)/$AU$9)</f>
        <v>0</v>
      </c>
      <c r="AW64" s="148">
        <f t="array" ref="AW64">IF($AV$9=0,0,MMULT($AH64:$AM64, AV$3:AV$8)/$AV$9)</f>
        <v>0</v>
      </c>
      <c r="AX64" s="148">
        <f t="array" ref="AX64">IF($AW$9=0,0,MMULT($AH64:$AM64, AW$3:AW$8)/$AW$9)</f>
        <v>0</v>
      </c>
      <c r="AY64" s="148">
        <f t="array" ref="AY64">IF($AX$9=0,0,MMULT($AH64:$AM64, AX$3:AX$8)/$AX$9)</f>
        <v>0</v>
      </c>
      <c r="AZ64" s="148">
        <f t="array" ref="AZ64">IF($AY$9=0,0,MMULT($AH64:$AM64, AY$3:AY$8)/$AY$9)</f>
        <v>0</v>
      </c>
      <c r="BA64" s="148">
        <f t="array" ref="BA64">IF($AZ$9=0,0,MMULT($AH64:$AM64, AZ$3:AZ$8)/$AZ$9)</f>
        <v>0</v>
      </c>
      <c r="BB64" s="148">
        <f t="array" ref="BB64">IF($BA$9=0,0,MMULT($AH64:$AM64, BA$3:BA$8)/$BA$9)</f>
        <v>0</v>
      </c>
      <c r="BC64" s="148">
        <f t="array" ref="BC64">IF($BB$9=0,0,MMULT($AH64:$AM64, BB$3:BB$8)/$BB$9)</f>
        <v>0</v>
      </c>
      <c r="BD64" s="148">
        <f t="array" ref="BD64">IF($BC$9=0,0,MMULT($AH64:$AM64, BC$3:BC$8)/$BC$9)</f>
        <v>0</v>
      </c>
      <c r="BE64" s="148">
        <f t="array" ref="BE64">IF($BD$9=0,0,MMULT($AH64:$AM64, BD$3:BD$8)/$BD$9)</f>
        <v>0</v>
      </c>
      <c r="BF64" s="148">
        <f t="array" ref="BF64">IF($BE$9=0,0,MMULT($AH64:$AM64, BE$3:BE$8)/$BE$9)</f>
        <v>0</v>
      </c>
      <c r="BG64" s="145">
        <f>IF(OR(GradeSheet!$M59="W (Withdrawn)", GradeSheet!$M59="I (Incomplete)"), 0, IF(AU64&gt;=65%, 1, 0))</f>
        <v>0</v>
      </c>
      <c r="BH64" s="145">
        <f>IF(OR(GradeSheet!$M59="W (Withdrawn)", GradeSheet!$M59="I (Incomplete)"), 0, IF(AV64&gt;=65%, 1, 0))</f>
        <v>0</v>
      </c>
      <c r="BI64" s="145">
        <f>IF(OR(GradeSheet!$M59="W (Withdrawn)", GradeSheet!$M59="I (Incomplete)"), 0, IF(AW64&gt;=65%, 1, 0))</f>
        <v>0</v>
      </c>
      <c r="BJ64" s="145">
        <f>IF(OR(GradeSheet!$M59="W (Withdrawn)", GradeSheet!$M59="I (Incomplete)"), 0, IF(AX64&gt;=65%, 1, 0))</f>
        <v>0</v>
      </c>
      <c r="BK64" s="145">
        <f>IF(OR(GradeSheet!$M59="W (Withdrawn)", GradeSheet!$M59="I (Incomplete)"), 0, IF(AY64&gt;=65%, 1, 0))</f>
        <v>0</v>
      </c>
      <c r="BL64" s="145">
        <f>IF(OR(GradeSheet!$M59="W (Withdrawn)", GradeSheet!$M59="I (Incomplete)"), 0, IF(AZ64&gt;=65%, 1, 0))</f>
        <v>0</v>
      </c>
      <c r="BM64" s="145">
        <f>IF(OR(GradeSheet!$M59="W (Withdrawn)", GradeSheet!$M59="I (Incomplete)"), 0, IF(BA64&gt;=65%, 1, 0))</f>
        <v>0</v>
      </c>
      <c r="BN64" s="145">
        <f>IF(OR(GradeSheet!$M59="W (Withdrawn)", GradeSheet!$M59="I (Incomplete)"), 0, IF(BB64&gt;=65%, 1, 0))</f>
        <v>0</v>
      </c>
      <c r="BO64" s="145">
        <f>IF(OR(GradeSheet!$M59="W (Withdrawn)", GradeSheet!$M59="I (Incomplete)"), 0, IF(BC64&gt;=65%, 1, 0))</f>
        <v>0</v>
      </c>
      <c r="BP64" s="145">
        <f>IF(OR(GradeSheet!$M59="W (Withdrawn)", GradeSheet!$M59="I (Incomplete)"), 0, IF(BD64&gt;=65%, 1, 0))</f>
        <v>0</v>
      </c>
      <c r="BQ64" s="145">
        <f>IF(OR(GradeSheet!$M59="W (Withdrawn)", GradeSheet!$M59="I (Incomplete)"), 0, IF(BE64&gt;=65%, 1, 0))</f>
        <v>0</v>
      </c>
      <c r="BR64" s="146">
        <f>IF(OR(GradeSheet!$M59="W (Withdrawn)", GradeSheet!$M59="I (Incomplete)"), 0, IF(BF64&gt;=65%, 1, 0))</f>
        <v>0</v>
      </c>
    </row>
    <row r="65" spans="1:70" ht="15.75" customHeight="1">
      <c r="A65" s="142">
        <v>51</v>
      </c>
      <c r="B65" s="35">
        <f>GradeSheet!X60</f>
        <v>0</v>
      </c>
      <c r="C65" s="23">
        <f>GradeSheet!W60</f>
        <v>0</v>
      </c>
      <c r="D65" s="183">
        <v>0</v>
      </c>
      <c r="E65" s="183">
        <v>0</v>
      </c>
      <c r="F65" s="183">
        <v>0</v>
      </c>
      <c r="G65" s="183">
        <v>0</v>
      </c>
      <c r="H65" s="183">
        <v>0</v>
      </c>
      <c r="I65" s="183">
        <v>0</v>
      </c>
      <c r="J65" s="183">
        <v>0</v>
      </c>
      <c r="K65" s="183">
        <v>0</v>
      </c>
      <c r="L65" s="183">
        <v>0</v>
      </c>
      <c r="M65" s="183">
        <v>0</v>
      </c>
      <c r="N65" s="183">
        <v>0</v>
      </c>
      <c r="O65" s="183">
        <v>0</v>
      </c>
      <c r="P65" s="183">
        <v>0</v>
      </c>
      <c r="Q65" s="183">
        <v>0</v>
      </c>
      <c r="R65" s="183">
        <v>0</v>
      </c>
      <c r="S65" s="183">
        <v>0</v>
      </c>
      <c r="T65" s="183">
        <v>0</v>
      </c>
      <c r="U65" s="183">
        <v>0</v>
      </c>
      <c r="V65" s="183">
        <v>0</v>
      </c>
      <c r="W65" s="183">
        <v>0</v>
      </c>
      <c r="X65" s="183">
        <v>0</v>
      </c>
      <c r="Y65" s="183">
        <v>0</v>
      </c>
      <c r="Z65" s="183">
        <v>0</v>
      </c>
      <c r="AA65" s="183">
        <v>0</v>
      </c>
      <c r="AB65" s="135">
        <f t="shared" ref="AB65:AE65" si="114">SUM(V65,D65,J65, P65)</f>
        <v>0</v>
      </c>
      <c r="AC65" s="136">
        <f t="shared" si="114"/>
        <v>0</v>
      </c>
      <c r="AD65" s="136">
        <f t="shared" si="114"/>
        <v>0</v>
      </c>
      <c r="AE65" s="136">
        <f t="shared" si="114"/>
        <v>0</v>
      </c>
      <c r="AF65" s="143">
        <f t="shared" si="15"/>
        <v>0</v>
      </c>
      <c r="AG65" s="143">
        <f t="shared" si="16"/>
        <v>0</v>
      </c>
      <c r="AH65" s="137">
        <f t="shared" ref="AH65:AM65" si="115">IF(AB65 = 0, 0, AB65/AB$14)</f>
        <v>0</v>
      </c>
      <c r="AI65" s="144">
        <f t="shared" si="115"/>
        <v>0</v>
      </c>
      <c r="AJ65" s="144">
        <f t="shared" si="115"/>
        <v>0</v>
      </c>
      <c r="AK65" s="144">
        <f t="shared" si="115"/>
        <v>0</v>
      </c>
      <c r="AL65" s="144">
        <f t="shared" si="115"/>
        <v>0</v>
      </c>
      <c r="AM65" s="144">
        <f t="shared" si="115"/>
        <v>0</v>
      </c>
      <c r="AN65" s="138">
        <f>IF(OR(GradeSheet!$M60="W (Withdrawn)", GradeSheet!$M60="I (Incomplete)"), 0, IF(AH65&gt;=55%, 1, 0))</f>
        <v>0</v>
      </c>
      <c r="AO65" s="145">
        <f>IF(OR(GradeSheet!$M60="W (Withdrawn)", GradeSheet!$M60="I (Incomplete)"), 0, IF(AI65&gt;=55%, 1, 0))</f>
        <v>0</v>
      </c>
      <c r="AP65" s="145">
        <f>IF(OR(GradeSheet!$M60="W (Withdrawn)", GradeSheet!$M60="I (Incomplete)"), 0, IF(AJ65&gt;=55%, 1, 0))</f>
        <v>0</v>
      </c>
      <c r="AQ65" s="145">
        <f>IF(OR(GradeSheet!$M60="W (Withdrawn)", GradeSheet!$M60="I (Incomplete)"), 0, IF(AK65&gt;=55%, 1, 0))</f>
        <v>0</v>
      </c>
      <c r="AR65" s="145">
        <f>IF(OR(GradeSheet!$M60="W (Withdrawn)", GradeSheet!$M60="I (Incomplete)"), 0, IF(AL65&gt;=55%, 1, 0))</f>
        <v>0</v>
      </c>
      <c r="AS65" s="146">
        <f>IF(OR(GradeSheet!$M60="W (Withdrawn)", GradeSheet!$M60="I (Incomplete)"), 0, IF(AM65&gt;=55%, 1, 0))</f>
        <v>0</v>
      </c>
      <c r="AU65" s="148">
        <f t="array" ref="AU65">IF($AT$9=0,0,MMULT($AH65:$AM65, AT$3:AT$8)/$AT$9)</f>
        <v>0</v>
      </c>
      <c r="AV65" s="148">
        <f t="array" ref="AV65">IF($AU$9=0,0,MMULT($AH65:$AM65, AU$3:AU$8)/$AU$9)</f>
        <v>0</v>
      </c>
      <c r="AW65" s="148">
        <f t="array" ref="AW65">IF($AV$9=0,0,MMULT($AH65:$AM65, AV$3:AV$8)/$AV$9)</f>
        <v>0</v>
      </c>
      <c r="AX65" s="148">
        <f t="array" ref="AX65">IF($AW$9=0,0,MMULT($AH65:$AM65, AW$3:AW$8)/$AW$9)</f>
        <v>0</v>
      </c>
      <c r="AY65" s="148">
        <f t="array" ref="AY65">IF($AX$9=0,0,MMULT($AH65:$AM65, AX$3:AX$8)/$AX$9)</f>
        <v>0</v>
      </c>
      <c r="AZ65" s="148">
        <f t="array" ref="AZ65">IF($AY$9=0,0,MMULT($AH65:$AM65, AY$3:AY$8)/$AY$9)</f>
        <v>0</v>
      </c>
      <c r="BA65" s="148">
        <f t="array" ref="BA65">IF($AZ$9=0,0,MMULT($AH65:$AM65, AZ$3:AZ$8)/$AZ$9)</f>
        <v>0</v>
      </c>
      <c r="BB65" s="148">
        <f t="array" ref="BB65">IF($BA$9=0,0,MMULT($AH65:$AM65, BA$3:BA$8)/$BA$9)</f>
        <v>0</v>
      </c>
      <c r="BC65" s="148">
        <f t="array" ref="BC65">IF($BB$9=0,0,MMULT($AH65:$AM65, BB$3:BB$8)/$BB$9)</f>
        <v>0</v>
      </c>
      <c r="BD65" s="148">
        <f t="array" ref="BD65">IF($BC$9=0,0,MMULT($AH65:$AM65, BC$3:BC$8)/$BC$9)</f>
        <v>0</v>
      </c>
      <c r="BE65" s="148">
        <f t="array" ref="BE65">IF($BD$9=0,0,MMULT($AH65:$AM65, BD$3:BD$8)/$BD$9)</f>
        <v>0</v>
      </c>
      <c r="BF65" s="148">
        <f t="array" ref="BF65">IF($BE$9=0,0,MMULT($AH65:$AM65, BE$3:BE$8)/$BE$9)</f>
        <v>0</v>
      </c>
      <c r="BG65" s="145">
        <f>IF(OR(GradeSheet!$M60="W (Withdrawn)", GradeSheet!$M60="I (Incomplete)"), 0, IF(AU65&gt;=65%, 1, 0))</f>
        <v>0</v>
      </c>
      <c r="BH65" s="145">
        <f>IF(OR(GradeSheet!$M60="W (Withdrawn)", GradeSheet!$M60="I (Incomplete)"), 0, IF(AV65&gt;=65%, 1, 0))</f>
        <v>0</v>
      </c>
      <c r="BI65" s="145">
        <f>IF(OR(GradeSheet!$M60="W (Withdrawn)", GradeSheet!$M60="I (Incomplete)"), 0, IF(AW65&gt;=65%, 1, 0))</f>
        <v>0</v>
      </c>
      <c r="BJ65" s="145">
        <f>IF(OR(GradeSheet!$M60="W (Withdrawn)", GradeSheet!$M60="I (Incomplete)"), 0, IF(AX65&gt;=65%, 1, 0))</f>
        <v>0</v>
      </c>
      <c r="BK65" s="145">
        <f>IF(OR(GradeSheet!$M60="W (Withdrawn)", GradeSheet!$M60="I (Incomplete)"), 0, IF(AY65&gt;=65%, 1, 0))</f>
        <v>0</v>
      </c>
      <c r="BL65" s="145">
        <f>IF(OR(GradeSheet!$M60="W (Withdrawn)", GradeSheet!$M60="I (Incomplete)"), 0, IF(AZ65&gt;=65%, 1, 0))</f>
        <v>0</v>
      </c>
      <c r="BM65" s="145">
        <f>IF(OR(GradeSheet!$M60="W (Withdrawn)", GradeSheet!$M60="I (Incomplete)"), 0, IF(BA65&gt;=65%, 1, 0))</f>
        <v>0</v>
      </c>
      <c r="BN65" s="145">
        <f>IF(OR(GradeSheet!$M60="W (Withdrawn)", GradeSheet!$M60="I (Incomplete)"), 0, IF(BB65&gt;=65%, 1, 0))</f>
        <v>0</v>
      </c>
      <c r="BO65" s="145">
        <f>IF(OR(GradeSheet!$M60="W (Withdrawn)", GradeSheet!$M60="I (Incomplete)"), 0, IF(BC65&gt;=65%, 1, 0))</f>
        <v>0</v>
      </c>
      <c r="BP65" s="145">
        <f>IF(OR(GradeSheet!$M60="W (Withdrawn)", GradeSheet!$M60="I (Incomplete)"), 0, IF(BD65&gt;=65%, 1, 0))</f>
        <v>0</v>
      </c>
      <c r="BQ65" s="145">
        <f>IF(OR(GradeSheet!$M60="W (Withdrawn)", GradeSheet!$M60="I (Incomplete)"), 0, IF(BE65&gt;=65%, 1, 0))</f>
        <v>0</v>
      </c>
      <c r="BR65" s="146">
        <f>IF(OR(GradeSheet!$M60="W (Withdrawn)", GradeSheet!$M60="I (Incomplete)"), 0, IF(BF65&gt;=65%, 1, 0))</f>
        <v>0</v>
      </c>
    </row>
    <row r="66" spans="1:70" ht="15.75" customHeight="1">
      <c r="A66" s="142">
        <v>52</v>
      </c>
      <c r="B66" s="35">
        <f>GradeSheet!X61</f>
        <v>0</v>
      </c>
      <c r="C66" s="23">
        <f>GradeSheet!W61</f>
        <v>0</v>
      </c>
      <c r="D66" s="183">
        <v>0</v>
      </c>
      <c r="E66" s="183">
        <v>0</v>
      </c>
      <c r="F66" s="183">
        <v>0</v>
      </c>
      <c r="G66" s="183">
        <v>0</v>
      </c>
      <c r="H66" s="183">
        <v>0</v>
      </c>
      <c r="I66" s="183">
        <v>0</v>
      </c>
      <c r="J66" s="183">
        <v>0</v>
      </c>
      <c r="K66" s="183">
        <v>0</v>
      </c>
      <c r="L66" s="183">
        <v>0</v>
      </c>
      <c r="M66" s="183">
        <v>0</v>
      </c>
      <c r="N66" s="183">
        <v>0</v>
      </c>
      <c r="O66" s="183">
        <v>0</v>
      </c>
      <c r="P66" s="183">
        <v>0</v>
      </c>
      <c r="Q66" s="183">
        <v>0</v>
      </c>
      <c r="R66" s="183">
        <v>0</v>
      </c>
      <c r="S66" s="183">
        <v>0</v>
      </c>
      <c r="T66" s="183">
        <v>0</v>
      </c>
      <c r="U66" s="183">
        <v>0</v>
      </c>
      <c r="V66" s="183">
        <v>0</v>
      </c>
      <c r="W66" s="183">
        <v>0</v>
      </c>
      <c r="X66" s="183">
        <v>0</v>
      </c>
      <c r="Y66" s="183">
        <v>0</v>
      </c>
      <c r="Z66" s="183">
        <v>0</v>
      </c>
      <c r="AA66" s="183">
        <v>0</v>
      </c>
      <c r="AB66" s="135">
        <f t="shared" ref="AB66:AE66" si="116">SUM(V66,D66,J66, P66)</f>
        <v>0</v>
      </c>
      <c r="AC66" s="136">
        <f t="shared" si="116"/>
        <v>0</v>
      </c>
      <c r="AD66" s="136">
        <f t="shared" si="116"/>
        <v>0</v>
      </c>
      <c r="AE66" s="136">
        <f t="shared" si="116"/>
        <v>0</v>
      </c>
      <c r="AF66" s="143">
        <f t="shared" si="15"/>
        <v>0</v>
      </c>
      <c r="AG66" s="143">
        <f t="shared" si="16"/>
        <v>0</v>
      </c>
      <c r="AH66" s="137">
        <f t="shared" ref="AH66:AM66" si="117">IF(AB66 = 0, 0, AB66/AB$14)</f>
        <v>0</v>
      </c>
      <c r="AI66" s="144">
        <f t="shared" si="117"/>
        <v>0</v>
      </c>
      <c r="AJ66" s="144">
        <f t="shared" si="117"/>
        <v>0</v>
      </c>
      <c r="AK66" s="144">
        <f t="shared" si="117"/>
        <v>0</v>
      </c>
      <c r="AL66" s="144">
        <f t="shared" si="117"/>
        <v>0</v>
      </c>
      <c r="AM66" s="144">
        <f t="shared" si="117"/>
        <v>0</v>
      </c>
      <c r="AN66" s="138">
        <f>IF(OR(GradeSheet!$M61="W (Withdrawn)", GradeSheet!$M61="I (Incomplete)"), 0, IF(AH66&gt;=55%, 1, 0))</f>
        <v>0</v>
      </c>
      <c r="AO66" s="145">
        <f>IF(OR(GradeSheet!$M61="W (Withdrawn)", GradeSheet!$M61="I (Incomplete)"), 0, IF(AI66&gt;=55%, 1, 0))</f>
        <v>0</v>
      </c>
      <c r="AP66" s="145">
        <f>IF(OR(GradeSheet!$M61="W (Withdrawn)", GradeSheet!$M61="I (Incomplete)"), 0, IF(AJ66&gt;=55%, 1, 0))</f>
        <v>0</v>
      </c>
      <c r="AQ66" s="145">
        <f>IF(OR(GradeSheet!$M61="W (Withdrawn)", GradeSheet!$M61="I (Incomplete)"), 0, IF(AK66&gt;=55%, 1, 0))</f>
        <v>0</v>
      </c>
      <c r="AR66" s="145">
        <f>IF(OR(GradeSheet!$M61="W (Withdrawn)", GradeSheet!$M61="I (Incomplete)"), 0, IF(AL66&gt;=55%, 1, 0))</f>
        <v>0</v>
      </c>
      <c r="AS66" s="146">
        <f>IF(OR(GradeSheet!$M61="W (Withdrawn)", GradeSheet!$M61="I (Incomplete)"), 0, IF(AM66&gt;=55%, 1, 0))</f>
        <v>0</v>
      </c>
      <c r="AU66" s="148">
        <f t="array" ref="AU66">IF($AT$9=0,0,MMULT($AH66:$AM66, AT$3:AT$8)/$AT$9)</f>
        <v>0</v>
      </c>
      <c r="AV66" s="148">
        <f t="array" ref="AV66">IF($AU$9=0,0,MMULT($AH66:$AM66, AU$3:AU$8)/$AU$9)</f>
        <v>0</v>
      </c>
      <c r="AW66" s="148">
        <f t="array" ref="AW66">IF($AV$9=0,0,MMULT($AH66:$AM66, AV$3:AV$8)/$AV$9)</f>
        <v>0</v>
      </c>
      <c r="AX66" s="148">
        <f t="array" ref="AX66">IF($AW$9=0,0,MMULT($AH66:$AM66, AW$3:AW$8)/$AW$9)</f>
        <v>0</v>
      </c>
      <c r="AY66" s="148">
        <f t="array" ref="AY66">IF($AX$9=0,0,MMULT($AH66:$AM66, AX$3:AX$8)/$AX$9)</f>
        <v>0</v>
      </c>
      <c r="AZ66" s="148">
        <f t="array" ref="AZ66">IF($AY$9=0,0,MMULT($AH66:$AM66, AY$3:AY$8)/$AY$9)</f>
        <v>0</v>
      </c>
      <c r="BA66" s="148">
        <f t="array" ref="BA66">IF($AZ$9=0,0,MMULT($AH66:$AM66, AZ$3:AZ$8)/$AZ$9)</f>
        <v>0</v>
      </c>
      <c r="BB66" s="148">
        <f t="array" ref="BB66">IF($BA$9=0,0,MMULT($AH66:$AM66, BA$3:BA$8)/$BA$9)</f>
        <v>0</v>
      </c>
      <c r="BC66" s="148">
        <f t="array" ref="BC66">IF($BB$9=0,0,MMULT($AH66:$AM66, BB$3:BB$8)/$BB$9)</f>
        <v>0</v>
      </c>
      <c r="BD66" s="148">
        <f t="array" ref="BD66">IF($BC$9=0,0,MMULT($AH66:$AM66, BC$3:BC$8)/$BC$9)</f>
        <v>0</v>
      </c>
      <c r="BE66" s="148">
        <f t="array" ref="BE66">IF($BD$9=0,0,MMULT($AH66:$AM66, BD$3:BD$8)/$BD$9)</f>
        <v>0</v>
      </c>
      <c r="BF66" s="148">
        <f t="array" ref="BF66">IF($BE$9=0,0,MMULT($AH66:$AM66, BE$3:BE$8)/$BE$9)</f>
        <v>0</v>
      </c>
      <c r="BG66" s="145">
        <f>IF(OR(GradeSheet!$M61="W (Withdrawn)", GradeSheet!$M61="I (Incomplete)"), 0, IF(AU66&gt;=65%, 1, 0))</f>
        <v>0</v>
      </c>
      <c r="BH66" s="145">
        <f>IF(OR(GradeSheet!$M61="W (Withdrawn)", GradeSheet!$M61="I (Incomplete)"), 0, IF(AV66&gt;=65%, 1, 0))</f>
        <v>0</v>
      </c>
      <c r="BI66" s="145">
        <f>IF(OR(GradeSheet!$M61="W (Withdrawn)", GradeSheet!$M61="I (Incomplete)"), 0, IF(AW66&gt;=65%, 1, 0))</f>
        <v>0</v>
      </c>
      <c r="BJ66" s="145">
        <f>IF(OR(GradeSheet!$M61="W (Withdrawn)", GradeSheet!$M61="I (Incomplete)"), 0, IF(AX66&gt;=65%, 1, 0))</f>
        <v>0</v>
      </c>
      <c r="BK66" s="145">
        <f>IF(OR(GradeSheet!$M61="W (Withdrawn)", GradeSheet!$M61="I (Incomplete)"), 0, IF(AY66&gt;=65%, 1, 0))</f>
        <v>0</v>
      </c>
      <c r="BL66" s="145">
        <f>IF(OR(GradeSheet!$M61="W (Withdrawn)", GradeSheet!$M61="I (Incomplete)"), 0, IF(AZ66&gt;=65%, 1, 0))</f>
        <v>0</v>
      </c>
      <c r="BM66" s="145">
        <f>IF(OR(GradeSheet!$M61="W (Withdrawn)", GradeSheet!$M61="I (Incomplete)"), 0, IF(BA66&gt;=65%, 1, 0))</f>
        <v>0</v>
      </c>
      <c r="BN66" s="145">
        <f>IF(OR(GradeSheet!$M61="W (Withdrawn)", GradeSheet!$M61="I (Incomplete)"), 0, IF(BB66&gt;=65%, 1, 0))</f>
        <v>0</v>
      </c>
      <c r="BO66" s="145">
        <f>IF(OR(GradeSheet!$M61="W (Withdrawn)", GradeSheet!$M61="I (Incomplete)"), 0, IF(BC66&gt;=65%, 1, 0))</f>
        <v>0</v>
      </c>
      <c r="BP66" s="145">
        <f>IF(OR(GradeSheet!$M61="W (Withdrawn)", GradeSheet!$M61="I (Incomplete)"), 0, IF(BD66&gt;=65%, 1, 0))</f>
        <v>0</v>
      </c>
      <c r="BQ66" s="145">
        <f>IF(OR(GradeSheet!$M61="W (Withdrawn)", GradeSheet!$M61="I (Incomplete)"), 0, IF(BE66&gt;=65%, 1, 0))</f>
        <v>0</v>
      </c>
      <c r="BR66" s="146">
        <f>IF(OR(GradeSheet!$M61="W (Withdrawn)", GradeSheet!$M61="I (Incomplete)"), 0, IF(BF66&gt;=65%, 1, 0))</f>
        <v>0</v>
      </c>
    </row>
    <row r="67" spans="1:70" ht="15.75">
      <c r="A67" s="142">
        <v>53</v>
      </c>
      <c r="B67" s="35">
        <f>GradeSheet!X62</f>
        <v>0</v>
      </c>
      <c r="C67" s="23">
        <f>GradeSheet!W62</f>
        <v>0</v>
      </c>
      <c r="D67" s="183">
        <v>0</v>
      </c>
      <c r="E67" s="183">
        <v>0</v>
      </c>
      <c r="F67" s="183">
        <v>0</v>
      </c>
      <c r="G67" s="183">
        <v>0</v>
      </c>
      <c r="H67" s="183">
        <v>0</v>
      </c>
      <c r="I67" s="183">
        <v>0</v>
      </c>
      <c r="J67" s="183">
        <v>0</v>
      </c>
      <c r="K67" s="183">
        <v>0</v>
      </c>
      <c r="L67" s="183">
        <v>0</v>
      </c>
      <c r="M67" s="183">
        <v>0</v>
      </c>
      <c r="N67" s="183">
        <v>0</v>
      </c>
      <c r="O67" s="183">
        <v>0</v>
      </c>
      <c r="P67" s="183">
        <v>0</v>
      </c>
      <c r="Q67" s="183">
        <v>0</v>
      </c>
      <c r="R67" s="183">
        <v>0</v>
      </c>
      <c r="S67" s="183">
        <v>0</v>
      </c>
      <c r="T67" s="183">
        <v>0</v>
      </c>
      <c r="U67" s="183">
        <v>0</v>
      </c>
      <c r="V67" s="183">
        <v>0</v>
      </c>
      <c r="W67" s="183">
        <v>0</v>
      </c>
      <c r="X67" s="183">
        <v>0</v>
      </c>
      <c r="Y67" s="183">
        <v>0</v>
      </c>
      <c r="Z67" s="183">
        <v>0</v>
      </c>
      <c r="AA67" s="183">
        <v>0</v>
      </c>
      <c r="AB67" s="135">
        <f t="shared" ref="AB67:AE67" si="118">SUM(V67,D67,J67, P67)</f>
        <v>0</v>
      </c>
      <c r="AC67" s="136">
        <f t="shared" si="118"/>
        <v>0</v>
      </c>
      <c r="AD67" s="136">
        <f t="shared" si="118"/>
        <v>0</v>
      </c>
      <c r="AE67" s="136">
        <f t="shared" si="118"/>
        <v>0</v>
      </c>
      <c r="AF67" s="143">
        <f t="shared" si="15"/>
        <v>0</v>
      </c>
      <c r="AG67" s="143">
        <f t="shared" si="16"/>
        <v>0</v>
      </c>
      <c r="AH67" s="137">
        <f t="shared" ref="AH67:AM67" si="119">IF(AB67 = 0, 0, AB67/AB$14)</f>
        <v>0</v>
      </c>
      <c r="AI67" s="144">
        <f t="shared" si="119"/>
        <v>0</v>
      </c>
      <c r="AJ67" s="144">
        <f t="shared" si="119"/>
        <v>0</v>
      </c>
      <c r="AK67" s="144">
        <f t="shared" si="119"/>
        <v>0</v>
      </c>
      <c r="AL67" s="144">
        <f t="shared" si="119"/>
        <v>0</v>
      </c>
      <c r="AM67" s="144">
        <f t="shared" si="119"/>
        <v>0</v>
      </c>
      <c r="AN67" s="138">
        <f>IF(OR(GradeSheet!$M62="W (Withdrawn)", GradeSheet!$M62="I (Incomplete)"), 0, IF(AH67&gt;=55%, 1, 0))</f>
        <v>0</v>
      </c>
      <c r="AO67" s="145">
        <f>IF(OR(GradeSheet!$M62="W (Withdrawn)", GradeSheet!$M62="I (Incomplete)"), 0, IF(AI67&gt;=55%, 1, 0))</f>
        <v>0</v>
      </c>
      <c r="AP67" s="145">
        <f>IF(OR(GradeSheet!$M62="W (Withdrawn)", GradeSheet!$M62="I (Incomplete)"), 0, IF(AJ67&gt;=55%, 1, 0))</f>
        <v>0</v>
      </c>
      <c r="AQ67" s="145">
        <f>IF(OR(GradeSheet!$M62="W (Withdrawn)", GradeSheet!$M62="I (Incomplete)"), 0, IF(AK67&gt;=55%, 1, 0))</f>
        <v>0</v>
      </c>
      <c r="AR67" s="145">
        <f>IF(OR(GradeSheet!$M62="W (Withdrawn)", GradeSheet!$M62="I (Incomplete)"), 0, IF(AL67&gt;=55%, 1, 0))</f>
        <v>0</v>
      </c>
      <c r="AS67" s="146">
        <f>IF(OR(GradeSheet!$M62="W (Withdrawn)", GradeSheet!$M62="I (Incomplete)"), 0, IF(AM67&gt;=55%, 1, 0))</f>
        <v>0</v>
      </c>
      <c r="AU67" s="148">
        <f t="array" ref="AU67">IF($AT$9=0,0,MMULT($AH67:$AM67, AT$3:AT$8)/$AT$9)</f>
        <v>0</v>
      </c>
      <c r="AV67" s="148">
        <f t="array" ref="AV67">IF($AU$9=0,0,MMULT($AH67:$AM67, AU$3:AU$8)/$AU$9)</f>
        <v>0</v>
      </c>
      <c r="AW67" s="148">
        <f t="array" ref="AW67">IF($AV$9=0,0,MMULT($AH67:$AM67, AV$3:AV$8)/$AV$9)</f>
        <v>0</v>
      </c>
      <c r="AX67" s="148">
        <f t="array" ref="AX67">IF($AW$9=0,0,MMULT($AH67:$AM67, AW$3:AW$8)/$AW$9)</f>
        <v>0</v>
      </c>
      <c r="AY67" s="148">
        <f t="array" ref="AY67">IF($AX$9=0,0,MMULT($AH67:$AM67, AX$3:AX$8)/$AX$9)</f>
        <v>0</v>
      </c>
      <c r="AZ67" s="148">
        <f t="array" ref="AZ67">IF($AY$9=0,0,MMULT($AH67:$AM67, AY$3:AY$8)/$AY$9)</f>
        <v>0</v>
      </c>
      <c r="BA67" s="148">
        <f t="array" ref="BA67">IF($AZ$9=0,0,MMULT($AH67:$AM67, AZ$3:AZ$8)/$AZ$9)</f>
        <v>0</v>
      </c>
      <c r="BB67" s="148">
        <f t="array" ref="BB67">IF($BA$9=0,0,MMULT($AH67:$AM67, BA$3:BA$8)/$BA$9)</f>
        <v>0</v>
      </c>
      <c r="BC67" s="148">
        <f t="array" ref="BC67">IF($BB$9=0,0,MMULT($AH67:$AM67, BB$3:BB$8)/$BB$9)</f>
        <v>0</v>
      </c>
      <c r="BD67" s="148">
        <f t="array" ref="BD67">IF($BC$9=0,0,MMULT($AH67:$AM67, BC$3:BC$8)/$BC$9)</f>
        <v>0</v>
      </c>
      <c r="BE67" s="148">
        <f t="array" ref="BE67">IF($BD$9=0,0,MMULT($AH67:$AM67, BD$3:BD$8)/$BD$9)</f>
        <v>0</v>
      </c>
      <c r="BF67" s="148">
        <f t="array" ref="BF67">IF($BE$9=0,0,MMULT($AH67:$AM67, BE$3:BE$8)/$BE$9)</f>
        <v>0</v>
      </c>
      <c r="BG67" s="145">
        <f>IF(OR(GradeSheet!$M62="W (Withdrawn)", GradeSheet!$M62="I (Incomplete)"), 0, IF(AU67&gt;=65%, 1, 0))</f>
        <v>0</v>
      </c>
      <c r="BH67" s="145">
        <f>IF(OR(GradeSheet!$M62="W (Withdrawn)", GradeSheet!$M62="I (Incomplete)"), 0, IF(AV67&gt;=65%, 1, 0))</f>
        <v>0</v>
      </c>
      <c r="BI67" s="145">
        <f>IF(OR(GradeSheet!$M62="W (Withdrawn)", GradeSheet!$M62="I (Incomplete)"), 0, IF(AW67&gt;=65%, 1, 0))</f>
        <v>0</v>
      </c>
      <c r="BJ67" s="145">
        <f>IF(OR(GradeSheet!$M62="W (Withdrawn)", GradeSheet!$M62="I (Incomplete)"), 0, IF(AX67&gt;=65%, 1, 0))</f>
        <v>0</v>
      </c>
      <c r="BK67" s="145">
        <f>IF(OR(GradeSheet!$M62="W (Withdrawn)", GradeSheet!$M62="I (Incomplete)"), 0, IF(AY67&gt;=65%, 1, 0))</f>
        <v>0</v>
      </c>
      <c r="BL67" s="145">
        <f>IF(OR(GradeSheet!$M62="W (Withdrawn)", GradeSheet!$M62="I (Incomplete)"), 0, IF(AZ67&gt;=65%, 1, 0))</f>
        <v>0</v>
      </c>
      <c r="BM67" s="145">
        <f>IF(OR(GradeSheet!$M62="W (Withdrawn)", GradeSheet!$M62="I (Incomplete)"), 0, IF(BA67&gt;=65%, 1, 0))</f>
        <v>0</v>
      </c>
      <c r="BN67" s="145">
        <f>IF(OR(GradeSheet!$M62="W (Withdrawn)", GradeSheet!$M62="I (Incomplete)"), 0, IF(BB67&gt;=65%, 1, 0))</f>
        <v>0</v>
      </c>
      <c r="BO67" s="145">
        <f>IF(OR(GradeSheet!$M62="W (Withdrawn)", GradeSheet!$M62="I (Incomplete)"), 0, IF(BC67&gt;=65%, 1, 0))</f>
        <v>0</v>
      </c>
      <c r="BP67" s="145">
        <f>IF(OR(GradeSheet!$M62="W (Withdrawn)", GradeSheet!$M62="I (Incomplete)"), 0, IF(BD67&gt;=65%, 1, 0))</f>
        <v>0</v>
      </c>
      <c r="BQ67" s="145">
        <f>IF(OR(GradeSheet!$M62="W (Withdrawn)", GradeSheet!$M62="I (Incomplete)"), 0, IF(BE67&gt;=65%, 1, 0))</f>
        <v>0</v>
      </c>
      <c r="BR67" s="146">
        <f>IF(OR(GradeSheet!$M62="W (Withdrawn)", GradeSheet!$M62="I (Incomplete)"), 0, IF(BF67&gt;=65%, 1, 0))</f>
        <v>0</v>
      </c>
    </row>
    <row r="68" spans="1:70" ht="15.75">
      <c r="A68" s="142">
        <v>54</v>
      </c>
      <c r="B68" s="35">
        <f>GradeSheet!X63</f>
        <v>0</v>
      </c>
      <c r="C68" s="23">
        <f>GradeSheet!W63</f>
        <v>0</v>
      </c>
      <c r="D68" s="183">
        <v>0</v>
      </c>
      <c r="E68" s="183">
        <v>0</v>
      </c>
      <c r="F68" s="183">
        <v>0</v>
      </c>
      <c r="G68" s="183">
        <v>0</v>
      </c>
      <c r="H68" s="183">
        <v>0</v>
      </c>
      <c r="I68" s="183">
        <v>0</v>
      </c>
      <c r="J68" s="183">
        <v>0</v>
      </c>
      <c r="K68" s="183">
        <v>0</v>
      </c>
      <c r="L68" s="183">
        <v>0</v>
      </c>
      <c r="M68" s="183">
        <v>0</v>
      </c>
      <c r="N68" s="183">
        <v>0</v>
      </c>
      <c r="O68" s="183">
        <v>0</v>
      </c>
      <c r="P68" s="183">
        <v>0</v>
      </c>
      <c r="Q68" s="183">
        <v>0</v>
      </c>
      <c r="R68" s="183">
        <v>0</v>
      </c>
      <c r="S68" s="183">
        <v>0</v>
      </c>
      <c r="T68" s="183">
        <v>0</v>
      </c>
      <c r="U68" s="183">
        <v>0</v>
      </c>
      <c r="V68" s="183">
        <v>0</v>
      </c>
      <c r="W68" s="183">
        <v>0</v>
      </c>
      <c r="X68" s="183">
        <v>0</v>
      </c>
      <c r="Y68" s="183">
        <v>0</v>
      </c>
      <c r="Z68" s="183">
        <v>0</v>
      </c>
      <c r="AA68" s="183">
        <v>0</v>
      </c>
      <c r="AB68" s="135">
        <f t="shared" ref="AB68:AE68" si="120">SUM(V68,D68,J68, P68)</f>
        <v>0</v>
      </c>
      <c r="AC68" s="136">
        <f t="shared" si="120"/>
        <v>0</v>
      </c>
      <c r="AD68" s="136">
        <f t="shared" si="120"/>
        <v>0</v>
      </c>
      <c r="AE68" s="136">
        <f t="shared" si="120"/>
        <v>0</v>
      </c>
      <c r="AF68" s="143">
        <f t="shared" si="15"/>
        <v>0</v>
      </c>
      <c r="AG68" s="143">
        <f t="shared" si="16"/>
        <v>0</v>
      </c>
      <c r="AH68" s="137">
        <f t="shared" ref="AH68:AM68" si="121">IF(AB68 = 0, 0, AB68/AB$14)</f>
        <v>0</v>
      </c>
      <c r="AI68" s="144">
        <f t="shared" si="121"/>
        <v>0</v>
      </c>
      <c r="AJ68" s="144">
        <f t="shared" si="121"/>
        <v>0</v>
      </c>
      <c r="AK68" s="144">
        <f t="shared" si="121"/>
        <v>0</v>
      </c>
      <c r="AL68" s="144">
        <f t="shared" si="121"/>
        <v>0</v>
      </c>
      <c r="AM68" s="144">
        <f t="shared" si="121"/>
        <v>0</v>
      </c>
      <c r="AN68" s="138">
        <f>IF(OR(GradeSheet!$M63="W (Withdrawn)", GradeSheet!$M63="I (Incomplete)"), 0, IF(AH68&gt;=55%, 1, 0))</f>
        <v>0</v>
      </c>
      <c r="AO68" s="145">
        <f>IF(OR(GradeSheet!$M63="W (Withdrawn)", GradeSheet!$M63="I (Incomplete)"), 0, IF(AI68&gt;=55%, 1, 0))</f>
        <v>0</v>
      </c>
      <c r="AP68" s="145">
        <f>IF(OR(GradeSheet!$M63="W (Withdrawn)", GradeSheet!$M63="I (Incomplete)"), 0, IF(AJ68&gt;=55%, 1, 0))</f>
        <v>0</v>
      </c>
      <c r="AQ68" s="145">
        <f>IF(OR(GradeSheet!$M63="W (Withdrawn)", GradeSheet!$M63="I (Incomplete)"), 0, IF(AK68&gt;=55%, 1, 0))</f>
        <v>0</v>
      </c>
      <c r="AR68" s="145">
        <f>IF(OR(GradeSheet!$M63="W (Withdrawn)", GradeSheet!$M63="I (Incomplete)"), 0, IF(AL68&gt;=55%, 1, 0))</f>
        <v>0</v>
      </c>
      <c r="AS68" s="146">
        <f>IF(OR(GradeSheet!$M63="W (Withdrawn)", GradeSheet!$M63="I (Incomplete)"), 0, IF(AM68&gt;=55%, 1, 0))</f>
        <v>0</v>
      </c>
      <c r="AU68" s="148">
        <f t="array" ref="AU68">IF($AT$9=0,0,MMULT($AH68:$AM68, AT$3:AT$8)/$AT$9)</f>
        <v>0</v>
      </c>
      <c r="AV68" s="148">
        <f t="array" ref="AV68">IF($AU$9=0,0,MMULT($AH68:$AM68, AU$3:AU$8)/$AU$9)</f>
        <v>0</v>
      </c>
      <c r="AW68" s="148">
        <f t="array" ref="AW68">IF($AV$9=0,0,MMULT($AH68:$AM68, AV$3:AV$8)/$AV$9)</f>
        <v>0</v>
      </c>
      <c r="AX68" s="148">
        <f t="array" ref="AX68">IF($AW$9=0,0,MMULT($AH68:$AM68, AW$3:AW$8)/$AW$9)</f>
        <v>0</v>
      </c>
      <c r="AY68" s="148">
        <f t="array" ref="AY68">IF($AX$9=0,0,MMULT($AH68:$AM68, AX$3:AX$8)/$AX$9)</f>
        <v>0</v>
      </c>
      <c r="AZ68" s="148">
        <f t="array" ref="AZ68">IF($AY$9=0,0,MMULT($AH68:$AM68, AY$3:AY$8)/$AY$9)</f>
        <v>0</v>
      </c>
      <c r="BA68" s="148">
        <f t="array" ref="BA68">IF($AZ$9=0,0,MMULT($AH68:$AM68, AZ$3:AZ$8)/$AZ$9)</f>
        <v>0</v>
      </c>
      <c r="BB68" s="148">
        <f t="array" ref="BB68">IF($BA$9=0,0,MMULT($AH68:$AM68, BA$3:BA$8)/$BA$9)</f>
        <v>0</v>
      </c>
      <c r="BC68" s="148">
        <f t="array" ref="BC68">IF($BB$9=0,0,MMULT($AH68:$AM68, BB$3:BB$8)/$BB$9)</f>
        <v>0</v>
      </c>
      <c r="BD68" s="148">
        <f t="array" ref="BD68">IF($BC$9=0,0,MMULT($AH68:$AM68, BC$3:BC$8)/$BC$9)</f>
        <v>0</v>
      </c>
      <c r="BE68" s="148">
        <f t="array" ref="BE68">IF($BD$9=0,0,MMULT($AH68:$AM68, BD$3:BD$8)/$BD$9)</f>
        <v>0</v>
      </c>
      <c r="BF68" s="148">
        <f t="array" ref="BF68">IF($BE$9=0,0,MMULT($AH68:$AM68, BE$3:BE$8)/$BE$9)</f>
        <v>0</v>
      </c>
      <c r="BG68" s="145">
        <f>IF(OR(GradeSheet!$M63="W (Withdrawn)", GradeSheet!$M63="I (Incomplete)"), 0, IF(AU68&gt;=65%, 1, 0))</f>
        <v>0</v>
      </c>
      <c r="BH68" s="145">
        <f>IF(OR(GradeSheet!$M63="W (Withdrawn)", GradeSheet!$M63="I (Incomplete)"), 0, IF(AV68&gt;=65%, 1, 0))</f>
        <v>0</v>
      </c>
      <c r="BI68" s="145">
        <f>IF(OR(GradeSheet!$M63="W (Withdrawn)", GradeSheet!$M63="I (Incomplete)"), 0, IF(AW68&gt;=65%, 1, 0))</f>
        <v>0</v>
      </c>
      <c r="BJ68" s="145">
        <f>IF(OR(GradeSheet!$M63="W (Withdrawn)", GradeSheet!$M63="I (Incomplete)"), 0, IF(AX68&gt;=65%, 1, 0))</f>
        <v>0</v>
      </c>
      <c r="BK68" s="145">
        <f>IF(OR(GradeSheet!$M63="W (Withdrawn)", GradeSheet!$M63="I (Incomplete)"), 0, IF(AY68&gt;=65%, 1, 0))</f>
        <v>0</v>
      </c>
      <c r="BL68" s="145">
        <f>IF(OR(GradeSheet!$M63="W (Withdrawn)", GradeSheet!$M63="I (Incomplete)"), 0, IF(AZ68&gt;=65%, 1, 0))</f>
        <v>0</v>
      </c>
      <c r="BM68" s="145">
        <f>IF(OR(GradeSheet!$M63="W (Withdrawn)", GradeSheet!$M63="I (Incomplete)"), 0, IF(BA68&gt;=65%, 1, 0))</f>
        <v>0</v>
      </c>
      <c r="BN68" s="145">
        <f>IF(OR(GradeSheet!$M63="W (Withdrawn)", GradeSheet!$M63="I (Incomplete)"), 0, IF(BB68&gt;=65%, 1, 0))</f>
        <v>0</v>
      </c>
      <c r="BO68" s="145">
        <f>IF(OR(GradeSheet!$M63="W (Withdrawn)", GradeSheet!$M63="I (Incomplete)"), 0, IF(BC68&gt;=65%, 1, 0))</f>
        <v>0</v>
      </c>
      <c r="BP68" s="145">
        <f>IF(OR(GradeSheet!$M63="W (Withdrawn)", GradeSheet!$M63="I (Incomplete)"), 0, IF(BD68&gt;=65%, 1, 0))</f>
        <v>0</v>
      </c>
      <c r="BQ68" s="145">
        <f>IF(OR(GradeSheet!$M63="W (Withdrawn)", GradeSheet!$M63="I (Incomplete)"), 0, IF(BE68&gt;=65%, 1, 0))</f>
        <v>0</v>
      </c>
      <c r="BR68" s="146">
        <f>IF(OR(GradeSheet!$M63="W (Withdrawn)", GradeSheet!$M63="I (Incomplete)"), 0, IF(BF68&gt;=65%, 1, 0))</f>
        <v>0</v>
      </c>
    </row>
    <row r="69" spans="1:70" ht="15.75">
      <c r="A69" s="142">
        <v>55</v>
      </c>
      <c r="B69" s="35">
        <f>GradeSheet!X64</f>
        <v>0</v>
      </c>
      <c r="C69" s="23">
        <f>GradeSheet!W64</f>
        <v>0</v>
      </c>
      <c r="D69" s="183">
        <v>0</v>
      </c>
      <c r="E69" s="183">
        <v>0</v>
      </c>
      <c r="F69" s="183">
        <v>0</v>
      </c>
      <c r="G69" s="183">
        <v>0</v>
      </c>
      <c r="H69" s="183">
        <v>0</v>
      </c>
      <c r="I69" s="183">
        <v>0</v>
      </c>
      <c r="J69" s="183">
        <v>0</v>
      </c>
      <c r="K69" s="183">
        <v>0</v>
      </c>
      <c r="L69" s="183">
        <v>0</v>
      </c>
      <c r="M69" s="183">
        <v>0</v>
      </c>
      <c r="N69" s="183">
        <v>0</v>
      </c>
      <c r="O69" s="183">
        <v>0</v>
      </c>
      <c r="P69" s="183">
        <v>0</v>
      </c>
      <c r="Q69" s="183">
        <v>0</v>
      </c>
      <c r="R69" s="183">
        <v>0</v>
      </c>
      <c r="S69" s="183">
        <v>0</v>
      </c>
      <c r="T69" s="183">
        <v>0</v>
      </c>
      <c r="U69" s="183">
        <v>0</v>
      </c>
      <c r="V69" s="183">
        <v>0</v>
      </c>
      <c r="W69" s="183">
        <v>0</v>
      </c>
      <c r="X69" s="183">
        <v>0</v>
      </c>
      <c r="Y69" s="183">
        <v>0</v>
      </c>
      <c r="Z69" s="183">
        <v>0</v>
      </c>
      <c r="AA69" s="183">
        <v>0</v>
      </c>
      <c r="AB69" s="135">
        <f t="shared" ref="AB69:AE69" si="122">SUM(V69,D69,J69, P69)</f>
        <v>0</v>
      </c>
      <c r="AC69" s="136">
        <f t="shared" si="122"/>
        <v>0</v>
      </c>
      <c r="AD69" s="136">
        <f t="shared" si="122"/>
        <v>0</v>
      </c>
      <c r="AE69" s="136">
        <f t="shared" si="122"/>
        <v>0</v>
      </c>
      <c r="AF69" s="143">
        <f t="shared" si="15"/>
        <v>0</v>
      </c>
      <c r="AG69" s="143">
        <f t="shared" si="16"/>
        <v>0</v>
      </c>
      <c r="AH69" s="137">
        <f t="shared" ref="AH69:AM69" si="123">IF(AB69 = 0, 0, AB69/AB$14)</f>
        <v>0</v>
      </c>
      <c r="AI69" s="144">
        <f t="shared" si="123"/>
        <v>0</v>
      </c>
      <c r="AJ69" s="144">
        <f t="shared" si="123"/>
        <v>0</v>
      </c>
      <c r="AK69" s="144">
        <f t="shared" si="123"/>
        <v>0</v>
      </c>
      <c r="AL69" s="144">
        <f t="shared" si="123"/>
        <v>0</v>
      </c>
      <c r="AM69" s="144">
        <f t="shared" si="123"/>
        <v>0</v>
      </c>
      <c r="AN69" s="138">
        <f>IF(OR(GradeSheet!$M64="W (Withdrawn)", GradeSheet!$M64="I (Incomplete)"), 0, IF(AH69&gt;=55%, 1, 0))</f>
        <v>0</v>
      </c>
      <c r="AO69" s="145">
        <f>IF(OR(GradeSheet!$M64="W (Withdrawn)", GradeSheet!$M64="I (Incomplete)"), 0, IF(AI69&gt;=55%, 1, 0))</f>
        <v>0</v>
      </c>
      <c r="AP69" s="145">
        <f>IF(OR(GradeSheet!$M64="W (Withdrawn)", GradeSheet!$M64="I (Incomplete)"), 0, IF(AJ69&gt;=55%, 1, 0))</f>
        <v>0</v>
      </c>
      <c r="AQ69" s="145">
        <f>IF(OR(GradeSheet!$M64="W (Withdrawn)", GradeSheet!$M64="I (Incomplete)"), 0, IF(AK69&gt;=55%, 1, 0))</f>
        <v>0</v>
      </c>
      <c r="AR69" s="145">
        <f>IF(OR(GradeSheet!$M64="W (Withdrawn)", GradeSheet!$M64="I (Incomplete)"), 0, IF(AL69&gt;=55%, 1, 0))</f>
        <v>0</v>
      </c>
      <c r="AS69" s="146">
        <f>IF(OR(GradeSheet!$M64="W (Withdrawn)", GradeSheet!$M64="I (Incomplete)"), 0, IF(AM69&gt;=55%, 1, 0))</f>
        <v>0</v>
      </c>
      <c r="AU69" s="148">
        <f t="array" ref="AU69">IF($AT$9=0,0,MMULT($AH69:$AM69, AT$3:AT$8)/$AT$9)</f>
        <v>0</v>
      </c>
      <c r="AV69" s="148">
        <f t="array" ref="AV69">IF($AU$9=0,0,MMULT($AH69:$AM69, AU$3:AU$8)/$AU$9)</f>
        <v>0</v>
      </c>
      <c r="AW69" s="148">
        <f t="array" ref="AW69">IF($AV$9=0,0,MMULT($AH69:$AM69, AV$3:AV$8)/$AV$9)</f>
        <v>0</v>
      </c>
      <c r="AX69" s="148">
        <f t="array" ref="AX69">IF($AW$9=0,0,MMULT($AH69:$AM69, AW$3:AW$8)/$AW$9)</f>
        <v>0</v>
      </c>
      <c r="AY69" s="148">
        <f t="array" ref="AY69">IF($AX$9=0,0,MMULT($AH69:$AM69, AX$3:AX$8)/$AX$9)</f>
        <v>0</v>
      </c>
      <c r="AZ69" s="148">
        <f t="array" ref="AZ69">IF($AY$9=0,0,MMULT($AH69:$AM69, AY$3:AY$8)/$AY$9)</f>
        <v>0</v>
      </c>
      <c r="BA69" s="148">
        <f t="array" ref="BA69">IF($AZ$9=0,0,MMULT($AH69:$AM69, AZ$3:AZ$8)/$AZ$9)</f>
        <v>0</v>
      </c>
      <c r="BB69" s="148">
        <f t="array" ref="BB69">IF($BA$9=0,0,MMULT($AH69:$AM69, BA$3:BA$8)/$BA$9)</f>
        <v>0</v>
      </c>
      <c r="BC69" s="148">
        <f t="array" ref="BC69">IF($BB$9=0,0,MMULT($AH69:$AM69, BB$3:BB$8)/$BB$9)</f>
        <v>0</v>
      </c>
      <c r="BD69" s="148">
        <f t="array" ref="BD69">IF($BC$9=0,0,MMULT($AH69:$AM69, BC$3:BC$8)/$BC$9)</f>
        <v>0</v>
      </c>
      <c r="BE69" s="148">
        <f t="array" ref="BE69">IF($BD$9=0,0,MMULT($AH69:$AM69, BD$3:BD$8)/$BD$9)</f>
        <v>0</v>
      </c>
      <c r="BF69" s="148">
        <f t="array" ref="BF69">IF($BE$9=0,0,MMULT($AH69:$AM69, BE$3:BE$8)/$BE$9)</f>
        <v>0</v>
      </c>
      <c r="BG69" s="145">
        <f>IF(OR(GradeSheet!$M64="W (Withdrawn)", GradeSheet!$M64="I (Incomplete)"), 0, IF(AU69&gt;=65%, 1, 0))</f>
        <v>0</v>
      </c>
      <c r="BH69" s="145">
        <f>IF(OR(GradeSheet!$M64="W (Withdrawn)", GradeSheet!$M64="I (Incomplete)"), 0, IF(AV69&gt;=65%, 1, 0))</f>
        <v>0</v>
      </c>
      <c r="BI69" s="145">
        <f>IF(OR(GradeSheet!$M64="W (Withdrawn)", GradeSheet!$M64="I (Incomplete)"), 0, IF(AW69&gt;=65%, 1, 0))</f>
        <v>0</v>
      </c>
      <c r="BJ69" s="145">
        <f>IF(OR(GradeSheet!$M64="W (Withdrawn)", GradeSheet!$M64="I (Incomplete)"), 0, IF(AX69&gt;=65%, 1, 0))</f>
        <v>0</v>
      </c>
      <c r="BK69" s="145">
        <f>IF(OR(GradeSheet!$M64="W (Withdrawn)", GradeSheet!$M64="I (Incomplete)"), 0, IF(AY69&gt;=65%, 1, 0))</f>
        <v>0</v>
      </c>
      <c r="BL69" s="145">
        <f>IF(OR(GradeSheet!$M64="W (Withdrawn)", GradeSheet!$M64="I (Incomplete)"), 0, IF(AZ69&gt;=65%, 1, 0))</f>
        <v>0</v>
      </c>
      <c r="BM69" s="145">
        <f>IF(OR(GradeSheet!$M64="W (Withdrawn)", GradeSheet!$M64="I (Incomplete)"), 0, IF(BA69&gt;=65%, 1, 0))</f>
        <v>0</v>
      </c>
      <c r="BN69" s="145">
        <f>IF(OR(GradeSheet!$M64="W (Withdrawn)", GradeSheet!$M64="I (Incomplete)"), 0, IF(BB69&gt;=65%, 1, 0))</f>
        <v>0</v>
      </c>
      <c r="BO69" s="145">
        <f>IF(OR(GradeSheet!$M64="W (Withdrawn)", GradeSheet!$M64="I (Incomplete)"), 0, IF(BC69&gt;=65%, 1, 0))</f>
        <v>0</v>
      </c>
      <c r="BP69" s="145">
        <f>IF(OR(GradeSheet!$M64="W (Withdrawn)", GradeSheet!$M64="I (Incomplete)"), 0, IF(BD69&gt;=65%, 1, 0))</f>
        <v>0</v>
      </c>
      <c r="BQ69" s="145">
        <f>IF(OR(GradeSheet!$M64="W (Withdrawn)", GradeSheet!$M64="I (Incomplete)"), 0, IF(BE69&gt;=65%, 1, 0))</f>
        <v>0</v>
      </c>
      <c r="BR69" s="146">
        <f>IF(OR(GradeSheet!$M64="W (Withdrawn)", GradeSheet!$M64="I (Incomplete)"), 0, IF(BF69&gt;=65%, 1, 0))</f>
        <v>0</v>
      </c>
    </row>
    <row r="70" spans="1:70" ht="15.75">
      <c r="A70" s="142">
        <v>56</v>
      </c>
      <c r="B70" s="35">
        <f>GradeSheet!X65</f>
        <v>0</v>
      </c>
      <c r="C70" s="23">
        <f>GradeSheet!W65</f>
        <v>0</v>
      </c>
      <c r="D70" s="183">
        <v>0</v>
      </c>
      <c r="E70" s="183">
        <v>0</v>
      </c>
      <c r="F70" s="183">
        <v>0</v>
      </c>
      <c r="G70" s="183">
        <v>0</v>
      </c>
      <c r="H70" s="183">
        <v>0</v>
      </c>
      <c r="I70" s="183">
        <v>0</v>
      </c>
      <c r="J70" s="183">
        <v>0</v>
      </c>
      <c r="K70" s="183">
        <v>0</v>
      </c>
      <c r="L70" s="183">
        <v>0</v>
      </c>
      <c r="M70" s="183">
        <v>0</v>
      </c>
      <c r="N70" s="183">
        <v>0</v>
      </c>
      <c r="O70" s="183">
        <v>0</v>
      </c>
      <c r="P70" s="183">
        <v>0</v>
      </c>
      <c r="Q70" s="183">
        <v>0</v>
      </c>
      <c r="R70" s="183">
        <v>0</v>
      </c>
      <c r="S70" s="183">
        <v>0</v>
      </c>
      <c r="T70" s="183">
        <v>0</v>
      </c>
      <c r="U70" s="183">
        <v>0</v>
      </c>
      <c r="V70" s="183">
        <v>0</v>
      </c>
      <c r="W70" s="183">
        <v>0</v>
      </c>
      <c r="X70" s="183">
        <v>0</v>
      </c>
      <c r="Y70" s="183">
        <v>0</v>
      </c>
      <c r="Z70" s="183">
        <v>0</v>
      </c>
      <c r="AA70" s="183">
        <v>0</v>
      </c>
      <c r="AB70" s="135">
        <f t="shared" ref="AB70:AE70" si="124">SUM(V70,D70,J70, P70)</f>
        <v>0</v>
      </c>
      <c r="AC70" s="136">
        <f t="shared" si="124"/>
        <v>0</v>
      </c>
      <c r="AD70" s="136">
        <f t="shared" si="124"/>
        <v>0</v>
      </c>
      <c r="AE70" s="136">
        <f t="shared" si="124"/>
        <v>0</v>
      </c>
      <c r="AF70" s="143">
        <f t="shared" si="15"/>
        <v>0</v>
      </c>
      <c r="AG70" s="143">
        <f t="shared" si="16"/>
        <v>0</v>
      </c>
      <c r="AH70" s="137">
        <f t="shared" ref="AH70:AM70" si="125">IF(AB70 = 0, 0, AB70/AB$14)</f>
        <v>0</v>
      </c>
      <c r="AI70" s="144">
        <f t="shared" si="125"/>
        <v>0</v>
      </c>
      <c r="AJ70" s="144">
        <f t="shared" si="125"/>
        <v>0</v>
      </c>
      <c r="AK70" s="144">
        <f t="shared" si="125"/>
        <v>0</v>
      </c>
      <c r="AL70" s="144">
        <f t="shared" si="125"/>
        <v>0</v>
      </c>
      <c r="AM70" s="144">
        <f t="shared" si="125"/>
        <v>0</v>
      </c>
      <c r="AN70" s="138">
        <f>IF(OR(GradeSheet!$M65="W (Withdrawn)", GradeSheet!$M65="I (Incomplete)"), 0, IF(AH70&gt;=55%, 1, 0))</f>
        <v>0</v>
      </c>
      <c r="AO70" s="145">
        <f>IF(OR(GradeSheet!$M65="W (Withdrawn)", GradeSheet!$M65="I (Incomplete)"), 0, IF(AI70&gt;=55%, 1, 0))</f>
        <v>0</v>
      </c>
      <c r="AP70" s="145">
        <f>IF(OR(GradeSheet!$M65="W (Withdrawn)", GradeSheet!$M65="I (Incomplete)"), 0, IF(AJ70&gt;=55%, 1, 0))</f>
        <v>0</v>
      </c>
      <c r="AQ70" s="145">
        <f>IF(OR(GradeSheet!$M65="W (Withdrawn)", GradeSheet!$M65="I (Incomplete)"), 0, IF(AK70&gt;=55%, 1, 0))</f>
        <v>0</v>
      </c>
      <c r="AR70" s="145">
        <f>IF(OR(GradeSheet!$M65="W (Withdrawn)", GradeSheet!$M65="I (Incomplete)"), 0, IF(AL70&gt;=55%, 1, 0))</f>
        <v>0</v>
      </c>
      <c r="AS70" s="146">
        <f>IF(OR(GradeSheet!$M65="W (Withdrawn)", GradeSheet!$M65="I (Incomplete)"), 0, IF(AM70&gt;=55%, 1, 0))</f>
        <v>0</v>
      </c>
      <c r="AU70" s="148">
        <f t="array" ref="AU70">IF($AT$9=0,0,MMULT($AH70:$AM70, AT$3:AT$8)/$AT$9)</f>
        <v>0</v>
      </c>
      <c r="AV70" s="148">
        <f t="array" ref="AV70">IF($AU$9=0,0,MMULT($AH70:$AM70, AU$3:AU$8)/$AU$9)</f>
        <v>0</v>
      </c>
      <c r="AW70" s="148">
        <f t="array" ref="AW70">IF($AV$9=0,0,MMULT($AH70:$AM70, AV$3:AV$8)/$AV$9)</f>
        <v>0</v>
      </c>
      <c r="AX70" s="148">
        <f t="array" ref="AX70">IF($AW$9=0,0,MMULT($AH70:$AM70, AW$3:AW$8)/$AW$9)</f>
        <v>0</v>
      </c>
      <c r="AY70" s="148">
        <f t="array" ref="AY70">IF($AX$9=0,0,MMULT($AH70:$AM70, AX$3:AX$8)/$AX$9)</f>
        <v>0</v>
      </c>
      <c r="AZ70" s="148">
        <f t="array" ref="AZ70">IF($AY$9=0,0,MMULT($AH70:$AM70, AY$3:AY$8)/$AY$9)</f>
        <v>0</v>
      </c>
      <c r="BA70" s="148">
        <f t="array" ref="BA70">IF($AZ$9=0,0,MMULT($AH70:$AM70, AZ$3:AZ$8)/$AZ$9)</f>
        <v>0</v>
      </c>
      <c r="BB70" s="148">
        <f t="array" ref="BB70">IF($BA$9=0,0,MMULT($AH70:$AM70, BA$3:BA$8)/$BA$9)</f>
        <v>0</v>
      </c>
      <c r="BC70" s="148">
        <f t="array" ref="BC70">IF($BB$9=0,0,MMULT($AH70:$AM70, BB$3:BB$8)/$BB$9)</f>
        <v>0</v>
      </c>
      <c r="BD70" s="148">
        <f t="array" ref="BD70">IF($BC$9=0,0,MMULT($AH70:$AM70, BC$3:BC$8)/$BC$9)</f>
        <v>0</v>
      </c>
      <c r="BE70" s="148">
        <f t="array" ref="BE70">IF($BD$9=0,0,MMULT($AH70:$AM70, BD$3:BD$8)/$BD$9)</f>
        <v>0</v>
      </c>
      <c r="BF70" s="148">
        <f t="array" ref="BF70">IF($BE$9=0,0,MMULT($AH70:$AM70, BE$3:BE$8)/$BE$9)</f>
        <v>0</v>
      </c>
      <c r="BG70" s="145">
        <f>IF(OR(GradeSheet!$M65="W (Withdrawn)", GradeSheet!$M65="I (Incomplete)"), 0, IF(AU70&gt;=65%, 1, 0))</f>
        <v>0</v>
      </c>
      <c r="BH70" s="145">
        <f>IF(OR(GradeSheet!$M65="W (Withdrawn)", GradeSheet!$M65="I (Incomplete)"), 0, IF(AV70&gt;=65%, 1, 0))</f>
        <v>0</v>
      </c>
      <c r="BI70" s="145">
        <f>IF(OR(GradeSheet!$M65="W (Withdrawn)", GradeSheet!$M65="I (Incomplete)"), 0, IF(AW70&gt;=65%, 1, 0))</f>
        <v>0</v>
      </c>
      <c r="BJ70" s="145">
        <f>IF(OR(GradeSheet!$M65="W (Withdrawn)", GradeSheet!$M65="I (Incomplete)"), 0, IF(AX70&gt;=65%, 1, 0))</f>
        <v>0</v>
      </c>
      <c r="BK70" s="145">
        <f>IF(OR(GradeSheet!$M65="W (Withdrawn)", GradeSheet!$M65="I (Incomplete)"), 0, IF(AY70&gt;=65%, 1, 0))</f>
        <v>0</v>
      </c>
      <c r="BL70" s="145">
        <f>IF(OR(GradeSheet!$M65="W (Withdrawn)", GradeSheet!$M65="I (Incomplete)"), 0, IF(AZ70&gt;=65%, 1, 0))</f>
        <v>0</v>
      </c>
      <c r="BM70" s="145">
        <f>IF(OR(GradeSheet!$M65="W (Withdrawn)", GradeSheet!$M65="I (Incomplete)"), 0, IF(BA70&gt;=65%, 1, 0))</f>
        <v>0</v>
      </c>
      <c r="BN70" s="145">
        <f>IF(OR(GradeSheet!$M65="W (Withdrawn)", GradeSheet!$M65="I (Incomplete)"), 0, IF(BB70&gt;=65%, 1, 0))</f>
        <v>0</v>
      </c>
      <c r="BO70" s="145">
        <f>IF(OR(GradeSheet!$M65="W (Withdrawn)", GradeSheet!$M65="I (Incomplete)"), 0, IF(BC70&gt;=65%, 1, 0))</f>
        <v>0</v>
      </c>
      <c r="BP70" s="145">
        <f>IF(OR(GradeSheet!$M65="W (Withdrawn)", GradeSheet!$M65="I (Incomplete)"), 0, IF(BD70&gt;=65%, 1, 0))</f>
        <v>0</v>
      </c>
      <c r="BQ70" s="145">
        <f>IF(OR(GradeSheet!$M65="W (Withdrawn)", GradeSheet!$M65="I (Incomplete)"), 0, IF(BE70&gt;=65%, 1, 0))</f>
        <v>0</v>
      </c>
      <c r="BR70" s="146">
        <f>IF(OR(GradeSheet!$M65="W (Withdrawn)", GradeSheet!$M65="I (Incomplete)"), 0, IF(BF70&gt;=65%, 1, 0))</f>
        <v>0</v>
      </c>
    </row>
    <row r="71" spans="1:70" ht="15.75">
      <c r="A71" s="142">
        <v>57</v>
      </c>
      <c r="B71" s="35">
        <f>GradeSheet!X66</f>
        <v>0</v>
      </c>
      <c r="C71" s="23">
        <f>GradeSheet!W66</f>
        <v>0</v>
      </c>
      <c r="D71" s="183">
        <v>0</v>
      </c>
      <c r="E71" s="183">
        <v>0</v>
      </c>
      <c r="F71" s="183">
        <v>0</v>
      </c>
      <c r="G71" s="183">
        <v>0</v>
      </c>
      <c r="H71" s="183">
        <v>0</v>
      </c>
      <c r="I71" s="183">
        <v>0</v>
      </c>
      <c r="J71" s="183">
        <v>0</v>
      </c>
      <c r="K71" s="183">
        <v>0</v>
      </c>
      <c r="L71" s="183">
        <v>0</v>
      </c>
      <c r="M71" s="183">
        <v>0</v>
      </c>
      <c r="N71" s="183">
        <v>0</v>
      </c>
      <c r="O71" s="183">
        <v>0</v>
      </c>
      <c r="P71" s="183">
        <v>0</v>
      </c>
      <c r="Q71" s="183">
        <v>0</v>
      </c>
      <c r="R71" s="183">
        <v>0</v>
      </c>
      <c r="S71" s="183">
        <v>0</v>
      </c>
      <c r="T71" s="183">
        <v>0</v>
      </c>
      <c r="U71" s="183">
        <v>0</v>
      </c>
      <c r="V71" s="183">
        <v>0</v>
      </c>
      <c r="W71" s="183">
        <v>0</v>
      </c>
      <c r="X71" s="183">
        <v>0</v>
      </c>
      <c r="Y71" s="183">
        <v>0</v>
      </c>
      <c r="Z71" s="183">
        <v>0</v>
      </c>
      <c r="AA71" s="183">
        <v>0</v>
      </c>
      <c r="AB71" s="135">
        <f t="shared" ref="AB71:AE71" si="126">SUM(V71,D71,J71, P71)</f>
        <v>0</v>
      </c>
      <c r="AC71" s="136">
        <f t="shared" si="126"/>
        <v>0</v>
      </c>
      <c r="AD71" s="136">
        <f t="shared" si="126"/>
        <v>0</v>
      </c>
      <c r="AE71" s="136">
        <f t="shared" si="126"/>
        <v>0</v>
      </c>
      <c r="AF71" s="143">
        <f t="shared" si="15"/>
        <v>0</v>
      </c>
      <c r="AG71" s="143">
        <f t="shared" si="16"/>
        <v>0</v>
      </c>
      <c r="AH71" s="137">
        <f t="shared" ref="AH71:AM71" si="127">IF(AB71 = 0, 0, AB71/AB$14)</f>
        <v>0</v>
      </c>
      <c r="AI71" s="144">
        <f t="shared" si="127"/>
        <v>0</v>
      </c>
      <c r="AJ71" s="144">
        <f t="shared" si="127"/>
        <v>0</v>
      </c>
      <c r="AK71" s="144">
        <f t="shared" si="127"/>
        <v>0</v>
      </c>
      <c r="AL71" s="144">
        <f t="shared" si="127"/>
        <v>0</v>
      </c>
      <c r="AM71" s="144">
        <f t="shared" si="127"/>
        <v>0</v>
      </c>
      <c r="AN71" s="138">
        <f>IF(OR(GradeSheet!$M66="W (Withdrawn)", GradeSheet!$M66="I (Incomplete)"), 0, IF(AH71&gt;=55%, 1, 0))</f>
        <v>0</v>
      </c>
      <c r="AO71" s="145">
        <f>IF(OR(GradeSheet!$M66="W (Withdrawn)", GradeSheet!$M66="I (Incomplete)"), 0, IF(AI71&gt;=55%, 1, 0))</f>
        <v>0</v>
      </c>
      <c r="AP71" s="145">
        <f>IF(OR(GradeSheet!$M66="W (Withdrawn)", GradeSheet!$M66="I (Incomplete)"), 0, IF(AJ71&gt;=55%, 1, 0))</f>
        <v>0</v>
      </c>
      <c r="AQ71" s="145">
        <f>IF(OR(GradeSheet!$M66="W (Withdrawn)", GradeSheet!$M66="I (Incomplete)"), 0, IF(AK71&gt;=55%, 1, 0))</f>
        <v>0</v>
      </c>
      <c r="AR71" s="145">
        <f>IF(OR(GradeSheet!$M66="W (Withdrawn)", GradeSheet!$M66="I (Incomplete)"), 0, IF(AL71&gt;=55%, 1, 0))</f>
        <v>0</v>
      </c>
      <c r="AS71" s="146">
        <f>IF(OR(GradeSheet!$M66="W (Withdrawn)", GradeSheet!$M66="I (Incomplete)"), 0, IF(AM71&gt;=55%, 1, 0))</f>
        <v>0</v>
      </c>
      <c r="AU71" s="148">
        <f t="array" ref="AU71">IF($AT$9=0,0,MMULT($AH71:$AM71, AT$3:AT$8)/$AT$9)</f>
        <v>0</v>
      </c>
      <c r="AV71" s="148">
        <f t="array" ref="AV71">IF($AU$9=0,0,MMULT($AH71:$AM71, AU$3:AU$8)/$AU$9)</f>
        <v>0</v>
      </c>
      <c r="AW71" s="148">
        <f t="array" ref="AW71">IF($AV$9=0,0,MMULT($AH71:$AM71, AV$3:AV$8)/$AV$9)</f>
        <v>0</v>
      </c>
      <c r="AX71" s="148">
        <f t="array" ref="AX71">IF($AW$9=0,0,MMULT($AH71:$AM71, AW$3:AW$8)/$AW$9)</f>
        <v>0</v>
      </c>
      <c r="AY71" s="148">
        <f t="array" ref="AY71">IF($AX$9=0,0,MMULT($AH71:$AM71, AX$3:AX$8)/$AX$9)</f>
        <v>0</v>
      </c>
      <c r="AZ71" s="148">
        <f t="array" ref="AZ71">IF($AY$9=0,0,MMULT($AH71:$AM71, AY$3:AY$8)/$AY$9)</f>
        <v>0</v>
      </c>
      <c r="BA71" s="148">
        <f t="array" ref="BA71">IF($AZ$9=0,0,MMULT($AH71:$AM71, AZ$3:AZ$8)/$AZ$9)</f>
        <v>0</v>
      </c>
      <c r="BB71" s="148">
        <f t="array" ref="BB71">IF($BA$9=0,0,MMULT($AH71:$AM71, BA$3:BA$8)/$BA$9)</f>
        <v>0</v>
      </c>
      <c r="BC71" s="148">
        <f t="array" ref="BC71">IF($BB$9=0,0,MMULT($AH71:$AM71, BB$3:BB$8)/$BB$9)</f>
        <v>0</v>
      </c>
      <c r="BD71" s="148">
        <f t="array" ref="BD71">IF($BC$9=0,0,MMULT($AH71:$AM71, BC$3:BC$8)/$BC$9)</f>
        <v>0</v>
      </c>
      <c r="BE71" s="148">
        <f t="array" ref="BE71">IF($BD$9=0,0,MMULT($AH71:$AM71, BD$3:BD$8)/$BD$9)</f>
        <v>0</v>
      </c>
      <c r="BF71" s="148">
        <f t="array" ref="BF71">IF($BE$9=0,0,MMULT($AH71:$AM71, BE$3:BE$8)/$BE$9)</f>
        <v>0</v>
      </c>
      <c r="BG71" s="145">
        <f>IF(OR(GradeSheet!$M66="W (Withdrawn)", GradeSheet!$M66="I (Incomplete)"), 0, IF(AU71&gt;=65%, 1, 0))</f>
        <v>0</v>
      </c>
      <c r="BH71" s="145">
        <f>IF(OR(GradeSheet!$M66="W (Withdrawn)", GradeSheet!$M66="I (Incomplete)"), 0, IF(AV71&gt;=65%, 1, 0))</f>
        <v>0</v>
      </c>
      <c r="BI71" s="145">
        <f>IF(OR(GradeSheet!$M66="W (Withdrawn)", GradeSheet!$M66="I (Incomplete)"), 0, IF(AW71&gt;=65%, 1, 0))</f>
        <v>0</v>
      </c>
      <c r="BJ71" s="145">
        <f>IF(OR(GradeSheet!$M66="W (Withdrawn)", GradeSheet!$M66="I (Incomplete)"), 0, IF(AX71&gt;=65%, 1, 0))</f>
        <v>0</v>
      </c>
      <c r="BK71" s="145">
        <f>IF(OR(GradeSheet!$M66="W (Withdrawn)", GradeSheet!$M66="I (Incomplete)"), 0, IF(AY71&gt;=65%, 1, 0))</f>
        <v>0</v>
      </c>
      <c r="BL71" s="145">
        <f>IF(OR(GradeSheet!$M66="W (Withdrawn)", GradeSheet!$M66="I (Incomplete)"), 0, IF(AZ71&gt;=65%, 1, 0))</f>
        <v>0</v>
      </c>
      <c r="BM71" s="145">
        <f>IF(OR(GradeSheet!$M66="W (Withdrawn)", GradeSheet!$M66="I (Incomplete)"), 0, IF(BA71&gt;=65%, 1, 0))</f>
        <v>0</v>
      </c>
      <c r="BN71" s="145">
        <f>IF(OR(GradeSheet!$M66="W (Withdrawn)", GradeSheet!$M66="I (Incomplete)"), 0, IF(BB71&gt;=65%, 1, 0))</f>
        <v>0</v>
      </c>
      <c r="BO71" s="145">
        <f>IF(OR(GradeSheet!$M66="W (Withdrawn)", GradeSheet!$M66="I (Incomplete)"), 0, IF(BC71&gt;=65%, 1, 0))</f>
        <v>0</v>
      </c>
      <c r="BP71" s="145">
        <f>IF(OR(GradeSheet!$M66="W (Withdrawn)", GradeSheet!$M66="I (Incomplete)"), 0, IF(BD71&gt;=65%, 1, 0))</f>
        <v>0</v>
      </c>
      <c r="BQ71" s="145">
        <f>IF(OR(GradeSheet!$M66="W (Withdrawn)", GradeSheet!$M66="I (Incomplete)"), 0, IF(BE71&gt;=65%, 1, 0))</f>
        <v>0</v>
      </c>
      <c r="BR71" s="146">
        <f>IF(OR(GradeSheet!$M66="W (Withdrawn)", GradeSheet!$M66="I (Incomplete)"), 0, IF(BF71&gt;=65%, 1, 0))</f>
        <v>0</v>
      </c>
    </row>
    <row r="72" spans="1:70" ht="15.75">
      <c r="A72" s="142">
        <v>58</v>
      </c>
      <c r="B72" s="35">
        <f>GradeSheet!X67</f>
        <v>0</v>
      </c>
      <c r="C72" s="23">
        <f>GradeSheet!W67</f>
        <v>0</v>
      </c>
      <c r="D72" s="183">
        <v>0</v>
      </c>
      <c r="E72" s="183">
        <v>0</v>
      </c>
      <c r="F72" s="183">
        <v>0</v>
      </c>
      <c r="G72" s="183">
        <v>0</v>
      </c>
      <c r="H72" s="183">
        <v>0</v>
      </c>
      <c r="I72" s="183">
        <v>0</v>
      </c>
      <c r="J72" s="183">
        <v>0</v>
      </c>
      <c r="K72" s="183">
        <v>0</v>
      </c>
      <c r="L72" s="183">
        <v>0</v>
      </c>
      <c r="M72" s="183">
        <v>0</v>
      </c>
      <c r="N72" s="183">
        <v>0</v>
      </c>
      <c r="O72" s="183">
        <v>0</v>
      </c>
      <c r="P72" s="183">
        <v>0</v>
      </c>
      <c r="Q72" s="183">
        <v>0</v>
      </c>
      <c r="R72" s="183">
        <v>0</v>
      </c>
      <c r="S72" s="183">
        <v>0</v>
      </c>
      <c r="T72" s="183">
        <v>0</v>
      </c>
      <c r="U72" s="183">
        <v>0</v>
      </c>
      <c r="V72" s="183">
        <v>0</v>
      </c>
      <c r="W72" s="183">
        <v>0</v>
      </c>
      <c r="X72" s="183">
        <v>0</v>
      </c>
      <c r="Y72" s="183">
        <v>0</v>
      </c>
      <c r="Z72" s="183">
        <v>0</v>
      </c>
      <c r="AA72" s="183">
        <v>0</v>
      </c>
      <c r="AB72" s="135">
        <f t="shared" ref="AB72:AE72" si="128">SUM(V72,D72,J72, P72)</f>
        <v>0</v>
      </c>
      <c r="AC72" s="136">
        <f t="shared" si="128"/>
        <v>0</v>
      </c>
      <c r="AD72" s="136">
        <f t="shared" si="128"/>
        <v>0</v>
      </c>
      <c r="AE72" s="136">
        <f t="shared" si="128"/>
        <v>0</v>
      </c>
      <c r="AF72" s="143">
        <f t="shared" si="15"/>
        <v>0</v>
      </c>
      <c r="AG72" s="143">
        <f t="shared" si="16"/>
        <v>0</v>
      </c>
      <c r="AH72" s="137">
        <f t="shared" ref="AH72:AM72" si="129">IF(AB72 = 0, 0, AB72/AB$14)</f>
        <v>0</v>
      </c>
      <c r="AI72" s="144">
        <f t="shared" si="129"/>
        <v>0</v>
      </c>
      <c r="AJ72" s="144">
        <f t="shared" si="129"/>
        <v>0</v>
      </c>
      <c r="AK72" s="144">
        <f t="shared" si="129"/>
        <v>0</v>
      </c>
      <c r="AL72" s="144">
        <f t="shared" si="129"/>
        <v>0</v>
      </c>
      <c r="AM72" s="144">
        <f t="shared" si="129"/>
        <v>0</v>
      </c>
      <c r="AN72" s="138">
        <f>IF(OR(GradeSheet!$M67="W (Withdrawn)", GradeSheet!$M67="I (Incomplete)"), 0, IF(AH72&gt;=55%, 1, 0))</f>
        <v>0</v>
      </c>
      <c r="AO72" s="145">
        <f>IF(OR(GradeSheet!$M67="W (Withdrawn)", GradeSheet!$M67="I (Incomplete)"), 0, IF(AI72&gt;=55%, 1, 0))</f>
        <v>0</v>
      </c>
      <c r="AP72" s="145">
        <f>IF(OR(GradeSheet!$M67="W (Withdrawn)", GradeSheet!$M67="I (Incomplete)"), 0, IF(AJ72&gt;=55%, 1, 0))</f>
        <v>0</v>
      </c>
      <c r="AQ72" s="145">
        <f>IF(OR(GradeSheet!$M67="W (Withdrawn)", GradeSheet!$M67="I (Incomplete)"), 0, IF(AK72&gt;=55%, 1, 0))</f>
        <v>0</v>
      </c>
      <c r="AR72" s="145">
        <f>IF(OR(GradeSheet!$M67="W (Withdrawn)", GradeSheet!$M67="I (Incomplete)"), 0, IF(AL72&gt;=55%, 1, 0))</f>
        <v>0</v>
      </c>
      <c r="AS72" s="146">
        <f>IF(OR(GradeSheet!$M67="W (Withdrawn)", GradeSheet!$M67="I (Incomplete)"), 0, IF(AM72&gt;=55%, 1, 0))</f>
        <v>0</v>
      </c>
      <c r="AU72" s="148">
        <f t="array" ref="AU72">IF($AT$9=0,0,MMULT($AH72:$AM72, AT$3:AT$8)/$AT$9)</f>
        <v>0</v>
      </c>
      <c r="AV72" s="148">
        <f t="array" ref="AV72">IF($AU$9=0,0,MMULT($AH72:$AM72, AU$3:AU$8)/$AU$9)</f>
        <v>0</v>
      </c>
      <c r="AW72" s="148">
        <f t="array" ref="AW72">IF($AV$9=0,0,MMULT($AH72:$AM72, AV$3:AV$8)/$AV$9)</f>
        <v>0</v>
      </c>
      <c r="AX72" s="148">
        <f t="array" ref="AX72">IF($AW$9=0,0,MMULT($AH72:$AM72, AW$3:AW$8)/$AW$9)</f>
        <v>0</v>
      </c>
      <c r="AY72" s="148">
        <f t="array" ref="AY72">IF($AX$9=0,0,MMULT($AH72:$AM72, AX$3:AX$8)/$AX$9)</f>
        <v>0</v>
      </c>
      <c r="AZ72" s="148">
        <f t="array" ref="AZ72">IF($AY$9=0,0,MMULT($AH72:$AM72, AY$3:AY$8)/$AY$9)</f>
        <v>0</v>
      </c>
      <c r="BA72" s="148">
        <f t="array" ref="BA72">IF($AZ$9=0,0,MMULT($AH72:$AM72, AZ$3:AZ$8)/$AZ$9)</f>
        <v>0</v>
      </c>
      <c r="BB72" s="148">
        <f t="array" ref="BB72">IF($BA$9=0,0,MMULT($AH72:$AM72, BA$3:BA$8)/$BA$9)</f>
        <v>0</v>
      </c>
      <c r="BC72" s="148">
        <f t="array" ref="BC72">IF($BB$9=0,0,MMULT($AH72:$AM72, BB$3:BB$8)/$BB$9)</f>
        <v>0</v>
      </c>
      <c r="BD72" s="148">
        <f t="array" ref="BD72">IF($BC$9=0,0,MMULT($AH72:$AM72, BC$3:BC$8)/$BC$9)</f>
        <v>0</v>
      </c>
      <c r="BE72" s="148">
        <f t="array" ref="BE72">IF($BD$9=0,0,MMULT($AH72:$AM72, BD$3:BD$8)/$BD$9)</f>
        <v>0</v>
      </c>
      <c r="BF72" s="148">
        <f t="array" ref="BF72">IF($BE$9=0,0,MMULT($AH72:$AM72, BE$3:BE$8)/$BE$9)</f>
        <v>0</v>
      </c>
      <c r="BG72" s="145">
        <f>IF(OR(GradeSheet!$M67="W (Withdrawn)", GradeSheet!$M67="I (Incomplete)"), 0, IF(AU72&gt;=65%, 1, 0))</f>
        <v>0</v>
      </c>
      <c r="BH72" s="145">
        <f>IF(OR(GradeSheet!$M67="W (Withdrawn)", GradeSheet!$M67="I (Incomplete)"), 0, IF(AV72&gt;=65%, 1, 0))</f>
        <v>0</v>
      </c>
      <c r="BI72" s="145">
        <f>IF(OR(GradeSheet!$M67="W (Withdrawn)", GradeSheet!$M67="I (Incomplete)"), 0, IF(AW72&gt;=65%, 1, 0))</f>
        <v>0</v>
      </c>
      <c r="BJ72" s="145">
        <f>IF(OR(GradeSheet!$M67="W (Withdrawn)", GradeSheet!$M67="I (Incomplete)"), 0, IF(AX72&gt;=65%, 1, 0))</f>
        <v>0</v>
      </c>
      <c r="BK72" s="145">
        <f>IF(OR(GradeSheet!$M67="W (Withdrawn)", GradeSheet!$M67="I (Incomplete)"), 0, IF(AY72&gt;=65%, 1, 0))</f>
        <v>0</v>
      </c>
      <c r="BL72" s="145">
        <f>IF(OR(GradeSheet!$M67="W (Withdrawn)", GradeSheet!$M67="I (Incomplete)"), 0, IF(AZ72&gt;=65%, 1, 0))</f>
        <v>0</v>
      </c>
      <c r="BM72" s="145">
        <f>IF(OR(GradeSheet!$M67="W (Withdrawn)", GradeSheet!$M67="I (Incomplete)"), 0, IF(BA72&gt;=65%, 1, 0))</f>
        <v>0</v>
      </c>
      <c r="BN72" s="145">
        <f>IF(OR(GradeSheet!$M67="W (Withdrawn)", GradeSheet!$M67="I (Incomplete)"), 0, IF(BB72&gt;=65%, 1, 0))</f>
        <v>0</v>
      </c>
      <c r="BO72" s="145">
        <f>IF(OR(GradeSheet!$M67="W (Withdrawn)", GradeSheet!$M67="I (Incomplete)"), 0, IF(BC72&gt;=65%, 1, 0))</f>
        <v>0</v>
      </c>
      <c r="BP72" s="145">
        <f>IF(OR(GradeSheet!$M67="W (Withdrawn)", GradeSheet!$M67="I (Incomplete)"), 0, IF(BD72&gt;=65%, 1, 0))</f>
        <v>0</v>
      </c>
      <c r="BQ72" s="145">
        <f>IF(OR(GradeSheet!$M67="W (Withdrawn)", GradeSheet!$M67="I (Incomplete)"), 0, IF(BE72&gt;=65%, 1, 0))</f>
        <v>0</v>
      </c>
      <c r="BR72" s="146">
        <f>IF(OR(GradeSheet!$M67="W (Withdrawn)", GradeSheet!$M67="I (Incomplete)"), 0, IF(BF72&gt;=65%, 1, 0))</f>
        <v>0</v>
      </c>
    </row>
    <row r="73" spans="1:70" ht="15.75">
      <c r="A73" s="142">
        <v>59</v>
      </c>
      <c r="B73" s="35">
        <f>GradeSheet!X68</f>
        <v>0</v>
      </c>
      <c r="C73" s="23">
        <f>GradeSheet!W68</f>
        <v>0</v>
      </c>
      <c r="D73" s="183">
        <v>0</v>
      </c>
      <c r="E73" s="183">
        <v>0</v>
      </c>
      <c r="F73" s="183">
        <v>0</v>
      </c>
      <c r="G73" s="183">
        <v>0</v>
      </c>
      <c r="H73" s="183">
        <v>0</v>
      </c>
      <c r="I73" s="183">
        <v>0</v>
      </c>
      <c r="J73" s="183">
        <v>0</v>
      </c>
      <c r="K73" s="183">
        <v>0</v>
      </c>
      <c r="L73" s="183">
        <v>0</v>
      </c>
      <c r="M73" s="183">
        <v>0</v>
      </c>
      <c r="N73" s="183">
        <v>0</v>
      </c>
      <c r="O73" s="183">
        <v>0</v>
      </c>
      <c r="P73" s="183">
        <v>0</v>
      </c>
      <c r="Q73" s="183">
        <v>0</v>
      </c>
      <c r="R73" s="183">
        <v>0</v>
      </c>
      <c r="S73" s="183">
        <v>0</v>
      </c>
      <c r="T73" s="183">
        <v>0</v>
      </c>
      <c r="U73" s="183">
        <v>0</v>
      </c>
      <c r="V73" s="183">
        <v>0</v>
      </c>
      <c r="W73" s="183">
        <v>0</v>
      </c>
      <c r="X73" s="183">
        <v>0</v>
      </c>
      <c r="Y73" s="183">
        <v>0</v>
      </c>
      <c r="Z73" s="183">
        <v>0</v>
      </c>
      <c r="AA73" s="183">
        <v>0</v>
      </c>
      <c r="AB73" s="135">
        <f t="shared" ref="AB73:AE73" si="130">SUM(V73,D73,J73, P73)</f>
        <v>0</v>
      </c>
      <c r="AC73" s="136">
        <f t="shared" si="130"/>
        <v>0</v>
      </c>
      <c r="AD73" s="136">
        <f t="shared" si="130"/>
        <v>0</v>
      </c>
      <c r="AE73" s="136">
        <f t="shared" si="130"/>
        <v>0</v>
      </c>
      <c r="AF73" s="143">
        <f t="shared" si="15"/>
        <v>0</v>
      </c>
      <c r="AG73" s="143">
        <f t="shared" si="16"/>
        <v>0</v>
      </c>
      <c r="AH73" s="137">
        <f t="shared" ref="AH73:AM73" si="131">IF(AB73 = 0, 0, AB73/AB$14)</f>
        <v>0</v>
      </c>
      <c r="AI73" s="144">
        <f t="shared" si="131"/>
        <v>0</v>
      </c>
      <c r="AJ73" s="144">
        <f t="shared" si="131"/>
        <v>0</v>
      </c>
      <c r="AK73" s="144">
        <f t="shared" si="131"/>
        <v>0</v>
      </c>
      <c r="AL73" s="144">
        <f t="shared" si="131"/>
        <v>0</v>
      </c>
      <c r="AM73" s="144">
        <f t="shared" si="131"/>
        <v>0</v>
      </c>
      <c r="AN73" s="138">
        <f>IF(OR(GradeSheet!$M68="W (Withdrawn)", GradeSheet!$M68="I (Incomplete)"), 0, IF(AH73&gt;=55%, 1, 0))</f>
        <v>0</v>
      </c>
      <c r="AO73" s="145">
        <f>IF(OR(GradeSheet!$M68="W (Withdrawn)", GradeSheet!$M68="I (Incomplete)"), 0, IF(AI73&gt;=55%, 1, 0))</f>
        <v>0</v>
      </c>
      <c r="AP73" s="145">
        <f>IF(OR(GradeSheet!$M68="W (Withdrawn)", GradeSheet!$M68="I (Incomplete)"), 0, IF(AJ73&gt;=55%, 1, 0))</f>
        <v>0</v>
      </c>
      <c r="AQ73" s="145">
        <f>IF(OR(GradeSheet!$M68="W (Withdrawn)", GradeSheet!$M68="I (Incomplete)"), 0, IF(AK73&gt;=55%, 1, 0))</f>
        <v>0</v>
      </c>
      <c r="AR73" s="145">
        <f>IF(OR(GradeSheet!$M68="W (Withdrawn)", GradeSheet!$M68="I (Incomplete)"), 0, IF(AL73&gt;=55%, 1, 0))</f>
        <v>0</v>
      </c>
      <c r="AS73" s="146">
        <f>IF(OR(GradeSheet!$M68="W (Withdrawn)", GradeSheet!$M68="I (Incomplete)"), 0, IF(AM73&gt;=55%, 1, 0))</f>
        <v>0</v>
      </c>
      <c r="AU73" s="148">
        <f t="array" ref="AU73">IF($AT$9=0,0,MMULT($AH73:$AM73, AT$3:AT$8)/$AT$9)</f>
        <v>0</v>
      </c>
      <c r="AV73" s="148">
        <f t="array" ref="AV73">IF($AU$9=0,0,MMULT($AH73:$AM73, AU$3:AU$8)/$AU$9)</f>
        <v>0</v>
      </c>
      <c r="AW73" s="148">
        <f t="array" ref="AW73">IF($AV$9=0,0,MMULT($AH73:$AM73, AV$3:AV$8)/$AV$9)</f>
        <v>0</v>
      </c>
      <c r="AX73" s="148">
        <f t="array" ref="AX73">IF($AW$9=0,0,MMULT($AH73:$AM73, AW$3:AW$8)/$AW$9)</f>
        <v>0</v>
      </c>
      <c r="AY73" s="148">
        <f t="array" ref="AY73">IF($AX$9=0,0,MMULT($AH73:$AM73, AX$3:AX$8)/$AX$9)</f>
        <v>0</v>
      </c>
      <c r="AZ73" s="148">
        <f t="array" ref="AZ73">IF($AY$9=0,0,MMULT($AH73:$AM73, AY$3:AY$8)/$AY$9)</f>
        <v>0</v>
      </c>
      <c r="BA73" s="148">
        <f t="array" ref="BA73">IF($AZ$9=0,0,MMULT($AH73:$AM73, AZ$3:AZ$8)/$AZ$9)</f>
        <v>0</v>
      </c>
      <c r="BB73" s="148">
        <f t="array" ref="BB73">IF($BA$9=0,0,MMULT($AH73:$AM73, BA$3:BA$8)/$BA$9)</f>
        <v>0</v>
      </c>
      <c r="BC73" s="148">
        <f t="array" ref="BC73">IF($BB$9=0,0,MMULT($AH73:$AM73, BB$3:BB$8)/$BB$9)</f>
        <v>0</v>
      </c>
      <c r="BD73" s="148">
        <f t="array" ref="BD73">IF($BC$9=0,0,MMULT($AH73:$AM73, BC$3:BC$8)/$BC$9)</f>
        <v>0</v>
      </c>
      <c r="BE73" s="148">
        <f t="array" ref="BE73">IF($BD$9=0,0,MMULT($AH73:$AM73, BD$3:BD$8)/$BD$9)</f>
        <v>0</v>
      </c>
      <c r="BF73" s="148">
        <f t="array" ref="BF73">IF($BE$9=0,0,MMULT($AH73:$AM73, BE$3:BE$8)/$BE$9)</f>
        <v>0</v>
      </c>
      <c r="BG73" s="145">
        <f>IF(OR(GradeSheet!$M68="W (Withdrawn)", GradeSheet!$M68="I (Incomplete)"), 0, IF(AU73&gt;=65%, 1, 0))</f>
        <v>0</v>
      </c>
      <c r="BH73" s="145">
        <f>IF(OR(GradeSheet!$M68="W (Withdrawn)", GradeSheet!$M68="I (Incomplete)"), 0, IF(AV73&gt;=65%, 1, 0))</f>
        <v>0</v>
      </c>
      <c r="BI73" s="145">
        <f>IF(OR(GradeSheet!$M68="W (Withdrawn)", GradeSheet!$M68="I (Incomplete)"), 0, IF(AW73&gt;=65%, 1, 0))</f>
        <v>0</v>
      </c>
      <c r="BJ73" s="145">
        <f>IF(OR(GradeSheet!$M68="W (Withdrawn)", GradeSheet!$M68="I (Incomplete)"), 0, IF(AX73&gt;=65%, 1, 0))</f>
        <v>0</v>
      </c>
      <c r="BK73" s="145">
        <f>IF(OR(GradeSheet!$M68="W (Withdrawn)", GradeSheet!$M68="I (Incomplete)"), 0, IF(AY73&gt;=65%, 1, 0))</f>
        <v>0</v>
      </c>
      <c r="BL73" s="145">
        <f>IF(OR(GradeSheet!$M68="W (Withdrawn)", GradeSheet!$M68="I (Incomplete)"), 0, IF(AZ73&gt;=65%, 1, 0))</f>
        <v>0</v>
      </c>
      <c r="BM73" s="145">
        <f>IF(OR(GradeSheet!$M68="W (Withdrawn)", GradeSheet!$M68="I (Incomplete)"), 0, IF(BA73&gt;=65%, 1, 0))</f>
        <v>0</v>
      </c>
      <c r="BN73" s="145">
        <f>IF(OR(GradeSheet!$M68="W (Withdrawn)", GradeSheet!$M68="I (Incomplete)"), 0, IF(BB73&gt;=65%, 1, 0))</f>
        <v>0</v>
      </c>
      <c r="BO73" s="145">
        <f>IF(OR(GradeSheet!$M68="W (Withdrawn)", GradeSheet!$M68="I (Incomplete)"), 0, IF(BC73&gt;=65%, 1, 0))</f>
        <v>0</v>
      </c>
      <c r="BP73" s="145">
        <f>IF(OR(GradeSheet!$M68="W (Withdrawn)", GradeSheet!$M68="I (Incomplete)"), 0, IF(BD73&gt;=65%, 1, 0))</f>
        <v>0</v>
      </c>
      <c r="BQ73" s="145">
        <f>IF(OR(GradeSheet!$M68="W (Withdrawn)", GradeSheet!$M68="I (Incomplete)"), 0, IF(BE73&gt;=65%, 1, 0))</f>
        <v>0</v>
      </c>
      <c r="BR73" s="146">
        <f>IF(OR(GradeSheet!$M68="W (Withdrawn)", GradeSheet!$M68="I (Incomplete)"), 0, IF(BF73&gt;=65%, 1, 0))</f>
        <v>0</v>
      </c>
    </row>
    <row r="74" spans="1:70" ht="15.75" customHeight="1">
      <c r="A74" s="142">
        <v>60</v>
      </c>
      <c r="B74" s="35">
        <f>GradeSheet!X69</f>
        <v>0</v>
      </c>
      <c r="C74" s="23">
        <f>GradeSheet!W69</f>
        <v>0</v>
      </c>
      <c r="D74" s="183">
        <v>0</v>
      </c>
      <c r="E74" s="183">
        <v>0</v>
      </c>
      <c r="F74" s="183">
        <v>0</v>
      </c>
      <c r="G74" s="183">
        <v>0</v>
      </c>
      <c r="H74" s="183">
        <v>0</v>
      </c>
      <c r="I74" s="183">
        <v>0</v>
      </c>
      <c r="J74" s="183">
        <v>0</v>
      </c>
      <c r="K74" s="183">
        <v>0</v>
      </c>
      <c r="L74" s="183">
        <v>0</v>
      </c>
      <c r="M74" s="183">
        <v>0</v>
      </c>
      <c r="N74" s="183">
        <v>0</v>
      </c>
      <c r="O74" s="183">
        <v>0</v>
      </c>
      <c r="P74" s="183">
        <v>0</v>
      </c>
      <c r="Q74" s="183">
        <v>0</v>
      </c>
      <c r="R74" s="183">
        <v>0</v>
      </c>
      <c r="S74" s="183">
        <v>0</v>
      </c>
      <c r="T74" s="183">
        <v>0</v>
      </c>
      <c r="U74" s="183">
        <v>0</v>
      </c>
      <c r="V74" s="183">
        <v>0</v>
      </c>
      <c r="W74" s="183">
        <v>0</v>
      </c>
      <c r="X74" s="183">
        <v>0</v>
      </c>
      <c r="Y74" s="183">
        <v>0</v>
      </c>
      <c r="Z74" s="183">
        <v>0</v>
      </c>
      <c r="AA74" s="183">
        <v>0</v>
      </c>
      <c r="AB74" s="135">
        <f t="shared" ref="AB74:AE74" si="132">SUM(V74,D74,J74, P74)</f>
        <v>0</v>
      </c>
      <c r="AC74" s="136">
        <f t="shared" si="132"/>
        <v>0</v>
      </c>
      <c r="AD74" s="136">
        <f t="shared" si="132"/>
        <v>0</v>
      </c>
      <c r="AE74" s="136">
        <f t="shared" si="132"/>
        <v>0</v>
      </c>
      <c r="AF74" s="143">
        <f t="shared" si="15"/>
        <v>0</v>
      </c>
      <c r="AG74" s="143">
        <f t="shared" si="16"/>
        <v>0</v>
      </c>
      <c r="AH74" s="137">
        <f t="shared" ref="AH74:AM74" si="133">IF(AB74 = 0, 0, AB74/AB$14)</f>
        <v>0</v>
      </c>
      <c r="AI74" s="144">
        <f t="shared" si="133"/>
        <v>0</v>
      </c>
      <c r="AJ74" s="144">
        <f t="shared" si="133"/>
        <v>0</v>
      </c>
      <c r="AK74" s="144">
        <f t="shared" si="133"/>
        <v>0</v>
      </c>
      <c r="AL74" s="144">
        <f t="shared" si="133"/>
        <v>0</v>
      </c>
      <c r="AM74" s="144">
        <f t="shared" si="133"/>
        <v>0</v>
      </c>
      <c r="AN74" s="138">
        <f>IF(OR(GradeSheet!$M69="W (Withdrawn)", GradeSheet!$M69="I (Incomplete)"), 0, IF(AH74&gt;=55%, 1, 0))</f>
        <v>0</v>
      </c>
      <c r="AO74" s="145">
        <f>IF(OR(GradeSheet!$M69="W (Withdrawn)", GradeSheet!$M69="I (Incomplete)"), 0, IF(AI74&gt;=55%, 1, 0))</f>
        <v>0</v>
      </c>
      <c r="AP74" s="145">
        <f>IF(OR(GradeSheet!$M69="W (Withdrawn)", GradeSheet!$M69="I (Incomplete)"), 0, IF(AJ74&gt;=55%, 1, 0))</f>
        <v>0</v>
      </c>
      <c r="AQ74" s="145">
        <f>IF(OR(GradeSheet!$M69="W (Withdrawn)", GradeSheet!$M69="I (Incomplete)"), 0, IF(AK74&gt;=55%, 1, 0))</f>
        <v>0</v>
      </c>
      <c r="AR74" s="145">
        <f>IF(OR(GradeSheet!$M69="W (Withdrawn)", GradeSheet!$M69="I (Incomplete)"), 0, IF(AL74&gt;=55%, 1, 0))</f>
        <v>0</v>
      </c>
      <c r="AS74" s="146">
        <f>IF(OR(GradeSheet!$M69="W (Withdrawn)", GradeSheet!$M69="I (Incomplete)"), 0, IF(AM74&gt;=55%, 1, 0))</f>
        <v>0</v>
      </c>
      <c r="AU74" s="148">
        <f t="array" ref="AU74">IF($AT$9=0,0,MMULT($AH74:$AM74, AT$3:AT$8)/$AT$9)</f>
        <v>0</v>
      </c>
      <c r="AV74" s="148">
        <f t="array" ref="AV74">IF($AU$9=0,0,MMULT($AH74:$AM74, AU$3:AU$8)/$AU$9)</f>
        <v>0</v>
      </c>
      <c r="AW74" s="148">
        <f t="array" ref="AW74">IF($AV$9=0,0,MMULT($AH74:$AM74, AV$3:AV$8)/$AV$9)</f>
        <v>0</v>
      </c>
      <c r="AX74" s="148">
        <f t="array" ref="AX74">IF($AW$9=0,0,MMULT($AH74:$AM74, AW$3:AW$8)/$AW$9)</f>
        <v>0</v>
      </c>
      <c r="AY74" s="148">
        <f t="array" ref="AY74">IF($AX$9=0,0,MMULT($AH74:$AM74, AX$3:AX$8)/$AX$9)</f>
        <v>0</v>
      </c>
      <c r="AZ74" s="148">
        <f t="array" ref="AZ74">IF($AY$9=0,0,MMULT($AH74:$AM74, AY$3:AY$8)/$AY$9)</f>
        <v>0</v>
      </c>
      <c r="BA74" s="148">
        <f t="array" ref="BA74">IF($AZ$9=0,0,MMULT($AH74:$AM74, AZ$3:AZ$8)/$AZ$9)</f>
        <v>0</v>
      </c>
      <c r="BB74" s="148">
        <f t="array" ref="BB74">IF($BA$9=0,0,MMULT($AH74:$AM74, BA$3:BA$8)/$BA$9)</f>
        <v>0</v>
      </c>
      <c r="BC74" s="148">
        <f t="array" ref="BC74">IF($BB$9=0,0,MMULT($AH74:$AM74, BB$3:BB$8)/$BB$9)</f>
        <v>0</v>
      </c>
      <c r="BD74" s="148">
        <f t="array" ref="BD74">IF($BC$9=0,0,MMULT($AH74:$AM74, BC$3:BC$8)/$BC$9)</f>
        <v>0</v>
      </c>
      <c r="BE74" s="148">
        <f t="array" ref="BE74">IF($BD$9=0,0,MMULT($AH74:$AM74, BD$3:BD$8)/$BD$9)</f>
        <v>0</v>
      </c>
      <c r="BF74" s="148">
        <f t="array" ref="BF74">IF($BE$9=0,0,MMULT($AH74:$AM74, BE$3:BE$8)/$BE$9)</f>
        <v>0</v>
      </c>
      <c r="BG74" s="145">
        <f>IF(OR(GradeSheet!$M69="W (Withdrawn)", GradeSheet!$M69="I (Incomplete)"), 0, IF(AU74&gt;=65%, 1, 0))</f>
        <v>0</v>
      </c>
      <c r="BH74" s="145">
        <f>IF(OR(GradeSheet!$M69="W (Withdrawn)", GradeSheet!$M69="I (Incomplete)"), 0, IF(AV74&gt;=65%, 1, 0))</f>
        <v>0</v>
      </c>
      <c r="BI74" s="145">
        <f>IF(OR(GradeSheet!$M69="W (Withdrawn)", GradeSheet!$M69="I (Incomplete)"), 0, IF(AW74&gt;=65%, 1, 0))</f>
        <v>0</v>
      </c>
      <c r="BJ74" s="145">
        <f>IF(OR(GradeSheet!$M69="W (Withdrawn)", GradeSheet!$M69="I (Incomplete)"), 0, IF(AX74&gt;=65%, 1, 0))</f>
        <v>0</v>
      </c>
      <c r="BK74" s="145">
        <f>IF(OR(GradeSheet!$M69="W (Withdrawn)", GradeSheet!$M69="I (Incomplete)"), 0, IF(AY74&gt;=65%, 1, 0))</f>
        <v>0</v>
      </c>
      <c r="BL74" s="145">
        <f>IF(OR(GradeSheet!$M69="W (Withdrawn)", GradeSheet!$M69="I (Incomplete)"), 0, IF(AZ74&gt;=65%, 1, 0))</f>
        <v>0</v>
      </c>
      <c r="BM74" s="145">
        <f>IF(OR(GradeSheet!$M69="W (Withdrawn)", GradeSheet!$M69="I (Incomplete)"), 0, IF(BA74&gt;=65%, 1, 0))</f>
        <v>0</v>
      </c>
      <c r="BN74" s="145">
        <f>IF(OR(GradeSheet!$M69="W (Withdrawn)", GradeSheet!$M69="I (Incomplete)"), 0, IF(BB74&gt;=65%, 1, 0))</f>
        <v>0</v>
      </c>
      <c r="BO74" s="145">
        <f>IF(OR(GradeSheet!$M69="W (Withdrawn)", GradeSheet!$M69="I (Incomplete)"), 0, IF(BC74&gt;=65%, 1, 0))</f>
        <v>0</v>
      </c>
      <c r="BP74" s="145">
        <f>IF(OR(GradeSheet!$M69="W (Withdrawn)", GradeSheet!$M69="I (Incomplete)"), 0, IF(BD74&gt;=65%, 1, 0))</f>
        <v>0</v>
      </c>
      <c r="BQ74" s="145">
        <f>IF(OR(GradeSheet!$M69="W (Withdrawn)", GradeSheet!$M69="I (Incomplete)"), 0, IF(BE74&gt;=65%, 1, 0))</f>
        <v>0</v>
      </c>
      <c r="BR74" s="146">
        <f>IF(OR(GradeSheet!$M69="W (Withdrawn)", GradeSheet!$M69="I (Incomplete)"), 0, IF(BF74&gt;=65%, 1, 0))</f>
        <v>0</v>
      </c>
    </row>
    <row r="75" spans="1:70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85"/>
      <c r="BF75" s="85"/>
      <c r="BG75" s="85"/>
      <c r="BH75" s="85"/>
      <c r="BI75" s="85"/>
      <c r="BJ75" s="85"/>
      <c r="BK75" s="85"/>
      <c r="BL75" s="85"/>
      <c r="BM75" s="85"/>
      <c r="BN75" s="85"/>
      <c r="BO75" s="85"/>
      <c r="BP75" s="85"/>
      <c r="BQ75" s="85"/>
      <c r="BR75" s="85"/>
    </row>
    <row r="76" spans="1:70" ht="15.75" customHeight="1">
      <c r="A76" s="150">
        <v>60</v>
      </c>
      <c r="B76" s="151" t="s">
        <v>150</v>
      </c>
      <c r="C76" s="152"/>
      <c r="D76" s="153" t="e">
        <f>SUM(D15:D74)/GradeSheet!$H$84</f>
        <v>#DIV/0!</v>
      </c>
      <c r="E76" s="153" t="e">
        <f>SUM(E15:E74)/GradeSheet!$H$84</f>
        <v>#DIV/0!</v>
      </c>
      <c r="F76" s="153" t="e">
        <f>SUM(F15:F74)/GradeSheet!$H$84</f>
        <v>#DIV/0!</v>
      </c>
      <c r="G76" s="153" t="e">
        <f>SUM(G15:G74)/GradeSheet!$H$84</f>
        <v>#DIV/0!</v>
      </c>
      <c r="H76" s="153" t="e">
        <f>SUM(H15:H74)/GradeSheet!$H$84</f>
        <v>#DIV/0!</v>
      </c>
      <c r="I76" s="153" t="e">
        <f>SUM(I15:I74)/GradeSheet!$H$84</f>
        <v>#DIV/0!</v>
      </c>
      <c r="J76" s="153" t="e">
        <f>SUM(J15:J74)/GradeSheet!$H$84</f>
        <v>#DIV/0!</v>
      </c>
      <c r="K76" s="153" t="e">
        <f>SUM(K15:K74)/GradeSheet!$H$84</f>
        <v>#DIV/0!</v>
      </c>
      <c r="L76" s="153" t="e">
        <f>SUM(L15:L74)/GradeSheet!$H$84</f>
        <v>#DIV/0!</v>
      </c>
      <c r="M76" s="153" t="e">
        <f>SUM(M15:M74)/GradeSheet!$H$84</f>
        <v>#DIV/0!</v>
      </c>
      <c r="N76" s="153" t="e">
        <f>SUM(N15:N74)/GradeSheet!$H$84</f>
        <v>#DIV/0!</v>
      </c>
      <c r="O76" s="153" t="e">
        <f>SUM(O15:O74)/GradeSheet!$H$84</f>
        <v>#DIV/0!</v>
      </c>
      <c r="P76" s="153" t="e">
        <f>SUM(P15:P74)/GradeSheet!$H$84</f>
        <v>#DIV/0!</v>
      </c>
      <c r="Q76" s="153" t="e">
        <f>SUM(Q15:Q74)/GradeSheet!$H$84</f>
        <v>#DIV/0!</v>
      </c>
      <c r="R76" s="153" t="e">
        <f>SUM(R15:R74)/GradeSheet!$H$84</f>
        <v>#DIV/0!</v>
      </c>
      <c r="S76" s="153" t="e">
        <f>SUM(S15:S74)/GradeSheet!$H$84</f>
        <v>#DIV/0!</v>
      </c>
      <c r="T76" s="153" t="e">
        <f>SUM(T15:T74)/GradeSheet!$H$84</f>
        <v>#DIV/0!</v>
      </c>
      <c r="U76" s="153" t="e">
        <f>SUM(U15:U74)/GradeSheet!$H$84</f>
        <v>#DIV/0!</v>
      </c>
      <c r="V76" s="153" t="e">
        <f>SUM(V15:V74)/GradeSheet!$H$84</f>
        <v>#DIV/0!</v>
      </c>
      <c r="W76" s="153" t="e">
        <f>SUM(W15:W74)/GradeSheet!$H$84</f>
        <v>#DIV/0!</v>
      </c>
      <c r="X76" s="153" t="e">
        <f>SUM(X15:X74)/GradeSheet!$H$84</f>
        <v>#DIV/0!</v>
      </c>
      <c r="Y76" s="153" t="e">
        <f>SUM(Y15:Y74)/GradeSheet!$H$84</f>
        <v>#DIV/0!</v>
      </c>
      <c r="Z76" s="153" t="e">
        <f>SUM(Z15:Z74)/GradeSheet!$H$84</f>
        <v>#DIV/0!</v>
      </c>
      <c r="AA76" s="153" t="e">
        <f>SUM(AA15:AA74)/GradeSheet!$H$84</f>
        <v>#DIV/0!</v>
      </c>
      <c r="AB76" s="153" t="e">
        <f>SUM(AB15:AB74)/GradeSheet!$H$84</f>
        <v>#DIV/0!</v>
      </c>
      <c r="AC76" s="153" t="e">
        <f>SUM(AC15:AC74)/GradeSheet!$H$84</f>
        <v>#DIV/0!</v>
      </c>
      <c r="AD76" s="153" t="e">
        <f>SUM(AD15:AD74)/GradeSheet!$H$84</f>
        <v>#DIV/0!</v>
      </c>
      <c r="AE76" s="153" t="e">
        <f>SUM(AE15:AE74)/GradeSheet!$H$84</f>
        <v>#DIV/0!</v>
      </c>
      <c r="AF76" s="153" t="e">
        <f>SUM(AF15:AF74)/GradeSheet!$H$84</f>
        <v>#DIV/0!</v>
      </c>
      <c r="AG76" s="153" t="e">
        <f>SUM(AG15:AG74)/GradeSheet!$H$84</f>
        <v>#DIV/0!</v>
      </c>
      <c r="AH76" s="184" t="e">
        <f>(SUMIFS(AH15:AH74,GradeSheet!M10:M69,"&lt;&gt;W (Withdrawn)",GradeSheet!M10:M69,"&lt;&gt;I (Incomplete)"))/(COUNTIFS(B15:B74,"&lt;&gt;0")-GradeSheet!$H$82-GradeSheet!$H$83)</f>
        <v>#DIV/0!</v>
      </c>
      <c r="AI76" s="184" t="e">
        <f>(SUMIFS(AI15:AI74,GradeSheet!M10:M69,"&lt;&gt;W (Withdrawn)",GradeSheet!M10:M69,"&lt;&gt;I (Incomplete)"))/(COUNTIFS(B15:B74,"&lt;&gt;0")-GradeSheet!$H$82-GradeSheet!$H$83)</f>
        <v>#DIV/0!</v>
      </c>
      <c r="AJ76" s="184" t="e">
        <f>(SUMIFS(AJ15:AJ74,GradeSheet!M10:M69,"&lt;&gt;W (Withdrawn)",GradeSheet!M10:M69,"&lt;&gt;I (Incomplete)"))/(COUNTIFS(B15:B74,"&lt;&gt;0")-GradeSheet!$H$82-GradeSheet!$H$83)</f>
        <v>#DIV/0!</v>
      </c>
      <c r="AK76" s="184" t="e">
        <f>(SUMIFS(AK15:AK74,GradeSheet!M10:M69,"&lt;&gt;W (Withdrawn)",GradeSheet!M10:M69,"&lt;&gt;I (Incomplete)"))/(COUNTIFS(B15:B74,"&lt;&gt;0")-GradeSheet!$H$82-GradeSheet!$H$83)</f>
        <v>#DIV/0!</v>
      </c>
      <c r="AL76" s="184" t="e">
        <f>(SUMIFS(AL15:AL74,GradeSheet!M10:M69,"&lt;&gt;W (Withdrawn)",GradeSheet!M10:M69,"&lt;&gt;I (Incomplete)"))/(COUNTIFS(B15:B74,"&lt;&gt;0")-GradeSheet!$H$82-GradeSheet!$H$83)</f>
        <v>#DIV/0!</v>
      </c>
      <c r="AM76" s="184" t="e">
        <f>(SUMIFS(AM15:AM74,GradeSheet!M10:M69,"&lt;&gt;W (Withdrawn)",GradeSheet!M10:M69,"&lt;&gt;I (Incomplete)"))/(COUNTIFS(B15:B74,"&lt;&gt;0")-GradeSheet!$H$82-GradeSheet!$H$83)</f>
        <v>#DIV/0!</v>
      </c>
      <c r="AN76" s="153">
        <f t="shared" ref="AN76:AS76" si="134">SUM(AN15:AN74)</f>
        <v>0</v>
      </c>
      <c r="AO76" s="153">
        <f t="shared" si="134"/>
        <v>0</v>
      </c>
      <c r="AP76" s="153">
        <f t="shared" si="134"/>
        <v>0</v>
      </c>
      <c r="AQ76" s="153">
        <f t="shared" si="134"/>
        <v>0</v>
      </c>
      <c r="AR76" s="153">
        <f t="shared" si="134"/>
        <v>0</v>
      </c>
      <c r="AS76" s="153">
        <f t="shared" si="134"/>
        <v>0</v>
      </c>
      <c r="AT76" s="118"/>
      <c r="AU76" s="127" t="e">
        <f>(SUMIFS(AU15:AU74,GradeSheet!$M$10:$M$69,"&lt;&gt;W (Withdrawn)",GradeSheet!$M$10:$M$69,"&lt;&gt;I (Incomplete)"))/(COUNTIFS($B$15:$B$74,"&lt;&gt;0")-GradeSheet!$H$82-GradeSheet!$H$83)</f>
        <v>#DIV/0!</v>
      </c>
      <c r="AV76" s="127" t="e">
        <f>(SUMIFS(AV15:AV74,GradeSheet!$M$10:$M$69,"&lt;&gt;W (Withdrawn)",GradeSheet!$M$10:$M$69,"&lt;&gt;I (Incomplete)"))/(COUNTIFS($B$15:$B$74,"&lt;&gt;0")-GradeSheet!$H$82-GradeSheet!$H$83)</f>
        <v>#DIV/0!</v>
      </c>
      <c r="AW76" s="127" t="e">
        <f>(SUMIFS(AW15:AW74,GradeSheet!$M$10:$M$69,"&lt;&gt;W (Withdrawn)",GradeSheet!$M$10:$M$69,"&lt;&gt;I (Incomplete)"))/(COUNTIFS($B$15:$B$74,"&lt;&gt;0")-GradeSheet!$H$82-GradeSheet!$H$83)</f>
        <v>#DIV/0!</v>
      </c>
      <c r="AX76" s="127" t="e">
        <f>(SUMIFS(AX15:AX74,GradeSheet!$M$10:$M$69,"&lt;&gt;W (Withdrawn)",GradeSheet!$M$10:$M$69,"&lt;&gt;I (Incomplete)"))/(COUNTIFS($B$15:$B$74,"&lt;&gt;0")-GradeSheet!$H$82-GradeSheet!$H$83)</f>
        <v>#DIV/0!</v>
      </c>
      <c r="AY76" s="127" t="e">
        <f>(SUMIFS(AY15:AY74,GradeSheet!$M$10:$M$69,"&lt;&gt;W (Withdrawn)",GradeSheet!$M$10:$M$69,"&lt;&gt;I (Incomplete)"))/(COUNTIFS($B$15:$B$74,"&lt;&gt;0")-GradeSheet!$H$82-GradeSheet!$H$83)</f>
        <v>#DIV/0!</v>
      </c>
      <c r="AZ76" s="127" t="e">
        <f>(SUMIFS(AZ15:AZ74,GradeSheet!$M$10:$M$69,"&lt;&gt;W (Withdrawn)",GradeSheet!$M$10:$M$69,"&lt;&gt;I (Incomplete)"))/(COUNTIFS($B$15:$B$74,"&lt;&gt;0")-GradeSheet!$H$82-GradeSheet!$H$83)</f>
        <v>#DIV/0!</v>
      </c>
      <c r="BA76" s="127" t="e">
        <f>(SUMIFS(BA15:BA74,GradeSheet!$M$10:$M$69,"&lt;&gt;W (Withdrawn)",GradeSheet!$M$10:$M$69,"&lt;&gt;I (Incomplete)"))/(COUNTIFS($B$15:$B$74,"&lt;&gt;0")-GradeSheet!$H$82-GradeSheet!$H$83)</f>
        <v>#DIV/0!</v>
      </c>
      <c r="BB76" s="127" t="e">
        <f>(SUMIFS(BB15:BB74,GradeSheet!$M$10:$M$69,"&lt;&gt;W (Withdrawn)",GradeSheet!$M$10:$M$69,"&lt;&gt;I (Incomplete)"))/(COUNTIFS($B$15:$B$74,"&lt;&gt;0")-GradeSheet!$H$82-GradeSheet!$H$83)</f>
        <v>#DIV/0!</v>
      </c>
      <c r="BC76" s="127" t="e">
        <f>(SUMIFS(BC15:BC74,GradeSheet!$M$10:$M$69,"&lt;&gt;W (Withdrawn)",GradeSheet!$M$10:$M$69,"&lt;&gt;I (Incomplete)"))/(COUNTIFS($B$15:$B$74,"&lt;&gt;0")-GradeSheet!$H$82-GradeSheet!$H$83)</f>
        <v>#DIV/0!</v>
      </c>
      <c r="BD76" s="127" t="e">
        <f>(SUMIFS(BD15:BD74,GradeSheet!$M$10:$M$69,"&lt;&gt;W (Withdrawn)",GradeSheet!$M$10:$M$69,"&lt;&gt;I (Incomplete)"))/(COUNTIFS($B$15:$B$74,"&lt;&gt;0")-GradeSheet!$H$82-GradeSheet!$H$83)</f>
        <v>#DIV/0!</v>
      </c>
      <c r="BE76" s="127" t="e">
        <f>(SUMIFS(BE15:BE74,GradeSheet!$M$10:$M$69,"&lt;&gt;W (Withdrawn)",GradeSheet!$M$10:$M$69,"&lt;&gt;I (Incomplete)"))/(COUNTIFS($B$15:$B$74,"&lt;&gt;0")-GradeSheet!$H$82-GradeSheet!$H$83)</f>
        <v>#DIV/0!</v>
      </c>
      <c r="BF76" s="127" t="e">
        <f>(SUMIFS(BF15:BF74,GradeSheet!$M$10:$M$69,"&lt;&gt;W (Withdrawn)",GradeSheet!$M$10:$M$69,"&lt;&gt;I (Incomplete)"))/(COUNTIFS($B$15:$B$74,"&lt;&gt;0")-GradeSheet!$H$82-GradeSheet!$H$83)</f>
        <v>#DIV/0!</v>
      </c>
      <c r="BG76" s="126">
        <f t="shared" ref="BG76:BR76" si="135">SUM(BG15:BG74)</f>
        <v>0</v>
      </c>
      <c r="BH76" s="124">
        <f t="shared" si="135"/>
        <v>0</v>
      </c>
      <c r="BI76" s="124">
        <f t="shared" si="135"/>
        <v>0</v>
      </c>
      <c r="BJ76" s="124">
        <f t="shared" si="135"/>
        <v>0</v>
      </c>
      <c r="BK76" s="124">
        <f t="shared" si="135"/>
        <v>0</v>
      </c>
      <c r="BL76" s="124">
        <f t="shared" si="135"/>
        <v>0</v>
      </c>
      <c r="BM76" s="124">
        <f t="shared" si="135"/>
        <v>0</v>
      </c>
      <c r="BN76" s="124">
        <f t="shared" si="135"/>
        <v>0</v>
      </c>
      <c r="BO76" s="124">
        <f t="shared" si="135"/>
        <v>0</v>
      </c>
      <c r="BP76" s="124">
        <f t="shared" si="135"/>
        <v>0</v>
      </c>
      <c r="BQ76" s="124">
        <f t="shared" si="135"/>
        <v>0</v>
      </c>
      <c r="BR76" s="154">
        <f t="shared" si="135"/>
        <v>0</v>
      </c>
    </row>
    <row r="77" spans="1:70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  <c r="AI77" s="85"/>
      <c r="AJ77" s="85"/>
      <c r="AK77" s="85"/>
      <c r="AL77" s="85"/>
      <c r="AM77" s="85"/>
      <c r="AN77" s="85"/>
      <c r="AO77" s="85"/>
      <c r="AP77" s="85"/>
      <c r="AQ77" s="85"/>
      <c r="AR77" s="85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5"/>
      <c r="BF77" s="85"/>
      <c r="BG77" s="85"/>
      <c r="BH77" s="85"/>
      <c r="BI77" s="85"/>
      <c r="BJ77" s="85"/>
      <c r="BK77" s="85"/>
      <c r="BL77" s="85"/>
      <c r="BM77" s="85"/>
      <c r="BN77" s="85"/>
      <c r="BO77" s="85"/>
      <c r="BP77" s="85"/>
      <c r="BQ77" s="85"/>
      <c r="BR77" s="85"/>
    </row>
    <row r="78" spans="1:70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155"/>
      <c r="AI78" s="155"/>
      <c r="AJ78" s="155"/>
      <c r="AK78" s="155"/>
      <c r="AL78" s="155"/>
      <c r="AM78" s="155"/>
      <c r="AN78" s="85"/>
      <c r="AO78" s="85"/>
      <c r="AP78" s="85"/>
      <c r="AQ78" s="85"/>
      <c r="AR78" s="85"/>
      <c r="AS78" s="85"/>
      <c r="AT78" s="85"/>
      <c r="AU78" s="85"/>
      <c r="AV78" s="85"/>
      <c r="AW78" s="85"/>
      <c r="AX78" s="85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5"/>
      <c r="BL78" s="85"/>
      <c r="BM78" s="85"/>
      <c r="BN78" s="85"/>
      <c r="BO78" s="85"/>
      <c r="BP78" s="85"/>
      <c r="BQ78" s="85"/>
      <c r="BR78" s="85"/>
    </row>
    <row r="79" spans="1:70" ht="15.75" customHeight="1">
      <c r="A79" s="85"/>
      <c r="B79" s="85"/>
      <c r="C79" s="156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155"/>
      <c r="AI79" s="85"/>
      <c r="AJ79" s="85"/>
      <c r="AK79" s="85"/>
      <c r="AL79" s="85"/>
      <c r="AM79" s="85"/>
      <c r="AN79" s="85"/>
      <c r="AO79" s="85"/>
      <c r="AP79" s="85"/>
      <c r="AQ79" s="85"/>
      <c r="AR79" s="85"/>
      <c r="AS79" s="85"/>
      <c r="AT79" s="85"/>
      <c r="AU79" s="85"/>
      <c r="AV79" s="85"/>
      <c r="AW79" s="85"/>
      <c r="AX79" s="85"/>
      <c r="AY79" s="85"/>
      <c r="AZ79" s="85"/>
      <c r="BA79" s="85"/>
      <c r="BB79" s="85"/>
      <c r="BC79" s="85"/>
      <c r="BD79" s="85"/>
      <c r="BE79" s="85"/>
      <c r="BF79" s="85"/>
      <c r="BG79" s="85"/>
      <c r="BH79" s="85"/>
      <c r="BI79" s="85"/>
      <c r="BJ79" s="85"/>
      <c r="BK79" s="85"/>
      <c r="BL79" s="85"/>
      <c r="BM79" s="85"/>
      <c r="BN79" s="85"/>
      <c r="BO79" s="85"/>
      <c r="BP79" s="85"/>
      <c r="BQ79" s="85"/>
      <c r="BR79" s="85"/>
    </row>
    <row r="80" spans="1:70" ht="15.75" customHeight="1">
      <c r="A80" s="85"/>
      <c r="B80" s="3" t="str">
        <f>GradeSheet!$H$5</f>
        <v>Rubaiya Hafiz</v>
      </c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5"/>
      <c r="AN80" s="85"/>
      <c r="AO80" s="85"/>
      <c r="AP80" s="85"/>
      <c r="AQ80" s="85"/>
      <c r="AR80" s="85"/>
      <c r="AS80" s="85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5"/>
      <c r="BI80" s="85"/>
      <c r="BJ80" s="85"/>
      <c r="BK80" s="85"/>
      <c r="BL80" s="85"/>
      <c r="BM80" s="85"/>
      <c r="BN80" s="85"/>
      <c r="BO80" s="85"/>
      <c r="BP80" s="85"/>
      <c r="BQ80" s="85"/>
      <c r="BR80" s="85"/>
    </row>
    <row r="81" spans="1:70" ht="15.75" customHeight="1">
      <c r="A81" s="85"/>
      <c r="B81" s="3" t="s">
        <v>60</v>
      </c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  <c r="AT81" s="85"/>
      <c r="AU81" s="85"/>
      <c r="AV81" s="85"/>
      <c r="AW81" s="85"/>
      <c r="AX81" s="85"/>
      <c r="AY81" s="85"/>
      <c r="AZ81" s="85"/>
      <c r="BA81" s="85"/>
      <c r="BB81" s="85"/>
      <c r="BC81" s="85"/>
      <c r="BD81" s="85"/>
      <c r="BE81" s="85"/>
      <c r="BF81" s="85"/>
      <c r="BG81" s="85"/>
      <c r="BH81" s="85"/>
      <c r="BI81" s="85"/>
      <c r="BJ81" s="85"/>
      <c r="BK81" s="85"/>
      <c r="BL81" s="85"/>
      <c r="BM81" s="85"/>
      <c r="BN81" s="85"/>
      <c r="BO81" s="85"/>
      <c r="BP81" s="85"/>
      <c r="BQ81" s="85"/>
      <c r="BR81" s="85"/>
    </row>
    <row r="82" spans="1:70" ht="15.75" customHeight="1">
      <c r="A82" s="85"/>
      <c r="B82" s="3" t="str">
        <f>GradeSheet!$B$85</f>
        <v>Department of CSE, ULAB</v>
      </c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  <c r="AT82" s="85"/>
      <c r="AU82" s="85"/>
      <c r="AV82" s="85"/>
      <c r="AW82" s="85"/>
      <c r="AX82" s="85"/>
      <c r="AY82" s="85"/>
      <c r="AZ82" s="85"/>
      <c r="BA82" s="85"/>
      <c r="BB82" s="85"/>
      <c r="BC82" s="85"/>
      <c r="BD82" s="85"/>
      <c r="BE82" s="85"/>
      <c r="BF82" s="85"/>
      <c r="BG82" s="85"/>
      <c r="BH82" s="85"/>
      <c r="BI82" s="85"/>
      <c r="BJ82" s="85"/>
      <c r="BK82" s="85"/>
      <c r="BL82" s="85"/>
      <c r="BM82" s="85"/>
      <c r="BN82" s="85"/>
      <c r="BO82" s="85"/>
      <c r="BP82" s="85"/>
      <c r="BQ82" s="85"/>
      <c r="BR82" s="85"/>
    </row>
    <row r="83" spans="1:70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  <c r="AT83" s="85"/>
      <c r="AU83" s="85"/>
      <c r="AV83" s="85"/>
      <c r="AW83" s="85"/>
      <c r="AX83" s="85"/>
      <c r="AY83" s="85"/>
      <c r="AZ83" s="85"/>
      <c r="BA83" s="85"/>
      <c r="BB83" s="85"/>
      <c r="BC83" s="85"/>
      <c r="BD83" s="85"/>
      <c r="BE83" s="85"/>
      <c r="BF83" s="85"/>
      <c r="BG83" s="85"/>
      <c r="BH83" s="85"/>
      <c r="BI83" s="85"/>
      <c r="BJ83" s="85"/>
      <c r="BK83" s="85"/>
      <c r="BL83" s="85"/>
      <c r="BM83" s="85"/>
      <c r="BN83" s="85"/>
      <c r="BO83" s="85"/>
      <c r="BP83" s="85"/>
      <c r="BQ83" s="85"/>
      <c r="BR83" s="85"/>
    </row>
    <row r="84" spans="1:70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  <c r="AT84" s="85"/>
      <c r="AU84" s="85"/>
      <c r="AV84" s="85"/>
      <c r="AW84" s="85"/>
      <c r="AX84" s="85"/>
      <c r="AY84" s="85"/>
      <c r="AZ84" s="85"/>
      <c r="BA84" s="85"/>
      <c r="BB84" s="85"/>
      <c r="BC84" s="85"/>
      <c r="BD84" s="85"/>
      <c r="BE84" s="85"/>
      <c r="BF84" s="85"/>
      <c r="BG84" s="85"/>
      <c r="BH84" s="85"/>
      <c r="BI84" s="85"/>
      <c r="BJ84" s="85"/>
      <c r="BK84" s="85"/>
      <c r="BL84" s="85"/>
      <c r="BM84" s="85"/>
      <c r="BN84" s="85"/>
      <c r="BO84" s="85"/>
      <c r="BP84" s="85"/>
      <c r="BQ84" s="85"/>
      <c r="BR84" s="85"/>
    </row>
    <row r="85" spans="1:70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  <c r="BD85" s="85"/>
      <c r="BE85" s="85"/>
      <c r="BF85" s="85"/>
      <c r="BG85" s="85"/>
      <c r="BH85" s="85"/>
      <c r="BI85" s="85"/>
      <c r="BJ85" s="85"/>
      <c r="BK85" s="85"/>
      <c r="BL85" s="85"/>
      <c r="BM85" s="85"/>
      <c r="BN85" s="85"/>
      <c r="BO85" s="85"/>
      <c r="BP85" s="85"/>
      <c r="BQ85" s="85"/>
      <c r="BR85" s="85"/>
    </row>
    <row r="86" spans="1:70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  <c r="AT86" s="85"/>
      <c r="AU86" s="85"/>
      <c r="AV86" s="85"/>
      <c r="AW86" s="85"/>
      <c r="AX86" s="85"/>
      <c r="AY86" s="85"/>
      <c r="AZ86" s="85"/>
      <c r="BA86" s="85"/>
      <c r="BB86" s="85"/>
      <c r="BC86" s="85"/>
      <c r="BD86" s="85"/>
      <c r="BE86" s="85"/>
      <c r="BF86" s="85"/>
      <c r="BG86" s="85"/>
      <c r="BH86" s="85"/>
      <c r="BI86" s="85"/>
      <c r="BJ86" s="85"/>
      <c r="BK86" s="85"/>
      <c r="BL86" s="85"/>
      <c r="BM86" s="85"/>
      <c r="BN86" s="85"/>
      <c r="BO86" s="85"/>
      <c r="BP86" s="85"/>
      <c r="BQ86" s="85"/>
      <c r="BR86" s="85"/>
    </row>
    <row r="87" spans="1:70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  <c r="AT87" s="85"/>
      <c r="AU87" s="85"/>
      <c r="AV87" s="85"/>
      <c r="AW87" s="85"/>
      <c r="AX87" s="85"/>
      <c r="AY87" s="85"/>
      <c r="AZ87" s="85"/>
      <c r="BA87" s="85"/>
      <c r="BB87" s="85"/>
      <c r="BC87" s="85"/>
      <c r="BD87" s="85"/>
      <c r="BE87" s="85"/>
      <c r="BF87" s="85"/>
      <c r="BG87" s="85"/>
      <c r="BH87" s="85"/>
      <c r="BI87" s="85"/>
      <c r="BJ87" s="85"/>
      <c r="BK87" s="85"/>
      <c r="BL87" s="85"/>
      <c r="BM87" s="85"/>
      <c r="BN87" s="85"/>
      <c r="BO87" s="85"/>
      <c r="BP87" s="85"/>
      <c r="BQ87" s="85"/>
      <c r="BR87" s="85"/>
    </row>
    <row r="88" spans="1:70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  <c r="AT88" s="85"/>
      <c r="AU88" s="85"/>
      <c r="AV88" s="85"/>
      <c r="AW88" s="85"/>
      <c r="AX88" s="85"/>
      <c r="AY88" s="85"/>
      <c r="AZ88" s="85"/>
      <c r="BA88" s="85"/>
      <c r="BB88" s="85"/>
      <c r="BC88" s="85"/>
      <c r="BD88" s="85"/>
      <c r="BE88" s="85"/>
      <c r="BF88" s="85"/>
      <c r="BG88" s="85"/>
      <c r="BH88" s="85"/>
      <c r="BI88" s="85"/>
      <c r="BJ88" s="85"/>
      <c r="BK88" s="85"/>
      <c r="BL88" s="85"/>
      <c r="BM88" s="85"/>
      <c r="BN88" s="85"/>
      <c r="BO88" s="85"/>
      <c r="BP88" s="85"/>
      <c r="BQ88" s="85"/>
      <c r="BR88" s="85"/>
    </row>
    <row r="89" spans="1:70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  <c r="AT89" s="85"/>
      <c r="AU89" s="85"/>
      <c r="AV89" s="85"/>
      <c r="AW89" s="85"/>
      <c r="AX89" s="85"/>
      <c r="AY89" s="85"/>
      <c r="AZ89" s="85"/>
      <c r="BA89" s="85"/>
      <c r="BB89" s="85"/>
      <c r="BC89" s="85"/>
      <c r="BD89" s="85"/>
      <c r="BE89" s="85"/>
      <c r="BF89" s="85"/>
      <c r="BG89" s="85"/>
      <c r="BH89" s="85"/>
      <c r="BI89" s="85"/>
      <c r="BJ89" s="85"/>
      <c r="BK89" s="85"/>
      <c r="BL89" s="85"/>
      <c r="BM89" s="85"/>
      <c r="BN89" s="85"/>
      <c r="BO89" s="85"/>
      <c r="BP89" s="85"/>
      <c r="BQ89" s="85"/>
      <c r="BR89" s="85"/>
    </row>
    <row r="90" spans="1:7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  <c r="AT90" s="85"/>
      <c r="AU90" s="85"/>
      <c r="AV90" s="85"/>
      <c r="AW90" s="85"/>
      <c r="AX90" s="85"/>
      <c r="AY90" s="85"/>
      <c r="AZ90" s="85"/>
      <c r="BA90" s="85"/>
      <c r="BB90" s="85"/>
      <c r="BC90" s="85"/>
      <c r="BD90" s="85"/>
      <c r="BE90" s="85"/>
      <c r="BF90" s="85"/>
      <c r="BG90" s="85"/>
      <c r="BH90" s="85"/>
      <c r="BI90" s="85"/>
      <c r="BJ90" s="85"/>
      <c r="BK90" s="85"/>
      <c r="BL90" s="85"/>
      <c r="BM90" s="85"/>
      <c r="BN90" s="85"/>
      <c r="BO90" s="85"/>
      <c r="BP90" s="85"/>
      <c r="BQ90" s="85"/>
      <c r="BR90" s="85"/>
    </row>
    <row r="91" spans="1:70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  <c r="AT91" s="85"/>
      <c r="AU91" s="85"/>
      <c r="AV91" s="85"/>
      <c r="AW91" s="85"/>
      <c r="AX91" s="85"/>
      <c r="AY91" s="85"/>
      <c r="AZ91" s="85"/>
      <c r="BA91" s="85"/>
      <c r="BB91" s="85"/>
      <c r="BC91" s="85"/>
      <c r="BD91" s="85"/>
      <c r="BE91" s="85"/>
      <c r="BF91" s="85"/>
      <c r="BG91" s="85"/>
      <c r="BH91" s="85"/>
      <c r="BI91" s="85"/>
      <c r="BJ91" s="85"/>
      <c r="BK91" s="85"/>
      <c r="BL91" s="85"/>
      <c r="BM91" s="85"/>
      <c r="BN91" s="85"/>
      <c r="BO91" s="85"/>
      <c r="BP91" s="85"/>
      <c r="BQ91" s="85"/>
      <c r="BR91" s="85"/>
    </row>
    <row r="92" spans="1:70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  <c r="AT92" s="85"/>
      <c r="AU92" s="85"/>
      <c r="AV92" s="85"/>
      <c r="AW92" s="85"/>
      <c r="AX92" s="85"/>
      <c r="AY92" s="85"/>
      <c r="AZ92" s="85"/>
      <c r="BA92" s="85"/>
      <c r="BB92" s="85"/>
      <c r="BC92" s="85"/>
      <c r="BD92" s="85"/>
      <c r="BE92" s="85"/>
      <c r="BF92" s="85"/>
      <c r="BG92" s="85"/>
      <c r="BH92" s="85"/>
      <c r="BI92" s="85"/>
      <c r="BJ92" s="85"/>
      <c r="BK92" s="85"/>
      <c r="BL92" s="85"/>
      <c r="BM92" s="85"/>
      <c r="BN92" s="85"/>
      <c r="BO92" s="85"/>
      <c r="BP92" s="85"/>
      <c r="BQ92" s="85"/>
      <c r="BR92" s="85"/>
    </row>
    <row r="93" spans="1:70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  <c r="AT93" s="85"/>
      <c r="AU93" s="85"/>
      <c r="AV93" s="85"/>
      <c r="AW93" s="85"/>
      <c r="AX93" s="85"/>
      <c r="AY93" s="85"/>
      <c r="AZ93" s="85"/>
      <c r="BA93" s="85"/>
      <c r="BB93" s="85"/>
      <c r="BC93" s="85"/>
      <c r="BD93" s="85"/>
      <c r="BE93" s="85"/>
      <c r="BF93" s="85"/>
      <c r="BG93" s="85"/>
      <c r="BH93" s="85"/>
      <c r="BI93" s="85"/>
      <c r="BJ93" s="85"/>
      <c r="BK93" s="85"/>
      <c r="BL93" s="85"/>
      <c r="BM93" s="85"/>
      <c r="BN93" s="85"/>
      <c r="BO93" s="85"/>
      <c r="BP93" s="85"/>
      <c r="BQ93" s="85"/>
      <c r="BR93" s="85"/>
    </row>
    <row r="94" spans="1:70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  <c r="BD94" s="85"/>
      <c r="BE94" s="85"/>
      <c r="BF94" s="85"/>
      <c r="BG94" s="85"/>
      <c r="BH94" s="85"/>
      <c r="BI94" s="85"/>
      <c r="BJ94" s="85"/>
      <c r="BK94" s="85"/>
      <c r="BL94" s="85"/>
      <c r="BM94" s="85"/>
      <c r="BN94" s="85"/>
      <c r="BO94" s="85"/>
      <c r="BP94" s="85"/>
      <c r="BQ94" s="85"/>
      <c r="BR94" s="85"/>
    </row>
    <row r="95" spans="1:70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  <c r="AT95" s="85"/>
      <c r="AU95" s="85"/>
      <c r="AV95" s="85"/>
      <c r="AW95" s="85"/>
      <c r="AX95" s="85"/>
      <c r="AY95" s="85"/>
      <c r="AZ95" s="85"/>
      <c r="BA95" s="85"/>
      <c r="BB95" s="85"/>
      <c r="BC95" s="85"/>
      <c r="BD95" s="85"/>
      <c r="BE95" s="85"/>
      <c r="BF95" s="85"/>
      <c r="BG95" s="85"/>
      <c r="BH95" s="85"/>
      <c r="BI95" s="85"/>
      <c r="BJ95" s="85"/>
      <c r="BK95" s="85"/>
      <c r="BL95" s="85"/>
      <c r="BM95" s="85"/>
      <c r="BN95" s="85"/>
      <c r="BO95" s="85"/>
      <c r="BP95" s="85"/>
      <c r="BQ95" s="85"/>
      <c r="BR95" s="85"/>
    </row>
    <row r="96" spans="1:70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  <c r="AT96" s="85"/>
      <c r="AU96" s="85"/>
      <c r="AV96" s="85"/>
      <c r="AW96" s="85"/>
      <c r="AX96" s="85"/>
      <c r="AY96" s="85"/>
      <c r="AZ96" s="85"/>
      <c r="BA96" s="85"/>
      <c r="BB96" s="85"/>
      <c r="BC96" s="85"/>
      <c r="BD96" s="85"/>
      <c r="BE96" s="85"/>
      <c r="BF96" s="85"/>
      <c r="BG96" s="85"/>
      <c r="BH96" s="85"/>
      <c r="BI96" s="85"/>
      <c r="BJ96" s="85"/>
      <c r="BK96" s="85"/>
      <c r="BL96" s="85"/>
      <c r="BM96" s="85"/>
      <c r="BN96" s="85"/>
      <c r="BO96" s="85"/>
      <c r="BP96" s="85"/>
      <c r="BQ96" s="85"/>
      <c r="BR96" s="85"/>
    </row>
    <row r="97" spans="1:70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  <c r="AT97" s="85"/>
      <c r="AU97" s="85"/>
      <c r="AV97" s="85"/>
      <c r="AW97" s="85"/>
      <c r="AX97" s="85"/>
      <c r="AY97" s="85"/>
      <c r="AZ97" s="85"/>
      <c r="BA97" s="85"/>
      <c r="BB97" s="85"/>
      <c r="BC97" s="85"/>
      <c r="BD97" s="85"/>
      <c r="BE97" s="85"/>
      <c r="BF97" s="85"/>
      <c r="BG97" s="85"/>
      <c r="BH97" s="85"/>
      <c r="BI97" s="85"/>
      <c r="BJ97" s="85"/>
      <c r="BK97" s="85"/>
      <c r="BL97" s="85"/>
      <c r="BM97" s="85"/>
      <c r="BN97" s="85"/>
      <c r="BO97" s="85"/>
      <c r="BP97" s="85"/>
      <c r="BQ97" s="85"/>
      <c r="BR97" s="85"/>
    </row>
    <row r="98" spans="1:70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  <c r="AT98" s="85"/>
      <c r="AU98" s="85"/>
      <c r="AV98" s="85"/>
      <c r="AW98" s="85"/>
      <c r="AX98" s="85"/>
      <c r="AY98" s="85"/>
      <c r="AZ98" s="85"/>
      <c r="BA98" s="85"/>
      <c r="BB98" s="85"/>
      <c r="BC98" s="85"/>
      <c r="BD98" s="85"/>
      <c r="BE98" s="85"/>
      <c r="BF98" s="85"/>
      <c r="BG98" s="85"/>
      <c r="BH98" s="85"/>
      <c r="BI98" s="85"/>
      <c r="BJ98" s="85"/>
      <c r="BK98" s="85"/>
      <c r="BL98" s="85"/>
      <c r="BM98" s="85"/>
      <c r="BN98" s="85"/>
      <c r="BO98" s="85"/>
      <c r="BP98" s="85"/>
      <c r="BQ98" s="85"/>
      <c r="BR98" s="85"/>
    </row>
    <row r="99" spans="1:70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  <c r="AT99" s="85"/>
      <c r="AU99" s="85"/>
      <c r="AV99" s="85"/>
      <c r="AW99" s="85"/>
      <c r="AX99" s="85"/>
      <c r="AY99" s="85"/>
      <c r="AZ99" s="85"/>
      <c r="BA99" s="85"/>
      <c r="BB99" s="85"/>
      <c r="BC99" s="85"/>
      <c r="BD99" s="85"/>
      <c r="BE99" s="85"/>
      <c r="BF99" s="85"/>
      <c r="BG99" s="85"/>
      <c r="BH99" s="85"/>
      <c r="BI99" s="85"/>
      <c r="BJ99" s="85"/>
      <c r="BK99" s="85"/>
      <c r="BL99" s="85"/>
      <c r="BM99" s="85"/>
      <c r="BN99" s="85"/>
      <c r="BO99" s="85"/>
      <c r="BP99" s="85"/>
      <c r="BQ99" s="85"/>
      <c r="BR99" s="85"/>
    </row>
    <row r="100" spans="1:7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  <c r="AT100" s="85"/>
      <c r="AU100" s="85"/>
      <c r="AV100" s="85"/>
      <c r="AW100" s="85"/>
      <c r="AX100" s="85"/>
      <c r="AY100" s="85"/>
      <c r="AZ100" s="85"/>
      <c r="BA100" s="85"/>
      <c r="BB100" s="85"/>
      <c r="BC100" s="85"/>
      <c r="BD100" s="85"/>
      <c r="BE100" s="85"/>
      <c r="BF100" s="85"/>
      <c r="BG100" s="85"/>
      <c r="BH100" s="85"/>
      <c r="BI100" s="85"/>
      <c r="BJ100" s="85"/>
      <c r="BK100" s="85"/>
      <c r="BL100" s="85"/>
      <c r="BM100" s="85"/>
      <c r="BN100" s="85"/>
      <c r="BO100" s="85"/>
      <c r="BP100" s="85"/>
      <c r="BQ100" s="85"/>
      <c r="BR100" s="85"/>
    </row>
    <row r="101" spans="1:70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  <c r="AT101" s="85"/>
      <c r="AU101" s="85"/>
      <c r="AV101" s="85"/>
      <c r="AW101" s="85"/>
      <c r="AX101" s="85"/>
      <c r="AY101" s="85"/>
      <c r="AZ101" s="85"/>
      <c r="BA101" s="85"/>
      <c r="BB101" s="85"/>
      <c r="BC101" s="85"/>
      <c r="BD101" s="85"/>
      <c r="BE101" s="85"/>
      <c r="BF101" s="85"/>
      <c r="BG101" s="85"/>
      <c r="BH101" s="85"/>
      <c r="BI101" s="85"/>
      <c r="BJ101" s="85"/>
      <c r="BK101" s="85"/>
      <c r="BL101" s="85"/>
      <c r="BM101" s="85"/>
      <c r="BN101" s="85"/>
      <c r="BO101" s="85"/>
      <c r="BP101" s="85"/>
      <c r="BQ101" s="85"/>
      <c r="BR101" s="85"/>
    </row>
    <row r="102" spans="1:70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</row>
    <row r="103" spans="1:70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  <c r="AT103" s="85"/>
      <c r="AU103" s="85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85"/>
      <c r="BI103" s="85"/>
      <c r="BJ103" s="85"/>
      <c r="BK103" s="85"/>
      <c r="BL103" s="85"/>
      <c r="BM103" s="85"/>
      <c r="BN103" s="85"/>
      <c r="BO103" s="85"/>
      <c r="BP103" s="85"/>
      <c r="BQ103" s="85"/>
      <c r="BR103" s="85"/>
    </row>
    <row r="104" spans="1:70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  <c r="AT104" s="85"/>
      <c r="AU104" s="85"/>
      <c r="AV104" s="85"/>
      <c r="AW104" s="85"/>
      <c r="AX104" s="85"/>
      <c r="AY104" s="85"/>
      <c r="AZ104" s="85"/>
      <c r="BA104" s="85"/>
      <c r="BB104" s="85"/>
      <c r="BC104" s="85"/>
      <c r="BD104" s="85"/>
      <c r="BE104" s="85"/>
      <c r="BF104" s="85"/>
      <c r="BG104" s="85"/>
      <c r="BH104" s="85"/>
      <c r="BI104" s="85"/>
      <c r="BJ104" s="85"/>
      <c r="BK104" s="85"/>
      <c r="BL104" s="85"/>
      <c r="BM104" s="85"/>
      <c r="BN104" s="85"/>
      <c r="BO104" s="85"/>
      <c r="BP104" s="85"/>
      <c r="BQ104" s="85"/>
      <c r="BR104" s="85"/>
    </row>
    <row r="105" spans="1:70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  <c r="AT105" s="85"/>
      <c r="AU105" s="85"/>
      <c r="AV105" s="85"/>
      <c r="AW105" s="85"/>
      <c r="AX105" s="85"/>
      <c r="AY105" s="85"/>
      <c r="AZ105" s="85"/>
      <c r="BA105" s="85"/>
      <c r="BB105" s="85"/>
      <c r="BC105" s="85"/>
      <c r="BD105" s="85"/>
      <c r="BE105" s="85"/>
      <c r="BF105" s="85"/>
      <c r="BG105" s="85"/>
      <c r="BH105" s="85"/>
      <c r="BI105" s="85"/>
      <c r="BJ105" s="85"/>
      <c r="BK105" s="85"/>
      <c r="BL105" s="85"/>
      <c r="BM105" s="85"/>
      <c r="BN105" s="85"/>
      <c r="BO105" s="85"/>
      <c r="BP105" s="85"/>
      <c r="BQ105" s="85"/>
      <c r="BR105" s="85"/>
    </row>
    <row r="106" spans="1:70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  <c r="AT106" s="85"/>
      <c r="AU106" s="85"/>
      <c r="AV106" s="85"/>
      <c r="AW106" s="85"/>
      <c r="AX106" s="85"/>
      <c r="AY106" s="85"/>
      <c r="AZ106" s="85"/>
      <c r="BA106" s="85"/>
      <c r="BB106" s="85"/>
      <c r="BC106" s="85"/>
      <c r="BD106" s="85"/>
      <c r="BE106" s="85"/>
      <c r="BF106" s="85"/>
      <c r="BG106" s="85"/>
      <c r="BH106" s="85"/>
      <c r="BI106" s="85"/>
      <c r="BJ106" s="85"/>
      <c r="BK106" s="85"/>
      <c r="BL106" s="85"/>
      <c r="BM106" s="85"/>
      <c r="BN106" s="85"/>
      <c r="BO106" s="85"/>
      <c r="BP106" s="85"/>
      <c r="BQ106" s="85"/>
      <c r="BR106" s="85"/>
    </row>
    <row r="107" spans="1:70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  <c r="AT107" s="85"/>
      <c r="AU107" s="85"/>
      <c r="AV107" s="85"/>
      <c r="AW107" s="85"/>
      <c r="AX107" s="85"/>
      <c r="AY107" s="85"/>
      <c r="AZ107" s="85"/>
      <c r="BA107" s="85"/>
      <c r="BB107" s="85"/>
      <c r="BC107" s="85"/>
      <c r="BD107" s="85"/>
      <c r="BE107" s="85"/>
      <c r="BF107" s="85"/>
      <c r="BG107" s="85"/>
      <c r="BH107" s="85"/>
      <c r="BI107" s="85"/>
      <c r="BJ107" s="85"/>
      <c r="BK107" s="85"/>
      <c r="BL107" s="85"/>
      <c r="BM107" s="85"/>
      <c r="BN107" s="85"/>
      <c r="BO107" s="85"/>
      <c r="BP107" s="85"/>
      <c r="BQ107" s="85"/>
      <c r="BR107" s="85"/>
    </row>
    <row r="108" spans="1:70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  <c r="AT108" s="85"/>
      <c r="AU108" s="85"/>
      <c r="AV108" s="85"/>
      <c r="AW108" s="85"/>
      <c r="AX108" s="85"/>
      <c r="AY108" s="85"/>
      <c r="AZ108" s="85"/>
      <c r="BA108" s="85"/>
      <c r="BB108" s="85"/>
      <c r="BC108" s="85"/>
      <c r="BD108" s="85"/>
      <c r="BE108" s="85"/>
      <c r="BF108" s="85"/>
      <c r="BG108" s="85"/>
      <c r="BH108" s="85"/>
      <c r="BI108" s="85"/>
      <c r="BJ108" s="85"/>
      <c r="BK108" s="85"/>
      <c r="BL108" s="85"/>
      <c r="BM108" s="85"/>
      <c r="BN108" s="85"/>
      <c r="BO108" s="85"/>
      <c r="BP108" s="85"/>
      <c r="BQ108" s="85"/>
      <c r="BR108" s="85"/>
    </row>
    <row r="109" spans="1:70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  <c r="BD109" s="85"/>
      <c r="BE109" s="85"/>
      <c r="BF109" s="85"/>
      <c r="BG109" s="85"/>
      <c r="BH109" s="85"/>
      <c r="BI109" s="85"/>
      <c r="BJ109" s="85"/>
      <c r="BK109" s="85"/>
      <c r="BL109" s="85"/>
      <c r="BM109" s="85"/>
      <c r="BN109" s="85"/>
      <c r="BO109" s="85"/>
      <c r="BP109" s="85"/>
      <c r="BQ109" s="85"/>
      <c r="BR109" s="85"/>
    </row>
    <row r="110" spans="1:7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  <c r="AT110" s="85"/>
      <c r="AU110" s="85"/>
      <c r="AV110" s="85"/>
      <c r="AW110" s="85"/>
      <c r="AX110" s="85"/>
      <c r="AY110" s="85"/>
      <c r="AZ110" s="85"/>
      <c r="BA110" s="85"/>
      <c r="BB110" s="85"/>
      <c r="BC110" s="85"/>
      <c r="BD110" s="85"/>
      <c r="BE110" s="85"/>
      <c r="BF110" s="85"/>
      <c r="BG110" s="85"/>
      <c r="BH110" s="85"/>
      <c r="BI110" s="85"/>
      <c r="BJ110" s="85"/>
      <c r="BK110" s="85"/>
      <c r="BL110" s="85"/>
      <c r="BM110" s="85"/>
      <c r="BN110" s="85"/>
      <c r="BO110" s="85"/>
      <c r="BP110" s="85"/>
      <c r="BQ110" s="85"/>
      <c r="BR110" s="85"/>
    </row>
    <row r="111" spans="1:70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  <c r="AT111" s="85"/>
      <c r="AU111" s="85"/>
      <c r="AV111" s="85"/>
      <c r="AW111" s="85"/>
      <c r="AX111" s="85"/>
      <c r="AY111" s="85"/>
      <c r="AZ111" s="85"/>
      <c r="BA111" s="85"/>
      <c r="BB111" s="85"/>
      <c r="BC111" s="85"/>
      <c r="BD111" s="85"/>
      <c r="BE111" s="85"/>
      <c r="BF111" s="85"/>
      <c r="BG111" s="85"/>
      <c r="BH111" s="85"/>
      <c r="BI111" s="85"/>
      <c r="BJ111" s="85"/>
      <c r="BK111" s="85"/>
      <c r="BL111" s="85"/>
      <c r="BM111" s="85"/>
      <c r="BN111" s="85"/>
      <c r="BO111" s="85"/>
      <c r="BP111" s="85"/>
      <c r="BQ111" s="85"/>
      <c r="BR111" s="85"/>
    </row>
    <row r="112" spans="1:70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  <c r="AT112" s="85"/>
      <c r="AU112" s="85"/>
      <c r="AV112" s="85"/>
      <c r="AW112" s="85"/>
      <c r="AX112" s="85"/>
      <c r="AY112" s="85"/>
      <c r="AZ112" s="85"/>
      <c r="BA112" s="85"/>
      <c r="BB112" s="85"/>
      <c r="BC112" s="85"/>
      <c r="BD112" s="85"/>
      <c r="BE112" s="85"/>
      <c r="BF112" s="85"/>
      <c r="BG112" s="85"/>
      <c r="BH112" s="85"/>
      <c r="BI112" s="85"/>
      <c r="BJ112" s="85"/>
      <c r="BK112" s="85"/>
      <c r="BL112" s="85"/>
      <c r="BM112" s="85"/>
      <c r="BN112" s="85"/>
      <c r="BO112" s="85"/>
      <c r="BP112" s="85"/>
      <c r="BQ112" s="85"/>
      <c r="BR112" s="85"/>
    </row>
    <row r="113" spans="1:70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  <c r="AT113" s="85"/>
      <c r="AU113" s="85"/>
      <c r="AV113" s="85"/>
      <c r="AW113" s="85"/>
      <c r="AX113" s="85"/>
      <c r="AY113" s="85"/>
      <c r="AZ113" s="85"/>
      <c r="BA113" s="85"/>
      <c r="BB113" s="85"/>
      <c r="BC113" s="85"/>
      <c r="BD113" s="85"/>
      <c r="BE113" s="85"/>
      <c r="BF113" s="85"/>
      <c r="BG113" s="85"/>
      <c r="BH113" s="85"/>
      <c r="BI113" s="85"/>
      <c r="BJ113" s="85"/>
      <c r="BK113" s="85"/>
      <c r="BL113" s="85"/>
      <c r="BM113" s="85"/>
      <c r="BN113" s="85"/>
      <c r="BO113" s="85"/>
      <c r="BP113" s="85"/>
      <c r="BQ113" s="85"/>
      <c r="BR113" s="85"/>
    </row>
    <row r="114" spans="1:70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  <c r="AT114" s="85"/>
      <c r="AU114" s="85"/>
      <c r="AV114" s="85"/>
      <c r="AW114" s="85"/>
      <c r="AX114" s="85"/>
      <c r="AY114" s="85"/>
      <c r="AZ114" s="85"/>
      <c r="BA114" s="85"/>
      <c r="BB114" s="85"/>
      <c r="BC114" s="85"/>
      <c r="BD114" s="85"/>
      <c r="BE114" s="85"/>
      <c r="BF114" s="85"/>
      <c r="BG114" s="85"/>
      <c r="BH114" s="85"/>
      <c r="BI114" s="85"/>
      <c r="BJ114" s="85"/>
      <c r="BK114" s="85"/>
      <c r="BL114" s="85"/>
      <c r="BM114" s="85"/>
      <c r="BN114" s="85"/>
      <c r="BO114" s="85"/>
      <c r="BP114" s="85"/>
      <c r="BQ114" s="85"/>
      <c r="BR114" s="85"/>
    </row>
    <row r="115" spans="1:70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  <c r="AT115" s="85"/>
      <c r="AU115" s="85"/>
      <c r="AV115" s="85"/>
      <c r="AW115" s="85"/>
      <c r="AX115" s="85"/>
      <c r="AY115" s="85"/>
      <c r="AZ115" s="85"/>
      <c r="BA115" s="85"/>
      <c r="BB115" s="85"/>
      <c r="BC115" s="85"/>
      <c r="BD115" s="85"/>
      <c r="BE115" s="85"/>
      <c r="BF115" s="85"/>
      <c r="BG115" s="85"/>
      <c r="BH115" s="85"/>
      <c r="BI115" s="85"/>
      <c r="BJ115" s="85"/>
      <c r="BK115" s="85"/>
      <c r="BL115" s="85"/>
      <c r="BM115" s="85"/>
      <c r="BN115" s="85"/>
      <c r="BO115" s="85"/>
      <c r="BP115" s="85"/>
      <c r="BQ115" s="85"/>
      <c r="BR115" s="85"/>
    </row>
    <row r="116" spans="1:70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  <c r="AT116" s="85"/>
      <c r="AU116" s="85"/>
      <c r="AV116" s="85"/>
      <c r="AW116" s="85"/>
      <c r="AX116" s="85"/>
      <c r="AY116" s="85"/>
      <c r="AZ116" s="85"/>
      <c r="BA116" s="85"/>
      <c r="BB116" s="85"/>
      <c r="BC116" s="85"/>
      <c r="BD116" s="85"/>
      <c r="BE116" s="85"/>
      <c r="BF116" s="85"/>
      <c r="BG116" s="85"/>
      <c r="BH116" s="85"/>
      <c r="BI116" s="85"/>
      <c r="BJ116" s="85"/>
      <c r="BK116" s="85"/>
      <c r="BL116" s="85"/>
      <c r="BM116" s="85"/>
      <c r="BN116" s="85"/>
      <c r="BO116" s="85"/>
      <c r="BP116" s="85"/>
      <c r="BQ116" s="85"/>
      <c r="BR116" s="85"/>
    </row>
    <row r="117" spans="1:70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  <c r="AT117" s="85"/>
      <c r="AU117" s="85"/>
      <c r="AV117" s="85"/>
      <c r="AW117" s="85"/>
      <c r="AX117" s="85"/>
      <c r="AY117" s="85"/>
      <c r="AZ117" s="85"/>
      <c r="BA117" s="85"/>
      <c r="BB117" s="85"/>
      <c r="BC117" s="85"/>
      <c r="BD117" s="85"/>
      <c r="BE117" s="85"/>
      <c r="BF117" s="85"/>
      <c r="BG117" s="85"/>
      <c r="BH117" s="85"/>
      <c r="BI117" s="85"/>
      <c r="BJ117" s="85"/>
      <c r="BK117" s="85"/>
      <c r="BL117" s="85"/>
      <c r="BM117" s="85"/>
      <c r="BN117" s="85"/>
      <c r="BO117" s="85"/>
      <c r="BP117" s="85"/>
      <c r="BQ117" s="85"/>
      <c r="BR117" s="85"/>
    </row>
    <row r="118" spans="1:70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  <c r="AT118" s="85"/>
      <c r="AU118" s="85"/>
      <c r="AV118" s="85"/>
      <c r="AW118" s="85"/>
      <c r="AX118" s="85"/>
      <c r="AY118" s="85"/>
      <c r="AZ118" s="85"/>
      <c r="BA118" s="85"/>
      <c r="BB118" s="85"/>
      <c r="BC118" s="85"/>
      <c r="BD118" s="85"/>
      <c r="BE118" s="85"/>
      <c r="BF118" s="85"/>
      <c r="BG118" s="85"/>
      <c r="BH118" s="85"/>
      <c r="BI118" s="85"/>
      <c r="BJ118" s="85"/>
      <c r="BK118" s="85"/>
      <c r="BL118" s="85"/>
      <c r="BM118" s="85"/>
      <c r="BN118" s="85"/>
      <c r="BO118" s="85"/>
      <c r="BP118" s="85"/>
      <c r="BQ118" s="85"/>
      <c r="BR118" s="85"/>
    </row>
    <row r="119" spans="1:70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  <c r="AT119" s="85"/>
      <c r="AU119" s="85"/>
      <c r="AV119" s="85"/>
      <c r="AW119" s="85"/>
      <c r="AX119" s="85"/>
      <c r="AY119" s="85"/>
      <c r="AZ119" s="85"/>
      <c r="BA119" s="85"/>
      <c r="BB119" s="85"/>
      <c r="BC119" s="85"/>
      <c r="BD119" s="85"/>
      <c r="BE119" s="85"/>
      <c r="BF119" s="85"/>
      <c r="BG119" s="85"/>
      <c r="BH119" s="85"/>
      <c r="BI119" s="85"/>
      <c r="BJ119" s="85"/>
      <c r="BK119" s="85"/>
      <c r="BL119" s="85"/>
      <c r="BM119" s="85"/>
      <c r="BN119" s="85"/>
      <c r="BO119" s="85"/>
      <c r="BP119" s="85"/>
      <c r="BQ119" s="85"/>
      <c r="BR119" s="85"/>
    </row>
    <row r="120" spans="1:7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  <c r="BD120" s="85"/>
      <c r="BE120" s="85"/>
      <c r="BF120" s="85"/>
      <c r="BG120" s="85"/>
      <c r="BH120" s="85"/>
      <c r="BI120" s="85"/>
      <c r="BJ120" s="85"/>
      <c r="BK120" s="85"/>
      <c r="BL120" s="85"/>
      <c r="BM120" s="85"/>
      <c r="BN120" s="85"/>
      <c r="BO120" s="85"/>
      <c r="BP120" s="85"/>
      <c r="BQ120" s="85"/>
      <c r="BR120" s="85"/>
    </row>
    <row r="121" spans="1:70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  <c r="AT121" s="85"/>
      <c r="AU121" s="85"/>
      <c r="AV121" s="85"/>
      <c r="AW121" s="85"/>
      <c r="AX121" s="85"/>
      <c r="AY121" s="85"/>
      <c r="AZ121" s="85"/>
      <c r="BA121" s="85"/>
      <c r="BB121" s="85"/>
      <c r="BC121" s="85"/>
      <c r="BD121" s="85"/>
      <c r="BE121" s="85"/>
      <c r="BF121" s="85"/>
      <c r="BG121" s="85"/>
      <c r="BH121" s="85"/>
      <c r="BI121" s="85"/>
      <c r="BJ121" s="85"/>
      <c r="BK121" s="85"/>
      <c r="BL121" s="85"/>
      <c r="BM121" s="85"/>
      <c r="BN121" s="85"/>
      <c r="BO121" s="85"/>
      <c r="BP121" s="85"/>
      <c r="BQ121" s="85"/>
      <c r="BR121" s="85"/>
    </row>
    <row r="122" spans="1:70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  <c r="AT122" s="85"/>
      <c r="AU122" s="85"/>
      <c r="AV122" s="85"/>
      <c r="AW122" s="85"/>
      <c r="AX122" s="85"/>
      <c r="AY122" s="85"/>
      <c r="AZ122" s="85"/>
      <c r="BA122" s="85"/>
      <c r="BB122" s="85"/>
      <c r="BC122" s="85"/>
      <c r="BD122" s="85"/>
      <c r="BE122" s="85"/>
      <c r="BF122" s="85"/>
      <c r="BG122" s="85"/>
      <c r="BH122" s="85"/>
      <c r="BI122" s="85"/>
      <c r="BJ122" s="85"/>
      <c r="BK122" s="85"/>
      <c r="BL122" s="85"/>
      <c r="BM122" s="85"/>
      <c r="BN122" s="85"/>
      <c r="BO122" s="85"/>
      <c r="BP122" s="85"/>
      <c r="BQ122" s="85"/>
      <c r="BR122" s="85"/>
    </row>
    <row r="123" spans="1:70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  <c r="AT123" s="85"/>
      <c r="AU123" s="85"/>
      <c r="AV123" s="85"/>
      <c r="AW123" s="85"/>
      <c r="AX123" s="85"/>
      <c r="AY123" s="85"/>
      <c r="AZ123" s="85"/>
      <c r="BA123" s="85"/>
      <c r="BB123" s="85"/>
      <c r="BC123" s="85"/>
      <c r="BD123" s="85"/>
      <c r="BE123" s="85"/>
      <c r="BF123" s="85"/>
      <c r="BG123" s="85"/>
      <c r="BH123" s="85"/>
      <c r="BI123" s="85"/>
      <c r="BJ123" s="85"/>
      <c r="BK123" s="85"/>
      <c r="BL123" s="85"/>
      <c r="BM123" s="85"/>
      <c r="BN123" s="85"/>
      <c r="BO123" s="85"/>
      <c r="BP123" s="85"/>
      <c r="BQ123" s="85"/>
      <c r="BR123" s="85"/>
    </row>
    <row r="124" spans="1:70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  <c r="AT124" s="85"/>
      <c r="AU124" s="85"/>
      <c r="AV124" s="85"/>
      <c r="AW124" s="85"/>
      <c r="AX124" s="85"/>
      <c r="AY124" s="85"/>
      <c r="AZ124" s="85"/>
      <c r="BA124" s="85"/>
      <c r="BB124" s="85"/>
      <c r="BC124" s="85"/>
      <c r="BD124" s="85"/>
      <c r="BE124" s="85"/>
      <c r="BF124" s="85"/>
      <c r="BG124" s="85"/>
      <c r="BH124" s="85"/>
      <c r="BI124" s="85"/>
      <c r="BJ124" s="85"/>
      <c r="BK124" s="85"/>
      <c r="BL124" s="85"/>
      <c r="BM124" s="85"/>
      <c r="BN124" s="85"/>
      <c r="BO124" s="85"/>
      <c r="BP124" s="85"/>
      <c r="BQ124" s="85"/>
      <c r="BR124" s="85"/>
    </row>
    <row r="125" spans="1:70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  <c r="AT125" s="85"/>
      <c r="AU125" s="85"/>
      <c r="AV125" s="85"/>
      <c r="AW125" s="85"/>
      <c r="AX125" s="85"/>
      <c r="AY125" s="85"/>
      <c r="AZ125" s="85"/>
      <c r="BA125" s="85"/>
      <c r="BB125" s="85"/>
      <c r="BC125" s="85"/>
      <c r="BD125" s="85"/>
      <c r="BE125" s="85"/>
      <c r="BF125" s="85"/>
      <c r="BG125" s="85"/>
      <c r="BH125" s="85"/>
      <c r="BI125" s="85"/>
      <c r="BJ125" s="85"/>
      <c r="BK125" s="85"/>
      <c r="BL125" s="85"/>
      <c r="BM125" s="85"/>
      <c r="BN125" s="85"/>
      <c r="BO125" s="85"/>
      <c r="BP125" s="85"/>
      <c r="BQ125" s="85"/>
      <c r="BR125" s="85"/>
    </row>
    <row r="126" spans="1:70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  <c r="AT126" s="85"/>
      <c r="AU126" s="85"/>
      <c r="AV126" s="85"/>
      <c r="AW126" s="85"/>
      <c r="AX126" s="85"/>
      <c r="AY126" s="85"/>
      <c r="AZ126" s="85"/>
      <c r="BA126" s="85"/>
      <c r="BB126" s="85"/>
      <c r="BC126" s="85"/>
      <c r="BD126" s="85"/>
      <c r="BE126" s="85"/>
      <c r="BF126" s="85"/>
      <c r="BG126" s="85"/>
      <c r="BH126" s="85"/>
      <c r="BI126" s="85"/>
      <c r="BJ126" s="85"/>
      <c r="BK126" s="85"/>
      <c r="BL126" s="85"/>
      <c r="BM126" s="85"/>
      <c r="BN126" s="85"/>
      <c r="BO126" s="85"/>
      <c r="BP126" s="85"/>
      <c r="BQ126" s="85"/>
      <c r="BR126" s="85"/>
    </row>
    <row r="127" spans="1:70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  <c r="AT127" s="85"/>
      <c r="AU127" s="85"/>
      <c r="AV127" s="85"/>
      <c r="AW127" s="85"/>
      <c r="AX127" s="85"/>
      <c r="AY127" s="85"/>
      <c r="AZ127" s="85"/>
      <c r="BA127" s="85"/>
      <c r="BB127" s="85"/>
      <c r="BC127" s="85"/>
      <c r="BD127" s="85"/>
      <c r="BE127" s="85"/>
      <c r="BF127" s="85"/>
      <c r="BG127" s="85"/>
      <c r="BH127" s="85"/>
      <c r="BI127" s="85"/>
      <c r="BJ127" s="85"/>
      <c r="BK127" s="85"/>
      <c r="BL127" s="85"/>
      <c r="BM127" s="85"/>
      <c r="BN127" s="85"/>
      <c r="BO127" s="85"/>
      <c r="BP127" s="85"/>
      <c r="BQ127" s="85"/>
      <c r="BR127" s="85"/>
    </row>
    <row r="128" spans="1:70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  <c r="AT128" s="85"/>
      <c r="AU128" s="85"/>
      <c r="AV128" s="85"/>
      <c r="AW128" s="85"/>
      <c r="AX128" s="85"/>
      <c r="AY128" s="85"/>
      <c r="AZ128" s="85"/>
      <c r="BA128" s="85"/>
      <c r="BB128" s="85"/>
      <c r="BC128" s="85"/>
      <c r="BD128" s="85"/>
      <c r="BE128" s="85"/>
      <c r="BF128" s="85"/>
      <c r="BG128" s="85"/>
      <c r="BH128" s="85"/>
      <c r="BI128" s="85"/>
      <c r="BJ128" s="85"/>
      <c r="BK128" s="85"/>
      <c r="BL128" s="85"/>
      <c r="BM128" s="85"/>
      <c r="BN128" s="85"/>
      <c r="BO128" s="85"/>
      <c r="BP128" s="85"/>
      <c r="BQ128" s="85"/>
      <c r="BR128" s="85"/>
    </row>
    <row r="129" spans="1:70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  <c r="AT129" s="85"/>
      <c r="AU129" s="85"/>
      <c r="AV129" s="85"/>
      <c r="AW129" s="85"/>
      <c r="AX129" s="85"/>
      <c r="AY129" s="85"/>
      <c r="AZ129" s="85"/>
      <c r="BA129" s="85"/>
      <c r="BB129" s="85"/>
      <c r="BC129" s="85"/>
      <c r="BD129" s="85"/>
      <c r="BE129" s="85"/>
      <c r="BF129" s="85"/>
      <c r="BG129" s="85"/>
      <c r="BH129" s="85"/>
      <c r="BI129" s="85"/>
      <c r="BJ129" s="85"/>
      <c r="BK129" s="85"/>
      <c r="BL129" s="85"/>
      <c r="BM129" s="85"/>
      <c r="BN129" s="85"/>
      <c r="BO129" s="85"/>
      <c r="BP129" s="85"/>
      <c r="BQ129" s="85"/>
      <c r="BR129" s="85"/>
    </row>
    <row r="130" spans="1:7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  <c r="AT130" s="85"/>
      <c r="AU130" s="85"/>
      <c r="AV130" s="85"/>
      <c r="AW130" s="85"/>
      <c r="AX130" s="85"/>
      <c r="AY130" s="85"/>
      <c r="AZ130" s="85"/>
      <c r="BA130" s="85"/>
      <c r="BB130" s="85"/>
      <c r="BC130" s="85"/>
      <c r="BD130" s="85"/>
      <c r="BE130" s="85"/>
      <c r="BF130" s="85"/>
      <c r="BG130" s="85"/>
      <c r="BH130" s="85"/>
      <c r="BI130" s="85"/>
      <c r="BJ130" s="85"/>
      <c r="BK130" s="85"/>
      <c r="BL130" s="85"/>
      <c r="BM130" s="85"/>
      <c r="BN130" s="85"/>
      <c r="BO130" s="85"/>
      <c r="BP130" s="85"/>
      <c r="BQ130" s="85"/>
      <c r="BR130" s="85"/>
    </row>
    <row r="131" spans="1:70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  <c r="AT131" s="85"/>
      <c r="AU131" s="85"/>
      <c r="AV131" s="85"/>
      <c r="AW131" s="85"/>
      <c r="AX131" s="85"/>
      <c r="AY131" s="85"/>
      <c r="AZ131" s="85"/>
      <c r="BA131" s="85"/>
      <c r="BB131" s="85"/>
      <c r="BC131" s="85"/>
      <c r="BD131" s="85"/>
      <c r="BE131" s="85"/>
      <c r="BF131" s="85"/>
      <c r="BG131" s="85"/>
      <c r="BH131" s="85"/>
      <c r="BI131" s="85"/>
      <c r="BJ131" s="85"/>
      <c r="BK131" s="85"/>
      <c r="BL131" s="85"/>
      <c r="BM131" s="85"/>
      <c r="BN131" s="85"/>
      <c r="BO131" s="85"/>
      <c r="BP131" s="85"/>
      <c r="BQ131" s="85"/>
      <c r="BR131" s="85"/>
    </row>
    <row r="132" spans="1:70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  <c r="AT132" s="85"/>
      <c r="AU132" s="85"/>
      <c r="AV132" s="85"/>
      <c r="AW132" s="85"/>
      <c r="AX132" s="85"/>
      <c r="AY132" s="85"/>
      <c r="AZ132" s="85"/>
      <c r="BA132" s="85"/>
      <c r="BB132" s="85"/>
      <c r="BC132" s="85"/>
      <c r="BD132" s="85"/>
      <c r="BE132" s="85"/>
      <c r="BF132" s="85"/>
      <c r="BG132" s="85"/>
      <c r="BH132" s="85"/>
      <c r="BI132" s="85"/>
      <c r="BJ132" s="85"/>
      <c r="BK132" s="85"/>
      <c r="BL132" s="85"/>
      <c r="BM132" s="85"/>
      <c r="BN132" s="85"/>
      <c r="BO132" s="85"/>
      <c r="BP132" s="85"/>
      <c r="BQ132" s="85"/>
      <c r="BR132" s="85"/>
    </row>
    <row r="133" spans="1:70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  <c r="AT133" s="85"/>
      <c r="AU133" s="85"/>
      <c r="AV133" s="85"/>
      <c r="AW133" s="85"/>
      <c r="AX133" s="85"/>
      <c r="AY133" s="85"/>
      <c r="AZ133" s="85"/>
      <c r="BA133" s="85"/>
      <c r="BB133" s="85"/>
      <c r="BC133" s="85"/>
      <c r="BD133" s="85"/>
      <c r="BE133" s="85"/>
      <c r="BF133" s="85"/>
      <c r="BG133" s="85"/>
      <c r="BH133" s="85"/>
      <c r="BI133" s="85"/>
      <c r="BJ133" s="85"/>
      <c r="BK133" s="85"/>
      <c r="BL133" s="85"/>
      <c r="BM133" s="85"/>
      <c r="BN133" s="85"/>
      <c r="BO133" s="85"/>
      <c r="BP133" s="85"/>
      <c r="BQ133" s="85"/>
      <c r="BR133" s="85"/>
    </row>
    <row r="134" spans="1:70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</row>
    <row r="135" spans="1:70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</row>
    <row r="136" spans="1:70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</row>
    <row r="137" spans="1:70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</row>
    <row r="138" spans="1:70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</row>
    <row r="139" spans="1:70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</row>
    <row r="140" spans="1:7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</row>
    <row r="141" spans="1:70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</row>
    <row r="142" spans="1:70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  <c r="AT142" s="85"/>
      <c r="AU142" s="85"/>
      <c r="AV142" s="85"/>
      <c r="AW142" s="85"/>
      <c r="AX142" s="85"/>
      <c r="AY142" s="85"/>
      <c r="AZ142" s="85"/>
      <c r="BA142" s="85"/>
      <c r="BB142" s="85"/>
      <c r="BC142" s="85"/>
      <c r="BD142" s="85"/>
      <c r="BE142" s="85"/>
      <c r="BF142" s="85"/>
      <c r="BG142" s="85"/>
      <c r="BH142" s="85"/>
      <c r="BI142" s="85"/>
      <c r="BJ142" s="85"/>
      <c r="BK142" s="85"/>
      <c r="BL142" s="85"/>
      <c r="BM142" s="85"/>
      <c r="BN142" s="85"/>
      <c r="BO142" s="85"/>
      <c r="BP142" s="85"/>
      <c r="BQ142" s="85"/>
      <c r="BR142" s="85"/>
    </row>
    <row r="143" spans="1:70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  <c r="AT143" s="85"/>
      <c r="AU143" s="85"/>
      <c r="AV143" s="85"/>
      <c r="AW143" s="85"/>
      <c r="AX143" s="85"/>
      <c r="AY143" s="85"/>
      <c r="AZ143" s="85"/>
      <c r="BA143" s="85"/>
      <c r="BB143" s="85"/>
      <c r="BC143" s="85"/>
      <c r="BD143" s="85"/>
      <c r="BE143" s="85"/>
      <c r="BF143" s="85"/>
      <c r="BG143" s="85"/>
      <c r="BH143" s="85"/>
      <c r="BI143" s="85"/>
      <c r="BJ143" s="85"/>
      <c r="BK143" s="85"/>
      <c r="BL143" s="85"/>
      <c r="BM143" s="85"/>
      <c r="BN143" s="85"/>
      <c r="BO143" s="85"/>
      <c r="BP143" s="85"/>
      <c r="BQ143" s="85"/>
      <c r="BR143" s="85"/>
    </row>
    <row r="144" spans="1:70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  <c r="AT144" s="85"/>
      <c r="AU144" s="85"/>
      <c r="AV144" s="85"/>
      <c r="AW144" s="85"/>
      <c r="AX144" s="85"/>
      <c r="AY144" s="85"/>
      <c r="AZ144" s="85"/>
      <c r="BA144" s="85"/>
      <c r="BB144" s="85"/>
      <c r="BC144" s="85"/>
      <c r="BD144" s="85"/>
      <c r="BE144" s="85"/>
      <c r="BF144" s="85"/>
      <c r="BG144" s="85"/>
      <c r="BH144" s="85"/>
      <c r="BI144" s="85"/>
      <c r="BJ144" s="85"/>
      <c r="BK144" s="85"/>
      <c r="BL144" s="85"/>
      <c r="BM144" s="85"/>
      <c r="BN144" s="85"/>
      <c r="BO144" s="85"/>
      <c r="BP144" s="85"/>
      <c r="BQ144" s="85"/>
      <c r="BR144" s="85"/>
    </row>
    <row r="145" spans="1:70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  <c r="AT145" s="85"/>
      <c r="AU145" s="85"/>
      <c r="AV145" s="85"/>
      <c r="AW145" s="85"/>
      <c r="AX145" s="85"/>
      <c r="AY145" s="85"/>
      <c r="AZ145" s="85"/>
      <c r="BA145" s="85"/>
      <c r="BB145" s="85"/>
      <c r="BC145" s="85"/>
      <c r="BD145" s="85"/>
      <c r="BE145" s="85"/>
      <c r="BF145" s="85"/>
      <c r="BG145" s="85"/>
      <c r="BH145" s="85"/>
      <c r="BI145" s="85"/>
      <c r="BJ145" s="85"/>
      <c r="BK145" s="85"/>
      <c r="BL145" s="85"/>
      <c r="BM145" s="85"/>
      <c r="BN145" s="85"/>
      <c r="BO145" s="85"/>
      <c r="BP145" s="85"/>
      <c r="BQ145" s="85"/>
      <c r="BR145" s="85"/>
    </row>
    <row r="146" spans="1:70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  <c r="AT146" s="85"/>
      <c r="AU146" s="85"/>
      <c r="AV146" s="85"/>
      <c r="AW146" s="85"/>
      <c r="AX146" s="85"/>
      <c r="AY146" s="85"/>
      <c r="AZ146" s="85"/>
      <c r="BA146" s="85"/>
      <c r="BB146" s="85"/>
      <c r="BC146" s="85"/>
      <c r="BD146" s="85"/>
      <c r="BE146" s="85"/>
      <c r="BF146" s="85"/>
      <c r="BG146" s="85"/>
      <c r="BH146" s="85"/>
      <c r="BI146" s="85"/>
      <c r="BJ146" s="85"/>
      <c r="BK146" s="85"/>
      <c r="BL146" s="85"/>
      <c r="BM146" s="85"/>
      <c r="BN146" s="85"/>
      <c r="BO146" s="85"/>
      <c r="BP146" s="85"/>
      <c r="BQ146" s="85"/>
      <c r="BR146" s="85"/>
    </row>
    <row r="147" spans="1:70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  <c r="AT147" s="85"/>
      <c r="AU147" s="85"/>
      <c r="AV147" s="85"/>
      <c r="AW147" s="85"/>
      <c r="AX147" s="85"/>
      <c r="AY147" s="85"/>
      <c r="AZ147" s="85"/>
      <c r="BA147" s="85"/>
      <c r="BB147" s="85"/>
      <c r="BC147" s="85"/>
      <c r="BD147" s="85"/>
      <c r="BE147" s="85"/>
      <c r="BF147" s="85"/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</row>
    <row r="148" spans="1:70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  <c r="AT148" s="85"/>
      <c r="AU148" s="85"/>
      <c r="AV148" s="85"/>
      <c r="AW148" s="85"/>
      <c r="AX148" s="85"/>
      <c r="AY148" s="85"/>
      <c r="AZ148" s="85"/>
      <c r="BA148" s="85"/>
      <c r="BB148" s="85"/>
      <c r="BC148" s="85"/>
      <c r="BD148" s="85"/>
      <c r="BE148" s="85"/>
      <c r="BF148" s="85"/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</row>
    <row r="149" spans="1:70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  <c r="AT149" s="85"/>
      <c r="AU149" s="85"/>
      <c r="AV149" s="85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</row>
    <row r="150" spans="1:7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  <c r="AT150" s="85"/>
      <c r="AU150" s="85"/>
      <c r="AV150" s="85"/>
      <c r="AW150" s="85"/>
      <c r="AX150" s="85"/>
      <c r="AY150" s="85"/>
      <c r="AZ150" s="85"/>
      <c r="BA150" s="85"/>
      <c r="BB150" s="85"/>
      <c r="BC150" s="85"/>
      <c r="BD150" s="85"/>
      <c r="BE150" s="85"/>
      <c r="BF150" s="85"/>
      <c r="BG150" s="85"/>
      <c r="BH150" s="85"/>
      <c r="BI150" s="85"/>
      <c r="BJ150" s="85"/>
      <c r="BK150" s="85"/>
      <c r="BL150" s="85"/>
      <c r="BM150" s="85"/>
      <c r="BN150" s="85"/>
      <c r="BO150" s="85"/>
      <c r="BP150" s="85"/>
      <c r="BQ150" s="85"/>
      <c r="BR150" s="85"/>
    </row>
    <row r="151" spans="1:70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  <c r="AT151" s="85"/>
      <c r="AU151" s="85"/>
      <c r="AV151" s="85"/>
      <c r="AW151" s="85"/>
      <c r="AX151" s="85"/>
      <c r="AY151" s="85"/>
      <c r="AZ151" s="85"/>
      <c r="BA151" s="85"/>
      <c r="BB151" s="85"/>
      <c r="BC151" s="85"/>
      <c r="BD151" s="85"/>
      <c r="BE151" s="85"/>
      <c r="BF151" s="85"/>
      <c r="BG151" s="85"/>
      <c r="BH151" s="85"/>
      <c r="BI151" s="85"/>
      <c r="BJ151" s="85"/>
      <c r="BK151" s="85"/>
      <c r="BL151" s="85"/>
      <c r="BM151" s="85"/>
      <c r="BN151" s="85"/>
      <c r="BO151" s="85"/>
      <c r="BP151" s="85"/>
      <c r="BQ151" s="85"/>
      <c r="BR151" s="85"/>
    </row>
    <row r="152" spans="1:70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  <c r="AT152" s="85"/>
      <c r="AU152" s="85"/>
      <c r="AV152" s="85"/>
      <c r="AW152" s="85"/>
      <c r="AX152" s="85"/>
      <c r="AY152" s="85"/>
      <c r="AZ152" s="85"/>
      <c r="BA152" s="85"/>
      <c r="BB152" s="85"/>
      <c r="BC152" s="85"/>
      <c r="BD152" s="85"/>
      <c r="BE152" s="85"/>
      <c r="BF152" s="85"/>
      <c r="BG152" s="85"/>
      <c r="BH152" s="85"/>
      <c r="BI152" s="85"/>
      <c r="BJ152" s="85"/>
      <c r="BK152" s="85"/>
      <c r="BL152" s="85"/>
      <c r="BM152" s="85"/>
      <c r="BN152" s="85"/>
      <c r="BO152" s="85"/>
      <c r="BP152" s="85"/>
      <c r="BQ152" s="85"/>
      <c r="BR152" s="85"/>
    </row>
    <row r="153" spans="1:70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  <c r="AT153" s="85"/>
      <c r="AU153" s="85"/>
      <c r="AV153" s="85"/>
      <c r="AW153" s="85"/>
      <c r="AX153" s="85"/>
      <c r="AY153" s="85"/>
      <c r="AZ153" s="85"/>
      <c r="BA153" s="85"/>
      <c r="BB153" s="85"/>
      <c r="BC153" s="85"/>
      <c r="BD153" s="85"/>
      <c r="BE153" s="85"/>
      <c r="BF153" s="85"/>
      <c r="BG153" s="85"/>
      <c r="BH153" s="85"/>
      <c r="BI153" s="85"/>
      <c r="BJ153" s="85"/>
      <c r="BK153" s="85"/>
      <c r="BL153" s="85"/>
      <c r="BM153" s="85"/>
      <c r="BN153" s="85"/>
      <c r="BO153" s="85"/>
      <c r="BP153" s="85"/>
      <c r="BQ153" s="85"/>
      <c r="BR153" s="85"/>
    </row>
    <row r="154" spans="1:70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  <c r="AT154" s="85"/>
      <c r="AU154" s="85"/>
      <c r="AV154" s="85"/>
      <c r="AW154" s="85"/>
      <c r="AX154" s="85"/>
      <c r="AY154" s="85"/>
      <c r="AZ154" s="85"/>
      <c r="BA154" s="85"/>
      <c r="BB154" s="85"/>
      <c r="BC154" s="85"/>
      <c r="BD154" s="85"/>
      <c r="BE154" s="85"/>
      <c r="BF154" s="85"/>
      <c r="BG154" s="85"/>
      <c r="BH154" s="85"/>
      <c r="BI154" s="85"/>
      <c r="BJ154" s="85"/>
      <c r="BK154" s="85"/>
      <c r="BL154" s="85"/>
      <c r="BM154" s="85"/>
      <c r="BN154" s="85"/>
      <c r="BO154" s="85"/>
      <c r="BP154" s="85"/>
      <c r="BQ154" s="85"/>
      <c r="BR154" s="85"/>
    </row>
    <row r="155" spans="1:70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  <c r="BD155" s="85"/>
      <c r="BE155" s="85"/>
      <c r="BF155" s="85"/>
      <c r="BG155" s="85"/>
      <c r="BH155" s="85"/>
      <c r="BI155" s="85"/>
      <c r="BJ155" s="85"/>
      <c r="BK155" s="85"/>
      <c r="BL155" s="85"/>
      <c r="BM155" s="85"/>
      <c r="BN155" s="85"/>
      <c r="BO155" s="85"/>
      <c r="BP155" s="85"/>
      <c r="BQ155" s="85"/>
      <c r="BR155" s="85"/>
    </row>
    <row r="156" spans="1:70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  <c r="AT156" s="85"/>
      <c r="AU156" s="85"/>
      <c r="AV156" s="85"/>
      <c r="AW156" s="85"/>
      <c r="AX156" s="85"/>
      <c r="AY156" s="85"/>
      <c r="AZ156" s="85"/>
      <c r="BA156" s="85"/>
      <c r="BB156" s="85"/>
      <c r="BC156" s="85"/>
      <c r="BD156" s="85"/>
      <c r="BE156" s="85"/>
      <c r="BF156" s="85"/>
      <c r="BG156" s="85"/>
      <c r="BH156" s="85"/>
      <c r="BI156" s="85"/>
      <c r="BJ156" s="85"/>
      <c r="BK156" s="85"/>
      <c r="BL156" s="85"/>
      <c r="BM156" s="85"/>
      <c r="BN156" s="85"/>
      <c r="BO156" s="85"/>
      <c r="BP156" s="85"/>
      <c r="BQ156" s="85"/>
      <c r="BR156" s="85"/>
    </row>
    <row r="157" spans="1:70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  <c r="AT157" s="85"/>
      <c r="AU157" s="85"/>
      <c r="AV157" s="85"/>
      <c r="AW157" s="85"/>
      <c r="AX157" s="85"/>
      <c r="AY157" s="85"/>
      <c r="AZ157" s="85"/>
      <c r="BA157" s="85"/>
      <c r="BB157" s="85"/>
      <c r="BC157" s="85"/>
      <c r="BD157" s="85"/>
      <c r="BE157" s="85"/>
      <c r="BF157" s="85"/>
      <c r="BG157" s="85"/>
      <c r="BH157" s="85"/>
      <c r="BI157" s="85"/>
      <c r="BJ157" s="85"/>
      <c r="BK157" s="85"/>
      <c r="BL157" s="85"/>
      <c r="BM157" s="85"/>
      <c r="BN157" s="85"/>
      <c r="BO157" s="85"/>
      <c r="BP157" s="85"/>
      <c r="BQ157" s="85"/>
      <c r="BR157" s="85"/>
    </row>
    <row r="158" spans="1:70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  <c r="AT158" s="85"/>
      <c r="AU158" s="85"/>
      <c r="AV158" s="85"/>
      <c r="AW158" s="85"/>
      <c r="AX158" s="85"/>
      <c r="AY158" s="85"/>
      <c r="AZ158" s="85"/>
      <c r="BA158" s="85"/>
      <c r="BB158" s="85"/>
      <c r="BC158" s="85"/>
      <c r="BD158" s="85"/>
      <c r="BE158" s="85"/>
      <c r="BF158" s="85"/>
      <c r="BG158" s="85"/>
      <c r="BH158" s="85"/>
      <c r="BI158" s="85"/>
      <c r="BJ158" s="85"/>
      <c r="BK158" s="85"/>
      <c r="BL158" s="85"/>
      <c r="BM158" s="85"/>
      <c r="BN158" s="85"/>
      <c r="BO158" s="85"/>
      <c r="BP158" s="85"/>
      <c r="BQ158" s="85"/>
      <c r="BR158" s="85"/>
    </row>
    <row r="159" spans="1:70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  <c r="AT159" s="85"/>
      <c r="AU159" s="85"/>
      <c r="AV159" s="85"/>
      <c r="AW159" s="85"/>
      <c r="AX159" s="85"/>
      <c r="AY159" s="85"/>
      <c r="AZ159" s="85"/>
      <c r="BA159" s="85"/>
      <c r="BB159" s="85"/>
      <c r="BC159" s="85"/>
      <c r="BD159" s="85"/>
      <c r="BE159" s="85"/>
      <c r="BF159" s="85"/>
      <c r="BG159" s="85"/>
      <c r="BH159" s="85"/>
      <c r="BI159" s="85"/>
      <c r="BJ159" s="85"/>
      <c r="BK159" s="85"/>
      <c r="BL159" s="85"/>
      <c r="BM159" s="85"/>
      <c r="BN159" s="85"/>
      <c r="BO159" s="85"/>
      <c r="BP159" s="85"/>
      <c r="BQ159" s="85"/>
      <c r="BR159" s="85"/>
    </row>
    <row r="160" spans="1:7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  <c r="AT160" s="85"/>
      <c r="AU160" s="85"/>
      <c r="AV160" s="85"/>
      <c r="AW160" s="85"/>
      <c r="AX160" s="85"/>
      <c r="AY160" s="85"/>
      <c r="AZ160" s="85"/>
      <c r="BA160" s="85"/>
      <c r="BB160" s="85"/>
      <c r="BC160" s="85"/>
      <c r="BD160" s="85"/>
      <c r="BE160" s="85"/>
      <c r="BF160" s="85"/>
      <c r="BG160" s="85"/>
      <c r="BH160" s="85"/>
      <c r="BI160" s="85"/>
      <c r="BJ160" s="85"/>
      <c r="BK160" s="85"/>
      <c r="BL160" s="85"/>
      <c r="BM160" s="85"/>
      <c r="BN160" s="85"/>
      <c r="BO160" s="85"/>
      <c r="BP160" s="85"/>
      <c r="BQ160" s="85"/>
      <c r="BR160" s="85"/>
    </row>
    <row r="161" spans="1:70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  <c r="AT161" s="85"/>
      <c r="AU161" s="85"/>
      <c r="AV161" s="85"/>
      <c r="AW161" s="85"/>
      <c r="AX161" s="85"/>
      <c r="AY161" s="85"/>
      <c r="AZ161" s="85"/>
      <c r="BA161" s="85"/>
      <c r="BB161" s="85"/>
      <c r="BC161" s="85"/>
      <c r="BD161" s="85"/>
      <c r="BE161" s="85"/>
      <c r="BF161" s="85"/>
      <c r="BG161" s="85"/>
      <c r="BH161" s="85"/>
      <c r="BI161" s="85"/>
      <c r="BJ161" s="85"/>
      <c r="BK161" s="85"/>
      <c r="BL161" s="85"/>
      <c r="BM161" s="85"/>
      <c r="BN161" s="85"/>
      <c r="BO161" s="85"/>
      <c r="BP161" s="85"/>
      <c r="BQ161" s="85"/>
      <c r="BR161" s="85"/>
    </row>
    <row r="162" spans="1:70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  <c r="AT162" s="85"/>
      <c r="AU162" s="85"/>
      <c r="AV162" s="85"/>
      <c r="AW162" s="85"/>
      <c r="AX162" s="85"/>
      <c r="AY162" s="85"/>
      <c r="AZ162" s="85"/>
      <c r="BA162" s="85"/>
      <c r="BB162" s="85"/>
      <c r="BC162" s="85"/>
      <c r="BD162" s="85"/>
      <c r="BE162" s="85"/>
      <c r="BF162" s="85"/>
      <c r="BG162" s="85"/>
      <c r="BH162" s="85"/>
      <c r="BI162" s="85"/>
      <c r="BJ162" s="85"/>
      <c r="BK162" s="85"/>
      <c r="BL162" s="85"/>
      <c r="BM162" s="85"/>
      <c r="BN162" s="85"/>
      <c r="BO162" s="85"/>
      <c r="BP162" s="85"/>
      <c r="BQ162" s="85"/>
      <c r="BR162" s="85"/>
    </row>
    <row r="163" spans="1:70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  <c r="AT163" s="85"/>
      <c r="AU163" s="85"/>
      <c r="AV163" s="85"/>
      <c r="AW163" s="85"/>
      <c r="AX163" s="85"/>
      <c r="AY163" s="85"/>
      <c r="AZ163" s="85"/>
      <c r="BA163" s="85"/>
      <c r="BB163" s="85"/>
      <c r="BC163" s="85"/>
      <c r="BD163" s="85"/>
      <c r="BE163" s="85"/>
      <c r="BF163" s="85"/>
      <c r="BG163" s="85"/>
      <c r="BH163" s="85"/>
      <c r="BI163" s="85"/>
      <c r="BJ163" s="85"/>
      <c r="BK163" s="85"/>
      <c r="BL163" s="85"/>
      <c r="BM163" s="85"/>
      <c r="BN163" s="85"/>
      <c r="BO163" s="85"/>
      <c r="BP163" s="85"/>
      <c r="BQ163" s="85"/>
      <c r="BR163" s="85"/>
    </row>
    <row r="164" spans="1:70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  <c r="AT164" s="85"/>
      <c r="AU164" s="85"/>
      <c r="AV164" s="85"/>
      <c r="AW164" s="85"/>
      <c r="AX164" s="85"/>
      <c r="AY164" s="85"/>
      <c r="AZ164" s="85"/>
      <c r="BA164" s="85"/>
      <c r="BB164" s="85"/>
      <c r="BC164" s="85"/>
      <c r="BD164" s="85"/>
      <c r="BE164" s="85"/>
      <c r="BF164" s="85"/>
      <c r="BG164" s="85"/>
      <c r="BH164" s="85"/>
      <c r="BI164" s="85"/>
      <c r="BJ164" s="85"/>
      <c r="BK164" s="85"/>
      <c r="BL164" s="85"/>
      <c r="BM164" s="85"/>
      <c r="BN164" s="85"/>
      <c r="BO164" s="85"/>
      <c r="BP164" s="85"/>
      <c r="BQ164" s="85"/>
      <c r="BR164" s="85"/>
    </row>
    <row r="165" spans="1:70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  <c r="AT165" s="85"/>
      <c r="AU165" s="85"/>
      <c r="AV165" s="85"/>
      <c r="AW165" s="85"/>
      <c r="AX165" s="85"/>
      <c r="AY165" s="85"/>
      <c r="AZ165" s="85"/>
      <c r="BA165" s="85"/>
      <c r="BB165" s="85"/>
      <c r="BC165" s="85"/>
      <c r="BD165" s="85"/>
      <c r="BE165" s="85"/>
      <c r="BF165" s="85"/>
      <c r="BG165" s="85"/>
      <c r="BH165" s="85"/>
      <c r="BI165" s="85"/>
      <c r="BJ165" s="85"/>
      <c r="BK165" s="85"/>
      <c r="BL165" s="85"/>
      <c r="BM165" s="85"/>
      <c r="BN165" s="85"/>
      <c r="BO165" s="85"/>
      <c r="BP165" s="85"/>
      <c r="BQ165" s="85"/>
      <c r="BR165" s="85"/>
    </row>
    <row r="166" spans="1:70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  <c r="AT166" s="85"/>
      <c r="AU166" s="85"/>
      <c r="AV166" s="85"/>
      <c r="AW166" s="85"/>
      <c r="AX166" s="85"/>
      <c r="AY166" s="85"/>
      <c r="AZ166" s="85"/>
      <c r="BA166" s="85"/>
      <c r="BB166" s="85"/>
      <c r="BC166" s="85"/>
      <c r="BD166" s="85"/>
      <c r="BE166" s="85"/>
      <c r="BF166" s="85"/>
      <c r="BG166" s="85"/>
      <c r="BH166" s="85"/>
      <c r="BI166" s="85"/>
      <c r="BJ166" s="85"/>
      <c r="BK166" s="85"/>
      <c r="BL166" s="85"/>
      <c r="BM166" s="85"/>
      <c r="BN166" s="85"/>
      <c r="BO166" s="85"/>
      <c r="BP166" s="85"/>
      <c r="BQ166" s="85"/>
      <c r="BR166" s="85"/>
    </row>
    <row r="167" spans="1:70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  <c r="AT167" s="85"/>
      <c r="AU167" s="85"/>
      <c r="AV167" s="85"/>
      <c r="AW167" s="85"/>
      <c r="AX167" s="85"/>
      <c r="AY167" s="85"/>
      <c r="AZ167" s="85"/>
      <c r="BA167" s="85"/>
      <c r="BB167" s="85"/>
      <c r="BC167" s="85"/>
      <c r="BD167" s="85"/>
      <c r="BE167" s="85"/>
      <c r="BF167" s="85"/>
      <c r="BG167" s="85"/>
      <c r="BH167" s="85"/>
      <c r="BI167" s="85"/>
      <c r="BJ167" s="85"/>
      <c r="BK167" s="85"/>
      <c r="BL167" s="85"/>
      <c r="BM167" s="85"/>
      <c r="BN167" s="85"/>
      <c r="BO167" s="85"/>
      <c r="BP167" s="85"/>
      <c r="BQ167" s="85"/>
      <c r="BR167" s="85"/>
    </row>
    <row r="168" spans="1:70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  <c r="AT168" s="85"/>
      <c r="AU168" s="85"/>
      <c r="AV168" s="85"/>
      <c r="AW168" s="85"/>
      <c r="AX168" s="85"/>
      <c r="AY168" s="85"/>
      <c r="AZ168" s="85"/>
      <c r="BA168" s="85"/>
      <c r="BB168" s="85"/>
      <c r="BC168" s="85"/>
      <c r="BD168" s="85"/>
      <c r="BE168" s="85"/>
      <c r="BF168" s="85"/>
      <c r="BG168" s="85"/>
      <c r="BH168" s="85"/>
      <c r="BI168" s="85"/>
      <c r="BJ168" s="85"/>
      <c r="BK168" s="85"/>
      <c r="BL168" s="85"/>
      <c r="BM168" s="85"/>
      <c r="BN168" s="85"/>
      <c r="BO168" s="85"/>
      <c r="BP168" s="85"/>
      <c r="BQ168" s="85"/>
      <c r="BR168" s="85"/>
    </row>
    <row r="169" spans="1:70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  <c r="AT169" s="85"/>
      <c r="AU169" s="85"/>
      <c r="AV169" s="85"/>
      <c r="AW169" s="85"/>
      <c r="AX169" s="85"/>
      <c r="AY169" s="85"/>
      <c r="AZ169" s="85"/>
      <c r="BA169" s="85"/>
      <c r="BB169" s="85"/>
      <c r="BC169" s="85"/>
      <c r="BD169" s="85"/>
      <c r="BE169" s="85"/>
      <c r="BF169" s="85"/>
      <c r="BG169" s="85"/>
      <c r="BH169" s="85"/>
      <c r="BI169" s="85"/>
      <c r="BJ169" s="85"/>
      <c r="BK169" s="85"/>
      <c r="BL169" s="85"/>
      <c r="BM169" s="85"/>
      <c r="BN169" s="85"/>
      <c r="BO169" s="85"/>
      <c r="BP169" s="85"/>
      <c r="BQ169" s="85"/>
      <c r="BR169" s="85"/>
    </row>
    <row r="170" spans="1: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  <c r="AT170" s="85"/>
      <c r="AU170" s="85"/>
      <c r="AV170" s="85"/>
      <c r="AW170" s="85"/>
      <c r="AX170" s="85"/>
      <c r="AY170" s="85"/>
      <c r="AZ170" s="85"/>
      <c r="BA170" s="85"/>
      <c r="BB170" s="85"/>
      <c r="BC170" s="85"/>
      <c r="BD170" s="85"/>
      <c r="BE170" s="85"/>
      <c r="BF170" s="85"/>
      <c r="BG170" s="85"/>
      <c r="BH170" s="85"/>
      <c r="BI170" s="85"/>
      <c r="BJ170" s="85"/>
      <c r="BK170" s="85"/>
      <c r="BL170" s="85"/>
      <c r="BM170" s="85"/>
      <c r="BN170" s="85"/>
      <c r="BO170" s="85"/>
      <c r="BP170" s="85"/>
      <c r="BQ170" s="85"/>
      <c r="BR170" s="85"/>
    </row>
    <row r="171" spans="1:70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  <c r="AT171" s="85"/>
      <c r="AU171" s="85"/>
      <c r="AV171" s="85"/>
      <c r="AW171" s="85"/>
      <c r="AX171" s="85"/>
      <c r="AY171" s="85"/>
      <c r="AZ171" s="85"/>
      <c r="BA171" s="85"/>
      <c r="BB171" s="85"/>
      <c r="BC171" s="85"/>
      <c r="BD171" s="85"/>
      <c r="BE171" s="85"/>
      <c r="BF171" s="85"/>
      <c r="BG171" s="85"/>
      <c r="BH171" s="85"/>
      <c r="BI171" s="85"/>
      <c r="BJ171" s="85"/>
      <c r="BK171" s="85"/>
      <c r="BL171" s="85"/>
      <c r="BM171" s="85"/>
      <c r="BN171" s="85"/>
      <c r="BO171" s="85"/>
      <c r="BP171" s="85"/>
      <c r="BQ171" s="85"/>
      <c r="BR171" s="85"/>
    </row>
    <row r="172" spans="1:70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  <c r="AT172" s="85"/>
      <c r="AU172" s="85"/>
      <c r="AV172" s="85"/>
      <c r="AW172" s="85"/>
      <c r="AX172" s="85"/>
      <c r="AY172" s="85"/>
      <c r="AZ172" s="85"/>
      <c r="BA172" s="85"/>
      <c r="BB172" s="85"/>
      <c r="BC172" s="85"/>
      <c r="BD172" s="85"/>
      <c r="BE172" s="85"/>
      <c r="BF172" s="85"/>
      <c r="BG172" s="85"/>
      <c r="BH172" s="85"/>
      <c r="BI172" s="85"/>
      <c r="BJ172" s="85"/>
      <c r="BK172" s="85"/>
      <c r="BL172" s="85"/>
      <c r="BM172" s="85"/>
      <c r="BN172" s="85"/>
      <c r="BO172" s="85"/>
      <c r="BP172" s="85"/>
      <c r="BQ172" s="85"/>
      <c r="BR172" s="85"/>
    </row>
    <row r="173" spans="1:70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  <c r="AT173" s="85"/>
      <c r="AU173" s="85"/>
      <c r="AV173" s="85"/>
      <c r="AW173" s="85"/>
      <c r="AX173" s="85"/>
      <c r="AY173" s="85"/>
      <c r="AZ173" s="85"/>
      <c r="BA173" s="85"/>
      <c r="BB173" s="85"/>
      <c r="BC173" s="85"/>
      <c r="BD173" s="85"/>
      <c r="BE173" s="85"/>
      <c r="BF173" s="85"/>
      <c r="BG173" s="85"/>
      <c r="BH173" s="85"/>
      <c r="BI173" s="85"/>
      <c r="BJ173" s="85"/>
      <c r="BK173" s="85"/>
      <c r="BL173" s="85"/>
      <c r="BM173" s="85"/>
      <c r="BN173" s="85"/>
      <c r="BO173" s="85"/>
      <c r="BP173" s="85"/>
      <c r="BQ173" s="85"/>
      <c r="BR173" s="85"/>
    </row>
    <row r="174" spans="1:70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  <c r="AT174" s="85"/>
      <c r="AU174" s="85"/>
      <c r="AV174" s="85"/>
      <c r="AW174" s="85"/>
      <c r="AX174" s="85"/>
      <c r="AY174" s="85"/>
      <c r="AZ174" s="85"/>
      <c r="BA174" s="85"/>
      <c r="BB174" s="85"/>
      <c r="BC174" s="85"/>
      <c r="BD174" s="85"/>
      <c r="BE174" s="85"/>
      <c r="BF174" s="85"/>
      <c r="BG174" s="85"/>
      <c r="BH174" s="85"/>
      <c r="BI174" s="85"/>
      <c r="BJ174" s="85"/>
      <c r="BK174" s="85"/>
      <c r="BL174" s="85"/>
      <c r="BM174" s="85"/>
      <c r="BN174" s="85"/>
      <c r="BO174" s="85"/>
      <c r="BP174" s="85"/>
      <c r="BQ174" s="85"/>
      <c r="BR174" s="85"/>
    </row>
    <row r="175" spans="1:70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  <c r="AT175" s="85"/>
      <c r="AU175" s="85"/>
      <c r="AV175" s="85"/>
      <c r="AW175" s="85"/>
      <c r="AX175" s="85"/>
      <c r="AY175" s="85"/>
      <c r="AZ175" s="85"/>
      <c r="BA175" s="85"/>
      <c r="BB175" s="85"/>
      <c r="BC175" s="85"/>
      <c r="BD175" s="85"/>
      <c r="BE175" s="85"/>
      <c r="BF175" s="85"/>
      <c r="BG175" s="85"/>
      <c r="BH175" s="85"/>
      <c r="BI175" s="85"/>
      <c r="BJ175" s="85"/>
      <c r="BK175" s="85"/>
      <c r="BL175" s="85"/>
      <c r="BM175" s="85"/>
      <c r="BN175" s="85"/>
      <c r="BO175" s="85"/>
      <c r="BP175" s="85"/>
      <c r="BQ175" s="85"/>
      <c r="BR175" s="85"/>
    </row>
    <row r="176" spans="1:70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  <c r="AT176" s="85"/>
      <c r="AU176" s="85"/>
      <c r="AV176" s="85"/>
      <c r="AW176" s="85"/>
      <c r="AX176" s="85"/>
      <c r="AY176" s="85"/>
      <c r="AZ176" s="85"/>
      <c r="BA176" s="85"/>
      <c r="BB176" s="85"/>
      <c r="BC176" s="85"/>
      <c r="BD176" s="85"/>
      <c r="BE176" s="85"/>
      <c r="BF176" s="85"/>
      <c r="BG176" s="85"/>
      <c r="BH176" s="85"/>
      <c r="BI176" s="85"/>
      <c r="BJ176" s="85"/>
      <c r="BK176" s="85"/>
      <c r="BL176" s="85"/>
      <c r="BM176" s="85"/>
      <c r="BN176" s="85"/>
      <c r="BO176" s="85"/>
      <c r="BP176" s="85"/>
      <c r="BQ176" s="85"/>
      <c r="BR176" s="85"/>
    </row>
    <row r="177" spans="1:70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5"/>
      <c r="BK177" s="85"/>
      <c r="BL177" s="85"/>
      <c r="BM177" s="85"/>
      <c r="BN177" s="85"/>
      <c r="BO177" s="85"/>
      <c r="BP177" s="85"/>
      <c r="BQ177" s="85"/>
      <c r="BR177" s="85"/>
    </row>
    <row r="178" spans="1:70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  <c r="AT178" s="85"/>
      <c r="AU178" s="85"/>
      <c r="AV178" s="85"/>
      <c r="AW178" s="85"/>
      <c r="AX178" s="85"/>
      <c r="AY178" s="85"/>
      <c r="AZ178" s="85"/>
      <c r="BA178" s="85"/>
      <c r="BB178" s="85"/>
      <c r="BC178" s="85"/>
      <c r="BD178" s="85"/>
      <c r="BE178" s="85"/>
      <c r="BF178" s="85"/>
      <c r="BG178" s="85"/>
      <c r="BH178" s="85"/>
      <c r="BI178" s="85"/>
      <c r="BJ178" s="85"/>
      <c r="BK178" s="85"/>
      <c r="BL178" s="85"/>
      <c r="BM178" s="85"/>
      <c r="BN178" s="85"/>
      <c r="BO178" s="85"/>
      <c r="BP178" s="85"/>
      <c r="BQ178" s="85"/>
      <c r="BR178" s="85"/>
    </row>
    <row r="179" spans="1:70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  <c r="AT179" s="85"/>
      <c r="AU179" s="85"/>
      <c r="AV179" s="85"/>
      <c r="AW179" s="85"/>
      <c r="AX179" s="85"/>
      <c r="AY179" s="85"/>
      <c r="AZ179" s="85"/>
      <c r="BA179" s="85"/>
      <c r="BB179" s="85"/>
      <c r="BC179" s="85"/>
      <c r="BD179" s="85"/>
      <c r="BE179" s="85"/>
      <c r="BF179" s="85"/>
      <c r="BG179" s="85"/>
      <c r="BH179" s="85"/>
      <c r="BI179" s="85"/>
      <c r="BJ179" s="85"/>
      <c r="BK179" s="85"/>
      <c r="BL179" s="85"/>
      <c r="BM179" s="85"/>
      <c r="BN179" s="85"/>
      <c r="BO179" s="85"/>
      <c r="BP179" s="85"/>
      <c r="BQ179" s="85"/>
      <c r="BR179" s="85"/>
    </row>
    <row r="180" spans="1:7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  <c r="AT180" s="85"/>
      <c r="AU180" s="85"/>
      <c r="AV180" s="85"/>
      <c r="AW180" s="85"/>
      <c r="AX180" s="85"/>
      <c r="AY180" s="85"/>
      <c r="AZ180" s="85"/>
      <c r="BA180" s="85"/>
      <c r="BB180" s="85"/>
      <c r="BC180" s="85"/>
      <c r="BD180" s="85"/>
      <c r="BE180" s="85"/>
      <c r="BF180" s="85"/>
      <c r="BG180" s="85"/>
      <c r="BH180" s="85"/>
      <c r="BI180" s="85"/>
      <c r="BJ180" s="85"/>
      <c r="BK180" s="85"/>
      <c r="BL180" s="85"/>
      <c r="BM180" s="85"/>
      <c r="BN180" s="85"/>
      <c r="BO180" s="85"/>
      <c r="BP180" s="85"/>
      <c r="BQ180" s="85"/>
      <c r="BR180" s="85"/>
    </row>
    <row r="181" spans="1:70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  <c r="AT181" s="85"/>
      <c r="AU181" s="85"/>
      <c r="AV181" s="85"/>
      <c r="AW181" s="85"/>
      <c r="AX181" s="85"/>
      <c r="AY181" s="85"/>
      <c r="AZ181" s="85"/>
      <c r="BA181" s="85"/>
      <c r="BB181" s="85"/>
      <c r="BC181" s="85"/>
      <c r="BD181" s="85"/>
      <c r="BE181" s="85"/>
      <c r="BF181" s="85"/>
      <c r="BG181" s="85"/>
      <c r="BH181" s="85"/>
      <c r="BI181" s="85"/>
      <c r="BJ181" s="85"/>
      <c r="BK181" s="85"/>
      <c r="BL181" s="85"/>
      <c r="BM181" s="85"/>
      <c r="BN181" s="85"/>
      <c r="BO181" s="85"/>
      <c r="BP181" s="85"/>
      <c r="BQ181" s="85"/>
      <c r="BR181" s="85"/>
    </row>
    <row r="182" spans="1:70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  <c r="AT182" s="85"/>
      <c r="AU182" s="85"/>
      <c r="AV182" s="85"/>
      <c r="AW182" s="85"/>
      <c r="AX182" s="85"/>
      <c r="AY182" s="85"/>
      <c r="AZ182" s="85"/>
      <c r="BA182" s="85"/>
      <c r="BB182" s="85"/>
      <c r="BC182" s="85"/>
      <c r="BD182" s="85"/>
      <c r="BE182" s="85"/>
      <c r="BF182" s="85"/>
      <c r="BG182" s="85"/>
      <c r="BH182" s="85"/>
      <c r="BI182" s="85"/>
      <c r="BJ182" s="85"/>
      <c r="BK182" s="85"/>
      <c r="BL182" s="85"/>
      <c r="BM182" s="85"/>
      <c r="BN182" s="85"/>
      <c r="BO182" s="85"/>
      <c r="BP182" s="85"/>
      <c r="BQ182" s="85"/>
      <c r="BR182" s="85"/>
    </row>
    <row r="183" spans="1:70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  <c r="AT183" s="85"/>
      <c r="AU183" s="85"/>
      <c r="AV183" s="85"/>
      <c r="AW183" s="85"/>
      <c r="AX183" s="85"/>
      <c r="AY183" s="85"/>
      <c r="AZ183" s="85"/>
      <c r="BA183" s="85"/>
      <c r="BB183" s="85"/>
      <c r="BC183" s="85"/>
      <c r="BD183" s="85"/>
      <c r="BE183" s="85"/>
      <c r="BF183" s="85"/>
      <c r="BG183" s="85"/>
      <c r="BH183" s="85"/>
      <c r="BI183" s="85"/>
      <c r="BJ183" s="85"/>
      <c r="BK183" s="85"/>
      <c r="BL183" s="85"/>
      <c r="BM183" s="85"/>
      <c r="BN183" s="85"/>
      <c r="BO183" s="85"/>
      <c r="BP183" s="85"/>
      <c r="BQ183" s="85"/>
      <c r="BR183" s="85"/>
    </row>
    <row r="184" spans="1:70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</row>
    <row r="185" spans="1:70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</row>
    <row r="186" spans="1:70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  <c r="AT186" s="85"/>
      <c r="AU186" s="85"/>
      <c r="AV186" s="85"/>
      <c r="AW186" s="85"/>
      <c r="AX186" s="85"/>
      <c r="AY186" s="85"/>
      <c r="AZ186" s="85"/>
      <c r="BA186" s="85"/>
      <c r="BB186" s="85"/>
      <c r="BC186" s="85"/>
      <c r="BD186" s="85"/>
      <c r="BE186" s="85"/>
      <c r="BF186" s="85"/>
      <c r="BG186" s="85"/>
      <c r="BH186" s="85"/>
      <c r="BI186" s="85"/>
      <c r="BJ186" s="85"/>
      <c r="BK186" s="85"/>
      <c r="BL186" s="85"/>
      <c r="BM186" s="85"/>
      <c r="BN186" s="85"/>
      <c r="BO186" s="85"/>
      <c r="BP186" s="85"/>
      <c r="BQ186" s="85"/>
      <c r="BR186" s="85"/>
    </row>
    <row r="187" spans="1:70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</row>
    <row r="188" spans="1:70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</row>
    <row r="189" spans="1:70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  <c r="AT189" s="85"/>
      <c r="AU189" s="85"/>
      <c r="AV189" s="85"/>
      <c r="AW189" s="85"/>
      <c r="AX189" s="85"/>
      <c r="AY189" s="85"/>
      <c r="AZ189" s="85"/>
      <c r="BA189" s="85"/>
      <c r="BB189" s="85"/>
      <c r="BC189" s="85"/>
      <c r="BD189" s="85"/>
      <c r="BE189" s="85"/>
      <c r="BF189" s="85"/>
      <c r="BG189" s="85"/>
      <c r="BH189" s="85"/>
      <c r="BI189" s="85"/>
      <c r="BJ189" s="85"/>
      <c r="BK189" s="85"/>
      <c r="BL189" s="85"/>
      <c r="BM189" s="85"/>
      <c r="BN189" s="85"/>
      <c r="BO189" s="85"/>
      <c r="BP189" s="85"/>
      <c r="BQ189" s="85"/>
      <c r="BR189" s="85"/>
    </row>
    <row r="190" spans="1:7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  <c r="AT190" s="85"/>
      <c r="AU190" s="85"/>
      <c r="AV190" s="85"/>
      <c r="AW190" s="85"/>
      <c r="AX190" s="85"/>
      <c r="AY190" s="85"/>
      <c r="AZ190" s="85"/>
      <c r="BA190" s="85"/>
      <c r="BB190" s="85"/>
      <c r="BC190" s="85"/>
      <c r="BD190" s="85"/>
      <c r="BE190" s="85"/>
      <c r="BF190" s="85"/>
      <c r="BG190" s="85"/>
      <c r="BH190" s="85"/>
      <c r="BI190" s="85"/>
      <c r="BJ190" s="85"/>
      <c r="BK190" s="85"/>
      <c r="BL190" s="85"/>
      <c r="BM190" s="85"/>
      <c r="BN190" s="85"/>
      <c r="BO190" s="85"/>
      <c r="BP190" s="85"/>
      <c r="BQ190" s="85"/>
      <c r="BR190" s="85"/>
    </row>
    <row r="191" spans="1:70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  <c r="AT191" s="85"/>
      <c r="AU191" s="85"/>
      <c r="AV191" s="85"/>
      <c r="AW191" s="85"/>
      <c r="AX191" s="85"/>
      <c r="AY191" s="85"/>
      <c r="AZ191" s="85"/>
      <c r="BA191" s="85"/>
      <c r="BB191" s="85"/>
      <c r="BC191" s="85"/>
      <c r="BD191" s="85"/>
      <c r="BE191" s="85"/>
      <c r="BF191" s="85"/>
      <c r="BG191" s="85"/>
      <c r="BH191" s="85"/>
      <c r="BI191" s="85"/>
      <c r="BJ191" s="85"/>
      <c r="BK191" s="85"/>
      <c r="BL191" s="85"/>
      <c r="BM191" s="85"/>
      <c r="BN191" s="85"/>
      <c r="BO191" s="85"/>
      <c r="BP191" s="85"/>
      <c r="BQ191" s="85"/>
      <c r="BR191" s="85"/>
    </row>
    <row r="192" spans="1:70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  <c r="AT192" s="85"/>
      <c r="AU192" s="85"/>
      <c r="AV192" s="85"/>
      <c r="AW192" s="85"/>
      <c r="AX192" s="85"/>
      <c r="AY192" s="85"/>
      <c r="AZ192" s="85"/>
      <c r="BA192" s="85"/>
      <c r="BB192" s="85"/>
      <c r="BC192" s="85"/>
      <c r="BD192" s="85"/>
      <c r="BE192" s="85"/>
      <c r="BF192" s="85"/>
      <c r="BG192" s="85"/>
      <c r="BH192" s="85"/>
      <c r="BI192" s="85"/>
      <c r="BJ192" s="85"/>
      <c r="BK192" s="85"/>
      <c r="BL192" s="85"/>
      <c r="BM192" s="85"/>
      <c r="BN192" s="85"/>
      <c r="BO192" s="85"/>
      <c r="BP192" s="85"/>
      <c r="BQ192" s="85"/>
      <c r="BR192" s="85"/>
    </row>
    <row r="193" spans="1:70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  <c r="AT193" s="85"/>
      <c r="AU193" s="85"/>
      <c r="AV193" s="85"/>
      <c r="AW193" s="85"/>
      <c r="AX193" s="85"/>
      <c r="AY193" s="85"/>
      <c r="AZ193" s="85"/>
      <c r="BA193" s="85"/>
      <c r="BB193" s="85"/>
      <c r="BC193" s="85"/>
      <c r="BD193" s="85"/>
      <c r="BE193" s="85"/>
      <c r="BF193" s="85"/>
      <c r="BG193" s="85"/>
      <c r="BH193" s="85"/>
      <c r="BI193" s="85"/>
      <c r="BJ193" s="85"/>
      <c r="BK193" s="85"/>
      <c r="BL193" s="85"/>
      <c r="BM193" s="85"/>
      <c r="BN193" s="85"/>
      <c r="BO193" s="85"/>
      <c r="BP193" s="85"/>
      <c r="BQ193" s="85"/>
      <c r="BR193" s="85"/>
    </row>
    <row r="194" spans="1:70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  <c r="AT194" s="85"/>
      <c r="AU194" s="85"/>
      <c r="AV194" s="85"/>
      <c r="AW194" s="85"/>
      <c r="AX194" s="85"/>
      <c r="AY194" s="85"/>
      <c r="AZ194" s="85"/>
      <c r="BA194" s="85"/>
      <c r="BB194" s="85"/>
      <c r="BC194" s="85"/>
      <c r="BD194" s="85"/>
      <c r="BE194" s="85"/>
      <c r="BF194" s="85"/>
      <c r="BG194" s="85"/>
      <c r="BH194" s="85"/>
      <c r="BI194" s="85"/>
      <c r="BJ194" s="85"/>
      <c r="BK194" s="85"/>
      <c r="BL194" s="85"/>
      <c r="BM194" s="85"/>
      <c r="BN194" s="85"/>
      <c r="BO194" s="85"/>
      <c r="BP194" s="85"/>
      <c r="BQ194" s="85"/>
      <c r="BR194" s="85"/>
    </row>
    <row r="195" spans="1:70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  <c r="AT195" s="85"/>
      <c r="AU195" s="85"/>
      <c r="AV195" s="85"/>
      <c r="AW195" s="85"/>
      <c r="AX195" s="85"/>
      <c r="AY195" s="85"/>
      <c r="AZ195" s="85"/>
      <c r="BA195" s="85"/>
      <c r="BB195" s="85"/>
      <c r="BC195" s="85"/>
      <c r="BD195" s="85"/>
      <c r="BE195" s="85"/>
      <c r="BF195" s="85"/>
      <c r="BG195" s="85"/>
      <c r="BH195" s="85"/>
      <c r="BI195" s="85"/>
      <c r="BJ195" s="85"/>
      <c r="BK195" s="85"/>
      <c r="BL195" s="85"/>
      <c r="BM195" s="85"/>
      <c r="BN195" s="85"/>
      <c r="BO195" s="85"/>
      <c r="BP195" s="85"/>
      <c r="BQ195" s="85"/>
      <c r="BR195" s="85"/>
    </row>
    <row r="196" spans="1:70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  <c r="AT196" s="85"/>
      <c r="AU196" s="85"/>
      <c r="AV196" s="85"/>
      <c r="AW196" s="85"/>
      <c r="AX196" s="85"/>
      <c r="AY196" s="85"/>
      <c r="AZ196" s="85"/>
      <c r="BA196" s="85"/>
      <c r="BB196" s="85"/>
      <c r="BC196" s="85"/>
      <c r="BD196" s="85"/>
      <c r="BE196" s="85"/>
      <c r="BF196" s="85"/>
      <c r="BG196" s="85"/>
      <c r="BH196" s="85"/>
      <c r="BI196" s="85"/>
      <c r="BJ196" s="85"/>
      <c r="BK196" s="85"/>
      <c r="BL196" s="85"/>
      <c r="BM196" s="85"/>
      <c r="BN196" s="85"/>
      <c r="BO196" s="85"/>
      <c r="BP196" s="85"/>
      <c r="BQ196" s="85"/>
      <c r="BR196" s="85"/>
    </row>
    <row r="197" spans="1:70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</row>
    <row r="198" spans="1:70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</row>
    <row r="199" spans="1:70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</row>
    <row r="200" spans="1:7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  <c r="AT200" s="85"/>
      <c r="AU200" s="85"/>
      <c r="AV200" s="85"/>
      <c r="AW200" s="85"/>
      <c r="AX200" s="85"/>
      <c r="AY200" s="85"/>
      <c r="AZ200" s="85"/>
      <c r="BA200" s="85"/>
      <c r="BB200" s="85"/>
      <c r="BC200" s="85"/>
      <c r="BD200" s="85"/>
      <c r="BE200" s="85"/>
      <c r="BF200" s="85"/>
      <c r="BG200" s="85"/>
      <c r="BH200" s="85"/>
      <c r="BI200" s="85"/>
      <c r="BJ200" s="85"/>
      <c r="BK200" s="85"/>
      <c r="BL200" s="85"/>
      <c r="BM200" s="85"/>
      <c r="BN200" s="85"/>
      <c r="BO200" s="85"/>
      <c r="BP200" s="85"/>
      <c r="BQ200" s="85"/>
      <c r="BR200" s="85"/>
    </row>
    <row r="201" spans="1:70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</row>
    <row r="202" spans="1:70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  <c r="AT202" s="85"/>
      <c r="AU202" s="85"/>
      <c r="AV202" s="85"/>
      <c r="AW202" s="85"/>
      <c r="AX202" s="85"/>
      <c r="AY202" s="85"/>
      <c r="AZ202" s="85"/>
      <c r="BA202" s="85"/>
      <c r="BB202" s="85"/>
      <c r="BC202" s="85"/>
      <c r="BD202" s="85"/>
      <c r="BE202" s="85"/>
      <c r="BF202" s="85"/>
      <c r="BG202" s="85"/>
      <c r="BH202" s="85"/>
      <c r="BI202" s="85"/>
      <c r="BJ202" s="85"/>
      <c r="BK202" s="85"/>
      <c r="BL202" s="85"/>
      <c r="BM202" s="85"/>
      <c r="BN202" s="85"/>
      <c r="BO202" s="85"/>
      <c r="BP202" s="85"/>
      <c r="BQ202" s="85"/>
      <c r="BR202" s="85"/>
    </row>
    <row r="203" spans="1:70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  <c r="AT203" s="85"/>
      <c r="AU203" s="85"/>
      <c r="AV203" s="85"/>
      <c r="AW203" s="85"/>
      <c r="AX203" s="85"/>
      <c r="AY203" s="85"/>
      <c r="AZ203" s="85"/>
      <c r="BA203" s="85"/>
      <c r="BB203" s="85"/>
      <c r="BC203" s="85"/>
      <c r="BD203" s="85"/>
      <c r="BE203" s="85"/>
      <c r="BF203" s="85"/>
      <c r="BG203" s="85"/>
      <c r="BH203" s="85"/>
      <c r="BI203" s="85"/>
      <c r="BJ203" s="85"/>
      <c r="BK203" s="85"/>
      <c r="BL203" s="85"/>
      <c r="BM203" s="85"/>
      <c r="BN203" s="85"/>
      <c r="BO203" s="85"/>
      <c r="BP203" s="85"/>
      <c r="BQ203" s="85"/>
      <c r="BR203" s="85"/>
    </row>
    <row r="204" spans="1:70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  <c r="AT204" s="85"/>
      <c r="AU204" s="85"/>
      <c r="AV204" s="85"/>
      <c r="AW204" s="85"/>
      <c r="AX204" s="85"/>
      <c r="AY204" s="85"/>
      <c r="AZ204" s="85"/>
      <c r="BA204" s="85"/>
      <c r="BB204" s="85"/>
      <c r="BC204" s="85"/>
      <c r="BD204" s="85"/>
      <c r="BE204" s="85"/>
      <c r="BF204" s="85"/>
      <c r="BG204" s="85"/>
      <c r="BH204" s="85"/>
      <c r="BI204" s="85"/>
      <c r="BJ204" s="85"/>
      <c r="BK204" s="85"/>
      <c r="BL204" s="85"/>
      <c r="BM204" s="85"/>
      <c r="BN204" s="85"/>
      <c r="BO204" s="85"/>
      <c r="BP204" s="85"/>
      <c r="BQ204" s="85"/>
      <c r="BR204" s="85"/>
    </row>
    <row r="205" spans="1:70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  <c r="AT205" s="85"/>
      <c r="AU205" s="85"/>
      <c r="AV205" s="85"/>
      <c r="AW205" s="85"/>
      <c r="AX205" s="85"/>
      <c r="AY205" s="85"/>
      <c r="AZ205" s="85"/>
      <c r="BA205" s="85"/>
      <c r="BB205" s="85"/>
      <c r="BC205" s="85"/>
      <c r="BD205" s="85"/>
      <c r="BE205" s="85"/>
      <c r="BF205" s="85"/>
      <c r="BG205" s="85"/>
      <c r="BH205" s="85"/>
      <c r="BI205" s="85"/>
      <c r="BJ205" s="85"/>
      <c r="BK205" s="85"/>
      <c r="BL205" s="85"/>
      <c r="BM205" s="85"/>
      <c r="BN205" s="85"/>
      <c r="BO205" s="85"/>
      <c r="BP205" s="85"/>
      <c r="BQ205" s="85"/>
      <c r="BR205" s="85"/>
    </row>
    <row r="206" spans="1:70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  <c r="AT206" s="85"/>
      <c r="AU206" s="85"/>
      <c r="AV206" s="85"/>
      <c r="AW206" s="85"/>
      <c r="AX206" s="85"/>
      <c r="AY206" s="85"/>
      <c r="AZ206" s="85"/>
      <c r="BA206" s="85"/>
      <c r="BB206" s="85"/>
      <c r="BC206" s="85"/>
      <c r="BD206" s="85"/>
      <c r="BE206" s="85"/>
      <c r="BF206" s="85"/>
      <c r="BG206" s="85"/>
      <c r="BH206" s="85"/>
      <c r="BI206" s="85"/>
      <c r="BJ206" s="85"/>
      <c r="BK206" s="85"/>
      <c r="BL206" s="85"/>
      <c r="BM206" s="85"/>
      <c r="BN206" s="85"/>
      <c r="BO206" s="85"/>
      <c r="BP206" s="85"/>
      <c r="BQ206" s="85"/>
      <c r="BR206" s="85"/>
    </row>
    <row r="207" spans="1:70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  <c r="AQ207" s="85"/>
      <c r="AR207" s="85"/>
      <c r="AS207" s="85"/>
      <c r="AT207" s="85"/>
      <c r="AU207" s="85"/>
      <c r="AV207" s="85"/>
      <c r="AW207" s="85"/>
      <c r="AX207" s="85"/>
      <c r="AY207" s="85"/>
      <c r="AZ207" s="85"/>
      <c r="BA207" s="85"/>
      <c r="BB207" s="85"/>
      <c r="BC207" s="85"/>
      <c r="BD207" s="85"/>
      <c r="BE207" s="85"/>
      <c r="BF207" s="85"/>
      <c r="BG207" s="85"/>
      <c r="BH207" s="85"/>
      <c r="BI207" s="85"/>
      <c r="BJ207" s="85"/>
      <c r="BK207" s="85"/>
      <c r="BL207" s="85"/>
      <c r="BM207" s="85"/>
      <c r="BN207" s="85"/>
      <c r="BO207" s="85"/>
      <c r="BP207" s="85"/>
      <c r="BQ207" s="85"/>
      <c r="BR207" s="85"/>
    </row>
    <row r="208" spans="1:70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  <c r="AQ208" s="85"/>
      <c r="AR208" s="85"/>
      <c r="AS208" s="85"/>
      <c r="AT208" s="85"/>
      <c r="AU208" s="85"/>
      <c r="AV208" s="85"/>
      <c r="AW208" s="85"/>
      <c r="AX208" s="85"/>
      <c r="AY208" s="85"/>
      <c r="AZ208" s="85"/>
      <c r="BA208" s="85"/>
      <c r="BB208" s="85"/>
      <c r="BC208" s="85"/>
      <c r="BD208" s="85"/>
      <c r="BE208" s="85"/>
      <c r="BF208" s="85"/>
      <c r="BG208" s="85"/>
      <c r="BH208" s="85"/>
      <c r="BI208" s="85"/>
      <c r="BJ208" s="85"/>
      <c r="BK208" s="85"/>
      <c r="BL208" s="85"/>
      <c r="BM208" s="85"/>
      <c r="BN208" s="85"/>
      <c r="BO208" s="85"/>
      <c r="BP208" s="85"/>
      <c r="BQ208" s="85"/>
      <c r="BR208" s="85"/>
    </row>
    <row r="209" spans="1:70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  <c r="AQ209" s="85"/>
      <c r="AR209" s="85"/>
      <c r="AS209" s="85"/>
      <c r="AT209" s="85"/>
      <c r="AU209" s="85"/>
      <c r="AV209" s="85"/>
      <c r="AW209" s="85"/>
      <c r="AX209" s="85"/>
      <c r="AY209" s="85"/>
      <c r="AZ209" s="85"/>
      <c r="BA209" s="85"/>
      <c r="BB209" s="85"/>
      <c r="BC209" s="85"/>
      <c r="BD209" s="85"/>
      <c r="BE209" s="85"/>
      <c r="BF209" s="85"/>
      <c r="BG209" s="85"/>
      <c r="BH209" s="85"/>
      <c r="BI209" s="85"/>
      <c r="BJ209" s="85"/>
      <c r="BK209" s="85"/>
      <c r="BL209" s="85"/>
      <c r="BM209" s="85"/>
      <c r="BN209" s="85"/>
      <c r="BO209" s="85"/>
      <c r="BP209" s="85"/>
      <c r="BQ209" s="85"/>
      <c r="BR209" s="85"/>
    </row>
    <row r="210" spans="1:7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  <c r="AQ210" s="85"/>
      <c r="AR210" s="85"/>
      <c r="AS210" s="85"/>
      <c r="AT210" s="85"/>
      <c r="AU210" s="85"/>
      <c r="AV210" s="85"/>
      <c r="AW210" s="85"/>
      <c r="AX210" s="85"/>
      <c r="AY210" s="85"/>
      <c r="AZ210" s="85"/>
      <c r="BA210" s="85"/>
      <c r="BB210" s="85"/>
      <c r="BC210" s="85"/>
      <c r="BD210" s="85"/>
      <c r="BE210" s="85"/>
      <c r="BF210" s="85"/>
      <c r="BG210" s="85"/>
      <c r="BH210" s="85"/>
      <c r="BI210" s="85"/>
      <c r="BJ210" s="85"/>
      <c r="BK210" s="85"/>
      <c r="BL210" s="85"/>
      <c r="BM210" s="85"/>
      <c r="BN210" s="85"/>
      <c r="BO210" s="85"/>
      <c r="BP210" s="85"/>
      <c r="BQ210" s="85"/>
      <c r="BR210" s="85"/>
    </row>
    <row r="211" spans="1:70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  <c r="AQ211" s="85"/>
      <c r="AR211" s="85"/>
      <c r="AS211" s="85"/>
      <c r="AT211" s="85"/>
      <c r="AU211" s="85"/>
      <c r="AV211" s="85"/>
      <c r="AW211" s="85"/>
      <c r="AX211" s="85"/>
      <c r="AY211" s="85"/>
      <c r="AZ211" s="85"/>
      <c r="BA211" s="85"/>
      <c r="BB211" s="85"/>
      <c r="BC211" s="85"/>
      <c r="BD211" s="85"/>
      <c r="BE211" s="85"/>
      <c r="BF211" s="85"/>
      <c r="BG211" s="85"/>
      <c r="BH211" s="85"/>
      <c r="BI211" s="85"/>
      <c r="BJ211" s="85"/>
      <c r="BK211" s="85"/>
      <c r="BL211" s="85"/>
      <c r="BM211" s="85"/>
      <c r="BN211" s="85"/>
      <c r="BO211" s="85"/>
      <c r="BP211" s="85"/>
      <c r="BQ211" s="85"/>
      <c r="BR211" s="85"/>
    </row>
    <row r="212" spans="1:70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  <c r="AQ212" s="85"/>
      <c r="AR212" s="85"/>
      <c r="AS212" s="85"/>
      <c r="AT212" s="85"/>
      <c r="AU212" s="85"/>
      <c r="AV212" s="85"/>
      <c r="AW212" s="85"/>
      <c r="AX212" s="85"/>
      <c r="AY212" s="85"/>
      <c r="AZ212" s="85"/>
      <c r="BA212" s="85"/>
      <c r="BB212" s="85"/>
      <c r="BC212" s="85"/>
      <c r="BD212" s="85"/>
      <c r="BE212" s="85"/>
      <c r="BF212" s="85"/>
      <c r="BG212" s="85"/>
      <c r="BH212" s="85"/>
      <c r="BI212" s="85"/>
      <c r="BJ212" s="85"/>
      <c r="BK212" s="85"/>
      <c r="BL212" s="85"/>
      <c r="BM212" s="85"/>
      <c r="BN212" s="85"/>
      <c r="BO212" s="85"/>
      <c r="BP212" s="85"/>
      <c r="BQ212" s="85"/>
      <c r="BR212" s="85"/>
    </row>
    <row r="213" spans="1:70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  <c r="AQ213" s="85"/>
      <c r="AR213" s="85"/>
      <c r="AS213" s="85"/>
      <c r="AT213" s="85"/>
      <c r="AU213" s="85"/>
      <c r="AV213" s="85"/>
      <c r="AW213" s="85"/>
      <c r="AX213" s="85"/>
      <c r="AY213" s="85"/>
      <c r="AZ213" s="85"/>
      <c r="BA213" s="85"/>
      <c r="BB213" s="85"/>
      <c r="BC213" s="85"/>
      <c r="BD213" s="85"/>
      <c r="BE213" s="85"/>
      <c r="BF213" s="85"/>
      <c r="BG213" s="85"/>
      <c r="BH213" s="85"/>
      <c r="BI213" s="85"/>
      <c r="BJ213" s="85"/>
      <c r="BK213" s="85"/>
      <c r="BL213" s="85"/>
      <c r="BM213" s="85"/>
      <c r="BN213" s="85"/>
      <c r="BO213" s="85"/>
      <c r="BP213" s="85"/>
      <c r="BQ213" s="85"/>
      <c r="BR213" s="85"/>
    </row>
    <row r="214" spans="1:70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  <c r="AQ214" s="85"/>
      <c r="AR214" s="85"/>
      <c r="AS214" s="85"/>
      <c r="AT214" s="85"/>
      <c r="AU214" s="85"/>
      <c r="AV214" s="85"/>
      <c r="AW214" s="85"/>
      <c r="AX214" s="85"/>
      <c r="AY214" s="85"/>
      <c r="AZ214" s="85"/>
      <c r="BA214" s="85"/>
      <c r="BB214" s="85"/>
      <c r="BC214" s="85"/>
      <c r="BD214" s="85"/>
      <c r="BE214" s="85"/>
      <c r="BF214" s="85"/>
      <c r="BG214" s="85"/>
      <c r="BH214" s="85"/>
      <c r="BI214" s="85"/>
      <c r="BJ214" s="85"/>
      <c r="BK214" s="85"/>
      <c r="BL214" s="85"/>
      <c r="BM214" s="85"/>
      <c r="BN214" s="85"/>
      <c r="BO214" s="85"/>
      <c r="BP214" s="85"/>
      <c r="BQ214" s="85"/>
      <c r="BR214" s="85"/>
    </row>
    <row r="215" spans="1:70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  <c r="AQ215" s="85"/>
      <c r="AR215" s="85"/>
      <c r="AS215" s="85"/>
      <c r="AT215" s="85"/>
      <c r="AU215" s="85"/>
      <c r="AV215" s="85"/>
      <c r="AW215" s="85"/>
      <c r="AX215" s="85"/>
      <c r="AY215" s="85"/>
      <c r="AZ215" s="85"/>
      <c r="BA215" s="85"/>
      <c r="BB215" s="85"/>
      <c r="BC215" s="85"/>
      <c r="BD215" s="85"/>
      <c r="BE215" s="85"/>
      <c r="BF215" s="85"/>
      <c r="BG215" s="85"/>
      <c r="BH215" s="85"/>
      <c r="BI215" s="85"/>
      <c r="BJ215" s="85"/>
      <c r="BK215" s="85"/>
      <c r="BL215" s="85"/>
      <c r="BM215" s="85"/>
      <c r="BN215" s="85"/>
      <c r="BO215" s="85"/>
      <c r="BP215" s="85"/>
      <c r="BQ215" s="85"/>
      <c r="BR215" s="85"/>
    </row>
    <row r="216" spans="1:70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  <c r="AQ216" s="85"/>
      <c r="AR216" s="85"/>
      <c r="AS216" s="85"/>
      <c r="AT216" s="85"/>
      <c r="AU216" s="85"/>
      <c r="AV216" s="85"/>
      <c r="AW216" s="85"/>
      <c r="AX216" s="85"/>
      <c r="AY216" s="85"/>
      <c r="AZ216" s="85"/>
      <c r="BA216" s="85"/>
      <c r="BB216" s="85"/>
      <c r="BC216" s="85"/>
      <c r="BD216" s="85"/>
      <c r="BE216" s="85"/>
      <c r="BF216" s="85"/>
      <c r="BG216" s="85"/>
      <c r="BH216" s="85"/>
      <c r="BI216" s="85"/>
      <c r="BJ216" s="85"/>
      <c r="BK216" s="85"/>
      <c r="BL216" s="85"/>
      <c r="BM216" s="85"/>
      <c r="BN216" s="85"/>
      <c r="BO216" s="85"/>
      <c r="BP216" s="85"/>
      <c r="BQ216" s="85"/>
      <c r="BR216" s="85"/>
    </row>
    <row r="217" spans="1:70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  <c r="AQ217" s="85"/>
      <c r="AR217" s="85"/>
      <c r="AS217" s="85"/>
      <c r="AT217" s="85"/>
      <c r="AU217" s="85"/>
      <c r="AV217" s="85"/>
      <c r="AW217" s="85"/>
      <c r="AX217" s="85"/>
      <c r="AY217" s="85"/>
      <c r="AZ217" s="85"/>
      <c r="BA217" s="85"/>
      <c r="BB217" s="85"/>
      <c r="BC217" s="85"/>
      <c r="BD217" s="85"/>
      <c r="BE217" s="85"/>
      <c r="BF217" s="85"/>
      <c r="BG217" s="85"/>
      <c r="BH217" s="85"/>
      <c r="BI217" s="85"/>
      <c r="BJ217" s="85"/>
      <c r="BK217" s="85"/>
      <c r="BL217" s="85"/>
      <c r="BM217" s="85"/>
      <c r="BN217" s="85"/>
      <c r="BO217" s="85"/>
      <c r="BP217" s="85"/>
      <c r="BQ217" s="85"/>
      <c r="BR217" s="85"/>
    </row>
    <row r="218" spans="1:70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  <c r="AT218" s="85"/>
      <c r="AU218" s="85"/>
      <c r="AV218" s="85"/>
      <c r="AW218" s="85"/>
      <c r="AX218" s="85"/>
      <c r="AY218" s="85"/>
      <c r="AZ218" s="85"/>
      <c r="BA218" s="85"/>
      <c r="BB218" s="85"/>
      <c r="BC218" s="85"/>
      <c r="BD218" s="85"/>
      <c r="BE218" s="85"/>
      <c r="BF218" s="85"/>
      <c r="BG218" s="85"/>
      <c r="BH218" s="85"/>
      <c r="BI218" s="85"/>
      <c r="BJ218" s="85"/>
      <c r="BK218" s="85"/>
      <c r="BL218" s="85"/>
      <c r="BM218" s="85"/>
      <c r="BN218" s="85"/>
      <c r="BO218" s="85"/>
      <c r="BP218" s="85"/>
      <c r="BQ218" s="85"/>
      <c r="BR218" s="85"/>
    </row>
    <row r="219" spans="1:70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  <c r="AQ219" s="85"/>
      <c r="AR219" s="85"/>
      <c r="AS219" s="85"/>
      <c r="AT219" s="85"/>
      <c r="AU219" s="85"/>
      <c r="AV219" s="85"/>
      <c r="AW219" s="85"/>
      <c r="AX219" s="85"/>
      <c r="AY219" s="85"/>
      <c r="AZ219" s="85"/>
      <c r="BA219" s="85"/>
      <c r="BB219" s="85"/>
      <c r="BC219" s="85"/>
      <c r="BD219" s="85"/>
      <c r="BE219" s="85"/>
      <c r="BF219" s="85"/>
      <c r="BG219" s="85"/>
      <c r="BH219" s="85"/>
      <c r="BI219" s="85"/>
      <c r="BJ219" s="85"/>
      <c r="BK219" s="85"/>
      <c r="BL219" s="85"/>
      <c r="BM219" s="85"/>
      <c r="BN219" s="85"/>
      <c r="BO219" s="85"/>
      <c r="BP219" s="85"/>
      <c r="BQ219" s="85"/>
      <c r="BR219" s="85"/>
    </row>
    <row r="220" spans="1:7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  <c r="AQ220" s="85"/>
      <c r="AR220" s="85"/>
      <c r="AS220" s="85"/>
      <c r="AT220" s="85"/>
      <c r="AU220" s="85"/>
      <c r="AV220" s="85"/>
      <c r="AW220" s="85"/>
      <c r="AX220" s="85"/>
      <c r="AY220" s="85"/>
      <c r="AZ220" s="85"/>
      <c r="BA220" s="85"/>
      <c r="BB220" s="85"/>
      <c r="BC220" s="85"/>
      <c r="BD220" s="85"/>
      <c r="BE220" s="85"/>
      <c r="BF220" s="85"/>
      <c r="BG220" s="85"/>
      <c r="BH220" s="85"/>
      <c r="BI220" s="85"/>
      <c r="BJ220" s="85"/>
      <c r="BK220" s="85"/>
      <c r="BL220" s="85"/>
      <c r="BM220" s="85"/>
      <c r="BN220" s="85"/>
      <c r="BO220" s="85"/>
      <c r="BP220" s="85"/>
      <c r="BQ220" s="85"/>
      <c r="BR220" s="85"/>
    </row>
    <row r="221" spans="1:70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  <c r="AQ221" s="85"/>
      <c r="AR221" s="85"/>
      <c r="AS221" s="85"/>
      <c r="AT221" s="85"/>
      <c r="AU221" s="85"/>
      <c r="AV221" s="85"/>
      <c r="AW221" s="85"/>
      <c r="AX221" s="85"/>
      <c r="AY221" s="85"/>
      <c r="AZ221" s="85"/>
      <c r="BA221" s="85"/>
      <c r="BB221" s="85"/>
      <c r="BC221" s="85"/>
      <c r="BD221" s="85"/>
      <c r="BE221" s="85"/>
      <c r="BF221" s="85"/>
      <c r="BG221" s="85"/>
      <c r="BH221" s="85"/>
      <c r="BI221" s="85"/>
      <c r="BJ221" s="85"/>
      <c r="BK221" s="85"/>
      <c r="BL221" s="85"/>
      <c r="BM221" s="85"/>
      <c r="BN221" s="85"/>
      <c r="BO221" s="85"/>
      <c r="BP221" s="85"/>
      <c r="BQ221" s="85"/>
      <c r="BR221" s="85"/>
    </row>
    <row r="222" spans="1:70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  <c r="AQ222" s="85"/>
      <c r="AR222" s="85"/>
      <c r="AS222" s="85"/>
      <c r="AT222" s="85"/>
      <c r="AU222" s="85"/>
      <c r="AV222" s="85"/>
      <c r="AW222" s="85"/>
      <c r="AX222" s="85"/>
      <c r="AY222" s="85"/>
      <c r="AZ222" s="85"/>
      <c r="BA222" s="85"/>
      <c r="BB222" s="85"/>
      <c r="BC222" s="85"/>
      <c r="BD222" s="85"/>
      <c r="BE222" s="85"/>
      <c r="BF222" s="85"/>
      <c r="BG222" s="85"/>
      <c r="BH222" s="85"/>
      <c r="BI222" s="85"/>
      <c r="BJ222" s="85"/>
      <c r="BK222" s="85"/>
      <c r="BL222" s="85"/>
      <c r="BM222" s="85"/>
      <c r="BN222" s="85"/>
      <c r="BO222" s="85"/>
      <c r="BP222" s="85"/>
      <c r="BQ222" s="85"/>
      <c r="BR222" s="85"/>
    </row>
    <row r="223" spans="1:70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  <c r="AQ223" s="85"/>
      <c r="AR223" s="85"/>
      <c r="AS223" s="85"/>
      <c r="AT223" s="85"/>
      <c r="AU223" s="85"/>
      <c r="AV223" s="85"/>
      <c r="AW223" s="85"/>
      <c r="AX223" s="85"/>
      <c r="AY223" s="85"/>
      <c r="AZ223" s="85"/>
      <c r="BA223" s="85"/>
      <c r="BB223" s="85"/>
      <c r="BC223" s="85"/>
      <c r="BD223" s="85"/>
      <c r="BE223" s="85"/>
      <c r="BF223" s="85"/>
      <c r="BG223" s="85"/>
      <c r="BH223" s="85"/>
      <c r="BI223" s="85"/>
      <c r="BJ223" s="85"/>
      <c r="BK223" s="85"/>
      <c r="BL223" s="85"/>
      <c r="BM223" s="85"/>
      <c r="BN223" s="85"/>
      <c r="BO223" s="85"/>
      <c r="BP223" s="85"/>
      <c r="BQ223" s="85"/>
      <c r="BR223" s="85"/>
    </row>
    <row r="224" spans="1:70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  <c r="AQ224" s="85"/>
      <c r="AR224" s="85"/>
      <c r="AS224" s="85"/>
      <c r="AT224" s="85"/>
      <c r="AU224" s="85"/>
      <c r="AV224" s="85"/>
      <c r="AW224" s="85"/>
      <c r="AX224" s="85"/>
      <c r="AY224" s="85"/>
      <c r="AZ224" s="85"/>
      <c r="BA224" s="85"/>
      <c r="BB224" s="85"/>
      <c r="BC224" s="85"/>
      <c r="BD224" s="85"/>
      <c r="BE224" s="85"/>
      <c r="BF224" s="85"/>
      <c r="BG224" s="85"/>
      <c r="BH224" s="85"/>
      <c r="BI224" s="85"/>
      <c r="BJ224" s="85"/>
      <c r="BK224" s="85"/>
      <c r="BL224" s="85"/>
      <c r="BM224" s="85"/>
      <c r="BN224" s="85"/>
      <c r="BO224" s="85"/>
      <c r="BP224" s="85"/>
      <c r="BQ224" s="85"/>
      <c r="BR224" s="85"/>
    </row>
    <row r="225" spans="1:70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  <c r="AQ225" s="85"/>
      <c r="AR225" s="85"/>
      <c r="AS225" s="85"/>
      <c r="AT225" s="85"/>
      <c r="AU225" s="85"/>
      <c r="AV225" s="85"/>
      <c r="AW225" s="85"/>
      <c r="AX225" s="85"/>
      <c r="AY225" s="85"/>
      <c r="AZ225" s="85"/>
      <c r="BA225" s="85"/>
      <c r="BB225" s="85"/>
      <c r="BC225" s="85"/>
      <c r="BD225" s="85"/>
      <c r="BE225" s="85"/>
      <c r="BF225" s="85"/>
      <c r="BG225" s="85"/>
      <c r="BH225" s="85"/>
      <c r="BI225" s="85"/>
      <c r="BJ225" s="85"/>
      <c r="BK225" s="85"/>
      <c r="BL225" s="85"/>
      <c r="BM225" s="85"/>
      <c r="BN225" s="85"/>
      <c r="BO225" s="85"/>
      <c r="BP225" s="85"/>
      <c r="BQ225" s="85"/>
      <c r="BR225" s="85"/>
    </row>
    <row r="226" spans="1:70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  <c r="AQ226" s="85"/>
      <c r="AR226" s="85"/>
      <c r="AS226" s="85"/>
      <c r="AT226" s="85"/>
      <c r="AU226" s="85"/>
      <c r="AV226" s="85"/>
      <c r="AW226" s="85"/>
      <c r="AX226" s="85"/>
      <c r="AY226" s="85"/>
      <c r="AZ226" s="85"/>
      <c r="BA226" s="85"/>
      <c r="BB226" s="85"/>
      <c r="BC226" s="85"/>
      <c r="BD226" s="85"/>
      <c r="BE226" s="85"/>
      <c r="BF226" s="85"/>
      <c r="BG226" s="85"/>
      <c r="BH226" s="85"/>
      <c r="BI226" s="85"/>
      <c r="BJ226" s="85"/>
      <c r="BK226" s="85"/>
      <c r="BL226" s="85"/>
      <c r="BM226" s="85"/>
      <c r="BN226" s="85"/>
      <c r="BO226" s="85"/>
      <c r="BP226" s="85"/>
      <c r="BQ226" s="85"/>
      <c r="BR226" s="85"/>
    </row>
    <row r="227" spans="1:70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  <c r="AQ227" s="85"/>
      <c r="AR227" s="85"/>
      <c r="AS227" s="85"/>
      <c r="AT227" s="85"/>
      <c r="AU227" s="85"/>
      <c r="AV227" s="85"/>
      <c r="AW227" s="85"/>
      <c r="AX227" s="85"/>
      <c r="AY227" s="85"/>
      <c r="AZ227" s="85"/>
      <c r="BA227" s="85"/>
      <c r="BB227" s="85"/>
      <c r="BC227" s="85"/>
      <c r="BD227" s="85"/>
      <c r="BE227" s="85"/>
      <c r="BF227" s="85"/>
      <c r="BG227" s="85"/>
      <c r="BH227" s="85"/>
      <c r="BI227" s="85"/>
      <c r="BJ227" s="85"/>
      <c r="BK227" s="85"/>
      <c r="BL227" s="85"/>
      <c r="BM227" s="85"/>
      <c r="BN227" s="85"/>
      <c r="BO227" s="85"/>
      <c r="BP227" s="85"/>
      <c r="BQ227" s="85"/>
      <c r="BR227" s="85"/>
    </row>
    <row r="228" spans="1:70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  <c r="AQ228" s="85"/>
      <c r="AR228" s="85"/>
      <c r="AS228" s="85"/>
      <c r="AT228" s="85"/>
      <c r="AU228" s="85"/>
      <c r="AV228" s="85"/>
      <c r="AW228" s="85"/>
      <c r="AX228" s="85"/>
      <c r="AY228" s="85"/>
      <c r="AZ228" s="85"/>
      <c r="BA228" s="85"/>
      <c r="BB228" s="85"/>
      <c r="BC228" s="85"/>
      <c r="BD228" s="85"/>
      <c r="BE228" s="85"/>
      <c r="BF228" s="85"/>
      <c r="BG228" s="85"/>
      <c r="BH228" s="85"/>
      <c r="BI228" s="85"/>
      <c r="BJ228" s="85"/>
      <c r="BK228" s="85"/>
      <c r="BL228" s="85"/>
      <c r="BM228" s="85"/>
      <c r="BN228" s="85"/>
      <c r="BO228" s="85"/>
      <c r="BP228" s="85"/>
      <c r="BQ228" s="85"/>
      <c r="BR228" s="85"/>
    </row>
    <row r="229" spans="1:70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  <c r="AQ229" s="85"/>
      <c r="AR229" s="85"/>
      <c r="AS229" s="85"/>
      <c r="AT229" s="85"/>
      <c r="AU229" s="85"/>
      <c r="AV229" s="85"/>
      <c r="AW229" s="85"/>
      <c r="AX229" s="85"/>
      <c r="AY229" s="85"/>
      <c r="AZ229" s="85"/>
      <c r="BA229" s="85"/>
      <c r="BB229" s="85"/>
      <c r="BC229" s="85"/>
      <c r="BD229" s="85"/>
      <c r="BE229" s="85"/>
      <c r="BF229" s="85"/>
      <c r="BG229" s="85"/>
      <c r="BH229" s="85"/>
      <c r="BI229" s="85"/>
      <c r="BJ229" s="85"/>
      <c r="BK229" s="85"/>
      <c r="BL229" s="85"/>
      <c r="BM229" s="85"/>
      <c r="BN229" s="85"/>
      <c r="BO229" s="85"/>
      <c r="BP229" s="85"/>
      <c r="BQ229" s="85"/>
      <c r="BR229" s="85"/>
    </row>
    <row r="230" spans="1:7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  <c r="AQ230" s="85"/>
      <c r="AR230" s="85"/>
      <c r="AS230" s="85"/>
      <c r="AT230" s="85"/>
      <c r="AU230" s="85"/>
      <c r="AV230" s="85"/>
      <c r="AW230" s="85"/>
      <c r="AX230" s="85"/>
      <c r="AY230" s="85"/>
      <c r="AZ230" s="85"/>
      <c r="BA230" s="85"/>
      <c r="BB230" s="85"/>
      <c r="BC230" s="85"/>
      <c r="BD230" s="85"/>
      <c r="BE230" s="85"/>
      <c r="BF230" s="85"/>
      <c r="BG230" s="85"/>
      <c r="BH230" s="85"/>
      <c r="BI230" s="85"/>
      <c r="BJ230" s="85"/>
      <c r="BK230" s="85"/>
      <c r="BL230" s="85"/>
      <c r="BM230" s="85"/>
      <c r="BN230" s="85"/>
      <c r="BO230" s="85"/>
      <c r="BP230" s="85"/>
      <c r="BQ230" s="85"/>
      <c r="BR230" s="85"/>
    </row>
    <row r="231" spans="1:70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  <c r="AQ231" s="85"/>
      <c r="AR231" s="85"/>
      <c r="AS231" s="85"/>
      <c r="AT231" s="85"/>
      <c r="AU231" s="85"/>
      <c r="AV231" s="85"/>
      <c r="AW231" s="85"/>
      <c r="AX231" s="85"/>
      <c r="AY231" s="85"/>
      <c r="AZ231" s="85"/>
      <c r="BA231" s="85"/>
      <c r="BB231" s="85"/>
      <c r="BC231" s="85"/>
      <c r="BD231" s="85"/>
      <c r="BE231" s="85"/>
      <c r="BF231" s="85"/>
      <c r="BG231" s="85"/>
      <c r="BH231" s="85"/>
      <c r="BI231" s="85"/>
      <c r="BJ231" s="85"/>
      <c r="BK231" s="85"/>
      <c r="BL231" s="85"/>
      <c r="BM231" s="85"/>
      <c r="BN231" s="85"/>
      <c r="BO231" s="85"/>
      <c r="BP231" s="85"/>
      <c r="BQ231" s="85"/>
      <c r="BR231" s="85"/>
    </row>
    <row r="232" spans="1:70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  <c r="AQ232" s="85"/>
      <c r="AR232" s="85"/>
      <c r="AS232" s="85"/>
      <c r="AT232" s="85"/>
      <c r="AU232" s="85"/>
      <c r="AV232" s="85"/>
      <c r="AW232" s="85"/>
      <c r="AX232" s="85"/>
      <c r="AY232" s="85"/>
      <c r="AZ232" s="85"/>
      <c r="BA232" s="85"/>
      <c r="BB232" s="85"/>
      <c r="BC232" s="85"/>
      <c r="BD232" s="85"/>
      <c r="BE232" s="85"/>
      <c r="BF232" s="85"/>
      <c r="BG232" s="85"/>
      <c r="BH232" s="85"/>
      <c r="BI232" s="85"/>
      <c r="BJ232" s="85"/>
      <c r="BK232" s="85"/>
      <c r="BL232" s="85"/>
      <c r="BM232" s="85"/>
      <c r="BN232" s="85"/>
      <c r="BO232" s="85"/>
      <c r="BP232" s="85"/>
      <c r="BQ232" s="85"/>
      <c r="BR232" s="85"/>
    </row>
    <row r="233" spans="1:70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  <c r="AQ233" s="85"/>
      <c r="AR233" s="85"/>
      <c r="AS233" s="85"/>
      <c r="AT233" s="85"/>
      <c r="AU233" s="85"/>
      <c r="AV233" s="85"/>
      <c r="AW233" s="85"/>
      <c r="AX233" s="85"/>
      <c r="AY233" s="85"/>
      <c r="AZ233" s="85"/>
      <c r="BA233" s="85"/>
      <c r="BB233" s="85"/>
      <c r="BC233" s="85"/>
      <c r="BD233" s="85"/>
      <c r="BE233" s="85"/>
      <c r="BF233" s="85"/>
      <c r="BG233" s="85"/>
      <c r="BH233" s="85"/>
      <c r="BI233" s="85"/>
      <c r="BJ233" s="85"/>
      <c r="BK233" s="85"/>
      <c r="BL233" s="85"/>
      <c r="BM233" s="85"/>
      <c r="BN233" s="85"/>
      <c r="BO233" s="85"/>
      <c r="BP233" s="85"/>
      <c r="BQ233" s="85"/>
      <c r="BR233" s="85"/>
    </row>
    <row r="234" spans="1:70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  <c r="AQ234" s="85"/>
      <c r="AR234" s="85"/>
      <c r="AS234" s="85"/>
      <c r="AT234" s="85"/>
      <c r="AU234" s="85"/>
      <c r="AV234" s="85"/>
      <c r="AW234" s="85"/>
      <c r="AX234" s="85"/>
      <c r="AY234" s="85"/>
      <c r="AZ234" s="85"/>
      <c r="BA234" s="85"/>
      <c r="BB234" s="85"/>
      <c r="BC234" s="85"/>
      <c r="BD234" s="85"/>
      <c r="BE234" s="85"/>
      <c r="BF234" s="85"/>
      <c r="BG234" s="85"/>
      <c r="BH234" s="85"/>
      <c r="BI234" s="85"/>
      <c r="BJ234" s="85"/>
      <c r="BK234" s="85"/>
      <c r="BL234" s="85"/>
      <c r="BM234" s="85"/>
      <c r="BN234" s="85"/>
      <c r="BO234" s="85"/>
      <c r="BP234" s="85"/>
      <c r="BQ234" s="85"/>
      <c r="BR234" s="85"/>
    </row>
    <row r="235" spans="1:70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  <c r="AQ235" s="85"/>
      <c r="AR235" s="85"/>
      <c r="AS235" s="85"/>
      <c r="AT235" s="85"/>
      <c r="AU235" s="85"/>
      <c r="AV235" s="85"/>
      <c r="AW235" s="85"/>
      <c r="AX235" s="85"/>
      <c r="AY235" s="85"/>
      <c r="AZ235" s="85"/>
      <c r="BA235" s="85"/>
      <c r="BB235" s="85"/>
      <c r="BC235" s="85"/>
      <c r="BD235" s="85"/>
      <c r="BE235" s="85"/>
      <c r="BF235" s="85"/>
      <c r="BG235" s="85"/>
      <c r="BH235" s="85"/>
      <c r="BI235" s="85"/>
      <c r="BJ235" s="85"/>
      <c r="BK235" s="85"/>
      <c r="BL235" s="85"/>
      <c r="BM235" s="85"/>
      <c r="BN235" s="85"/>
      <c r="BO235" s="85"/>
      <c r="BP235" s="85"/>
      <c r="BQ235" s="85"/>
      <c r="BR235" s="85"/>
    </row>
    <row r="236" spans="1:70" ht="15.7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5"/>
      <c r="AN236" s="85"/>
      <c r="AO236" s="85"/>
      <c r="AP236" s="85"/>
      <c r="AQ236" s="85"/>
      <c r="AR236" s="85"/>
      <c r="AS236" s="85"/>
      <c r="AT236" s="85"/>
      <c r="AU236" s="85"/>
      <c r="AV236" s="85"/>
      <c r="AW236" s="85"/>
      <c r="AX236" s="85"/>
      <c r="AY236" s="85"/>
      <c r="AZ236" s="85"/>
      <c r="BA236" s="85"/>
      <c r="BB236" s="85"/>
      <c r="BC236" s="85"/>
      <c r="BD236" s="85"/>
      <c r="BE236" s="85"/>
      <c r="BF236" s="85"/>
      <c r="BG236" s="85"/>
      <c r="BH236" s="85"/>
      <c r="BI236" s="85"/>
      <c r="BJ236" s="85"/>
      <c r="BK236" s="85"/>
      <c r="BL236" s="85"/>
      <c r="BM236" s="85"/>
      <c r="BN236" s="85"/>
      <c r="BO236" s="85"/>
      <c r="BP236" s="85"/>
      <c r="BQ236" s="85"/>
      <c r="BR236" s="85"/>
    </row>
    <row r="237" spans="1:70" ht="15.7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  <c r="AI237" s="85"/>
      <c r="AJ237" s="85"/>
      <c r="AK237" s="85"/>
      <c r="AL237" s="85"/>
      <c r="AM237" s="85"/>
      <c r="AN237" s="85"/>
      <c r="AO237" s="85"/>
      <c r="AP237" s="85"/>
      <c r="AQ237" s="85"/>
      <c r="AR237" s="85"/>
      <c r="AS237" s="85"/>
      <c r="AT237" s="85"/>
      <c r="AU237" s="85"/>
      <c r="AV237" s="85"/>
      <c r="AW237" s="85"/>
      <c r="AX237" s="85"/>
      <c r="AY237" s="85"/>
      <c r="AZ237" s="85"/>
      <c r="BA237" s="85"/>
      <c r="BB237" s="85"/>
      <c r="BC237" s="85"/>
      <c r="BD237" s="85"/>
      <c r="BE237" s="85"/>
      <c r="BF237" s="85"/>
      <c r="BG237" s="85"/>
      <c r="BH237" s="85"/>
      <c r="BI237" s="85"/>
      <c r="BJ237" s="85"/>
      <c r="BK237" s="85"/>
      <c r="BL237" s="85"/>
      <c r="BM237" s="85"/>
      <c r="BN237" s="85"/>
      <c r="BO237" s="85"/>
      <c r="BP237" s="85"/>
      <c r="BQ237" s="85"/>
      <c r="BR237" s="85"/>
    </row>
    <row r="238" spans="1:70" ht="15.7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5"/>
      <c r="AN238" s="85"/>
      <c r="AO238" s="85"/>
      <c r="AP238" s="85"/>
      <c r="AQ238" s="85"/>
      <c r="AR238" s="85"/>
      <c r="AS238" s="85"/>
      <c r="AT238" s="85"/>
      <c r="AU238" s="85"/>
      <c r="AV238" s="85"/>
      <c r="AW238" s="85"/>
      <c r="AX238" s="85"/>
      <c r="AY238" s="85"/>
      <c r="AZ238" s="85"/>
      <c r="BA238" s="85"/>
      <c r="BB238" s="85"/>
      <c r="BC238" s="85"/>
      <c r="BD238" s="85"/>
      <c r="BE238" s="85"/>
      <c r="BF238" s="85"/>
      <c r="BG238" s="85"/>
      <c r="BH238" s="85"/>
      <c r="BI238" s="85"/>
      <c r="BJ238" s="85"/>
      <c r="BK238" s="85"/>
      <c r="BL238" s="85"/>
      <c r="BM238" s="85"/>
      <c r="BN238" s="85"/>
      <c r="BO238" s="85"/>
      <c r="BP238" s="85"/>
      <c r="BQ238" s="85"/>
      <c r="BR238" s="85"/>
    </row>
    <row r="239" spans="1:70" ht="15.7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  <c r="AI239" s="85"/>
      <c r="AJ239" s="85"/>
      <c r="AK239" s="85"/>
      <c r="AL239" s="85"/>
      <c r="AM239" s="85"/>
      <c r="AN239" s="85"/>
      <c r="AO239" s="85"/>
      <c r="AP239" s="85"/>
      <c r="AQ239" s="85"/>
      <c r="AR239" s="85"/>
      <c r="AS239" s="85"/>
      <c r="AT239" s="85"/>
      <c r="AU239" s="85"/>
      <c r="AV239" s="85"/>
      <c r="AW239" s="85"/>
      <c r="AX239" s="85"/>
      <c r="AY239" s="85"/>
      <c r="AZ239" s="85"/>
      <c r="BA239" s="85"/>
      <c r="BB239" s="85"/>
      <c r="BC239" s="85"/>
      <c r="BD239" s="85"/>
      <c r="BE239" s="85"/>
      <c r="BF239" s="85"/>
      <c r="BG239" s="85"/>
      <c r="BH239" s="85"/>
      <c r="BI239" s="85"/>
      <c r="BJ239" s="85"/>
      <c r="BK239" s="85"/>
      <c r="BL239" s="85"/>
      <c r="BM239" s="85"/>
      <c r="BN239" s="85"/>
      <c r="BO239" s="85"/>
      <c r="BP239" s="85"/>
      <c r="BQ239" s="85"/>
      <c r="BR239" s="85"/>
    </row>
    <row r="240" spans="1:70" ht="15.7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  <c r="AI240" s="85"/>
      <c r="AJ240" s="85"/>
      <c r="AK240" s="85"/>
      <c r="AL240" s="85"/>
      <c r="AM240" s="85"/>
      <c r="AN240" s="85"/>
      <c r="AO240" s="85"/>
      <c r="AP240" s="85"/>
      <c r="AQ240" s="85"/>
      <c r="AR240" s="85"/>
      <c r="AS240" s="85"/>
      <c r="AT240" s="85"/>
      <c r="AU240" s="85"/>
      <c r="AV240" s="85"/>
      <c r="AW240" s="85"/>
      <c r="AX240" s="85"/>
      <c r="AY240" s="85"/>
      <c r="AZ240" s="85"/>
      <c r="BA240" s="85"/>
      <c r="BB240" s="85"/>
      <c r="BC240" s="85"/>
      <c r="BD240" s="85"/>
      <c r="BE240" s="85"/>
      <c r="BF240" s="85"/>
      <c r="BG240" s="85"/>
      <c r="BH240" s="85"/>
      <c r="BI240" s="85"/>
      <c r="BJ240" s="85"/>
      <c r="BK240" s="85"/>
      <c r="BL240" s="85"/>
      <c r="BM240" s="85"/>
      <c r="BN240" s="85"/>
      <c r="BO240" s="85"/>
      <c r="BP240" s="85"/>
      <c r="BQ240" s="85"/>
      <c r="BR240" s="85"/>
    </row>
    <row r="241" spans="1:70" ht="15.7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  <c r="AI241" s="85"/>
      <c r="AJ241" s="85"/>
      <c r="AK241" s="85"/>
      <c r="AL241" s="85"/>
      <c r="AM241" s="85"/>
      <c r="AN241" s="85"/>
      <c r="AO241" s="85"/>
      <c r="AP241" s="85"/>
      <c r="AQ241" s="85"/>
      <c r="AR241" s="85"/>
      <c r="AS241" s="85"/>
      <c r="AT241" s="85"/>
      <c r="AU241" s="85"/>
      <c r="AV241" s="85"/>
      <c r="AW241" s="85"/>
      <c r="AX241" s="85"/>
      <c r="AY241" s="85"/>
      <c r="AZ241" s="85"/>
      <c r="BA241" s="85"/>
      <c r="BB241" s="85"/>
      <c r="BC241" s="85"/>
      <c r="BD241" s="85"/>
      <c r="BE241" s="85"/>
      <c r="BF241" s="85"/>
      <c r="BG241" s="85"/>
      <c r="BH241" s="85"/>
      <c r="BI241" s="85"/>
      <c r="BJ241" s="85"/>
      <c r="BK241" s="85"/>
      <c r="BL241" s="85"/>
      <c r="BM241" s="85"/>
      <c r="BN241" s="85"/>
      <c r="BO241" s="85"/>
      <c r="BP241" s="85"/>
      <c r="BQ241" s="85"/>
      <c r="BR241" s="85"/>
    </row>
    <row r="242" spans="1:70" ht="15.7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  <c r="AI242" s="85"/>
      <c r="AJ242" s="85"/>
      <c r="AK242" s="85"/>
      <c r="AL242" s="85"/>
      <c r="AM242" s="85"/>
      <c r="AN242" s="85"/>
      <c r="AO242" s="85"/>
      <c r="AP242" s="85"/>
      <c r="AQ242" s="85"/>
      <c r="AR242" s="85"/>
      <c r="AS242" s="85"/>
      <c r="AT242" s="85"/>
      <c r="AU242" s="85"/>
      <c r="AV242" s="85"/>
      <c r="AW242" s="85"/>
      <c r="AX242" s="85"/>
      <c r="AY242" s="85"/>
      <c r="AZ242" s="85"/>
      <c r="BA242" s="85"/>
      <c r="BB242" s="85"/>
      <c r="BC242" s="85"/>
      <c r="BD242" s="85"/>
      <c r="BE242" s="85"/>
      <c r="BF242" s="85"/>
      <c r="BG242" s="85"/>
      <c r="BH242" s="85"/>
      <c r="BI242" s="85"/>
      <c r="BJ242" s="85"/>
      <c r="BK242" s="85"/>
      <c r="BL242" s="85"/>
      <c r="BM242" s="85"/>
      <c r="BN242" s="85"/>
      <c r="BO242" s="85"/>
      <c r="BP242" s="85"/>
      <c r="BQ242" s="85"/>
      <c r="BR242" s="85"/>
    </row>
    <row r="243" spans="1:70" ht="15.7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  <c r="AI243" s="85"/>
      <c r="AJ243" s="85"/>
      <c r="AK243" s="85"/>
      <c r="AL243" s="85"/>
      <c r="AM243" s="85"/>
      <c r="AN243" s="85"/>
      <c r="AO243" s="85"/>
      <c r="AP243" s="85"/>
      <c r="AQ243" s="85"/>
      <c r="AR243" s="85"/>
      <c r="AS243" s="85"/>
      <c r="AT243" s="85"/>
      <c r="AU243" s="85"/>
      <c r="AV243" s="85"/>
      <c r="AW243" s="85"/>
      <c r="AX243" s="85"/>
      <c r="AY243" s="85"/>
      <c r="AZ243" s="85"/>
      <c r="BA243" s="85"/>
      <c r="BB243" s="85"/>
      <c r="BC243" s="85"/>
      <c r="BD243" s="85"/>
      <c r="BE243" s="85"/>
      <c r="BF243" s="85"/>
      <c r="BG243" s="85"/>
      <c r="BH243" s="85"/>
      <c r="BI243" s="85"/>
      <c r="BJ243" s="85"/>
      <c r="BK243" s="85"/>
      <c r="BL243" s="85"/>
      <c r="BM243" s="85"/>
      <c r="BN243" s="85"/>
      <c r="BO243" s="85"/>
      <c r="BP243" s="85"/>
      <c r="BQ243" s="85"/>
      <c r="BR243" s="85"/>
    </row>
    <row r="244" spans="1:70" ht="15.7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  <c r="AI244" s="85"/>
      <c r="AJ244" s="85"/>
      <c r="AK244" s="85"/>
      <c r="AL244" s="85"/>
      <c r="AM244" s="85"/>
      <c r="AN244" s="85"/>
      <c r="AO244" s="85"/>
      <c r="AP244" s="85"/>
      <c r="AQ244" s="85"/>
      <c r="AR244" s="85"/>
      <c r="AS244" s="85"/>
      <c r="AT244" s="85"/>
      <c r="AU244" s="85"/>
      <c r="AV244" s="85"/>
      <c r="AW244" s="85"/>
      <c r="AX244" s="85"/>
      <c r="AY244" s="85"/>
      <c r="AZ244" s="85"/>
      <c r="BA244" s="85"/>
      <c r="BB244" s="85"/>
      <c r="BC244" s="85"/>
      <c r="BD244" s="85"/>
      <c r="BE244" s="85"/>
      <c r="BF244" s="85"/>
      <c r="BG244" s="85"/>
      <c r="BH244" s="85"/>
      <c r="BI244" s="85"/>
      <c r="BJ244" s="85"/>
      <c r="BK244" s="85"/>
      <c r="BL244" s="85"/>
      <c r="BM244" s="85"/>
      <c r="BN244" s="85"/>
      <c r="BO244" s="85"/>
      <c r="BP244" s="85"/>
      <c r="BQ244" s="85"/>
      <c r="BR244" s="85"/>
    </row>
    <row r="245" spans="1:70" ht="15.7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  <c r="AI245" s="85"/>
      <c r="AJ245" s="85"/>
      <c r="AK245" s="85"/>
      <c r="AL245" s="85"/>
      <c r="AM245" s="85"/>
      <c r="AN245" s="85"/>
      <c r="AO245" s="85"/>
      <c r="AP245" s="85"/>
      <c r="AQ245" s="85"/>
      <c r="AR245" s="85"/>
      <c r="AS245" s="85"/>
      <c r="AT245" s="85"/>
      <c r="AU245" s="85"/>
      <c r="AV245" s="85"/>
      <c r="AW245" s="85"/>
      <c r="AX245" s="85"/>
      <c r="AY245" s="85"/>
      <c r="AZ245" s="85"/>
      <c r="BA245" s="85"/>
      <c r="BB245" s="85"/>
      <c r="BC245" s="85"/>
      <c r="BD245" s="85"/>
      <c r="BE245" s="85"/>
      <c r="BF245" s="85"/>
      <c r="BG245" s="85"/>
      <c r="BH245" s="85"/>
      <c r="BI245" s="85"/>
      <c r="BJ245" s="85"/>
      <c r="BK245" s="85"/>
      <c r="BL245" s="85"/>
      <c r="BM245" s="85"/>
      <c r="BN245" s="85"/>
      <c r="BO245" s="85"/>
      <c r="BP245" s="85"/>
      <c r="BQ245" s="85"/>
      <c r="BR245" s="85"/>
    </row>
    <row r="246" spans="1:70" ht="15.7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  <c r="AI246" s="85"/>
      <c r="AJ246" s="85"/>
      <c r="AK246" s="85"/>
      <c r="AL246" s="85"/>
      <c r="AM246" s="85"/>
      <c r="AN246" s="85"/>
      <c r="AO246" s="85"/>
      <c r="AP246" s="85"/>
      <c r="AQ246" s="85"/>
      <c r="AR246" s="85"/>
      <c r="AS246" s="85"/>
      <c r="AT246" s="85"/>
      <c r="AU246" s="85"/>
      <c r="AV246" s="85"/>
      <c r="AW246" s="85"/>
      <c r="AX246" s="85"/>
      <c r="AY246" s="85"/>
      <c r="AZ246" s="85"/>
      <c r="BA246" s="85"/>
      <c r="BB246" s="85"/>
      <c r="BC246" s="85"/>
      <c r="BD246" s="85"/>
      <c r="BE246" s="85"/>
      <c r="BF246" s="85"/>
      <c r="BG246" s="85"/>
      <c r="BH246" s="85"/>
      <c r="BI246" s="85"/>
      <c r="BJ246" s="85"/>
      <c r="BK246" s="85"/>
      <c r="BL246" s="85"/>
      <c r="BM246" s="85"/>
      <c r="BN246" s="85"/>
      <c r="BO246" s="85"/>
      <c r="BP246" s="85"/>
      <c r="BQ246" s="85"/>
      <c r="BR246" s="85"/>
    </row>
    <row r="247" spans="1:70" ht="15.7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  <c r="AI247" s="85"/>
      <c r="AJ247" s="85"/>
      <c r="AK247" s="85"/>
      <c r="AL247" s="85"/>
      <c r="AM247" s="85"/>
      <c r="AN247" s="85"/>
      <c r="AO247" s="85"/>
      <c r="AP247" s="85"/>
      <c r="AQ247" s="85"/>
      <c r="AR247" s="85"/>
      <c r="AS247" s="85"/>
      <c r="AT247" s="85"/>
      <c r="AU247" s="85"/>
      <c r="AV247" s="85"/>
      <c r="AW247" s="85"/>
      <c r="AX247" s="85"/>
      <c r="AY247" s="85"/>
      <c r="AZ247" s="85"/>
      <c r="BA247" s="85"/>
      <c r="BB247" s="85"/>
      <c r="BC247" s="85"/>
      <c r="BD247" s="85"/>
      <c r="BE247" s="85"/>
      <c r="BF247" s="85"/>
      <c r="BG247" s="85"/>
      <c r="BH247" s="85"/>
      <c r="BI247" s="85"/>
      <c r="BJ247" s="85"/>
      <c r="BK247" s="85"/>
      <c r="BL247" s="85"/>
      <c r="BM247" s="85"/>
      <c r="BN247" s="85"/>
      <c r="BO247" s="85"/>
      <c r="BP247" s="85"/>
      <c r="BQ247" s="85"/>
      <c r="BR247" s="85"/>
    </row>
    <row r="248" spans="1:70" ht="15.7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  <c r="AI248" s="85"/>
      <c r="AJ248" s="85"/>
      <c r="AK248" s="85"/>
      <c r="AL248" s="85"/>
      <c r="AM248" s="85"/>
      <c r="AN248" s="85"/>
      <c r="AO248" s="85"/>
      <c r="AP248" s="85"/>
      <c r="AQ248" s="85"/>
      <c r="AR248" s="85"/>
      <c r="AS248" s="85"/>
      <c r="AT248" s="85"/>
      <c r="AU248" s="85"/>
      <c r="AV248" s="85"/>
      <c r="AW248" s="85"/>
      <c r="AX248" s="85"/>
      <c r="AY248" s="85"/>
      <c r="AZ248" s="85"/>
      <c r="BA248" s="85"/>
      <c r="BB248" s="85"/>
      <c r="BC248" s="85"/>
      <c r="BD248" s="85"/>
      <c r="BE248" s="85"/>
      <c r="BF248" s="85"/>
      <c r="BG248" s="85"/>
      <c r="BH248" s="85"/>
      <c r="BI248" s="85"/>
      <c r="BJ248" s="85"/>
      <c r="BK248" s="85"/>
      <c r="BL248" s="85"/>
      <c r="BM248" s="85"/>
      <c r="BN248" s="85"/>
      <c r="BO248" s="85"/>
      <c r="BP248" s="85"/>
      <c r="BQ248" s="85"/>
      <c r="BR248" s="85"/>
    </row>
    <row r="249" spans="1:70" ht="15.7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  <c r="AI249" s="85"/>
      <c r="AJ249" s="85"/>
      <c r="AK249" s="85"/>
      <c r="AL249" s="85"/>
      <c r="AM249" s="85"/>
      <c r="AN249" s="85"/>
      <c r="AO249" s="85"/>
      <c r="AP249" s="85"/>
      <c r="AQ249" s="85"/>
      <c r="AR249" s="85"/>
      <c r="AS249" s="85"/>
      <c r="AT249" s="85"/>
      <c r="AU249" s="85"/>
      <c r="AV249" s="85"/>
      <c r="AW249" s="85"/>
      <c r="AX249" s="85"/>
      <c r="AY249" s="85"/>
      <c r="AZ249" s="85"/>
      <c r="BA249" s="85"/>
      <c r="BB249" s="85"/>
      <c r="BC249" s="85"/>
      <c r="BD249" s="85"/>
      <c r="BE249" s="85"/>
      <c r="BF249" s="85"/>
      <c r="BG249" s="85"/>
      <c r="BH249" s="85"/>
      <c r="BI249" s="85"/>
      <c r="BJ249" s="85"/>
      <c r="BK249" s="85"/>
      <c r="BL249" s="85"/>
      <c r="BM249" s="85"/>
      <c r="BN249" s="85"/>
      <c r="BO249" s="85"/>
      <c r="BP249" s="85"/>
      <c r="BQ249" s="85"/>
      <c r="BR249" s="85"/>
    </row>
    <row r="250" spans="1:70" ht="15.7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  <c r="AI250" s="85"/>
      <c r="AJ250" s="85"/>
      <c r="AK250" s="85"/>
      <c r="AL250" s="85"/>
      <c r="AM250" s="85"/>
      <c r="AN250" s="85"/>
      <c r="AO250" s="85"/>
      <c r="AP250" s="85"/>
      <c r="AQ250" s="85"/>
      <c r="AR250" s="85"/>
      <c r="AS250" s="85"/>
      <c r="AT250" s="85"/>
      <c r="AU250" s="85"/>
      <c r="AV250" s="85"/>
      <c r="AW250" s="85"/>
      <c r="AX250" s="85"/>
      <c r="AY250" s="85"/>
      <c r="AZ250" s="85"/>
      <c r="BA250" s="85"/>
      <c r="BB250" s="85"/>
      <c r="BC250" s="85"/>
      <c r="BD250" s="85"/>
      <c r="BE250" s="85"/>
      <c r="BF250" s="85"/>
      <c r="BG250" s="85"/>
      <c r="BH250" s="85"/>
      <c r="BI250" s="85"/>
      <c r="BJ250" s="85"/>
      <c r="BK250" s="85"/>
      <c r="BL250" s="85"/>
      <c r="BM250" s="85"/>
      <c r="BN250" s="85"/>
      <c r="BO250" s="85"/>
      <c r="BP250" s="85"/>
      <c r="BQ250" s="85"/>
      <c r="BR250" s="85"/>
    </row>
    <row r="251" spans="1:70" ht="15.7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  <c r="AI251" s="85"/>
      <c r="AJ251" s="85"/>
      <c r="AK251" s="85"/>
      <c r="AL251" s="85"/>
      <c r="AM251" s="85"/>
      <c r="AN251" s="85"/>
      <c r="AO251" s="85"/>
      <c r="AP251" s="85"/>
      <c r="AQ251" s="85"/>
      <c r="AR251" s="85"/>
      <c r="AS251" s="85"/>
      <c r="AT251" s="85"/>
      <c r="AU251" s="85"/>
      <c r="AV251" s="85"/>
      <c r="AW251" s="85"/>
      <c r="AX251" s="85"/>
      <c r="AY251" s="85"/>
      <c r="AZ251" s="85"/>
      <c r="BA251" s="85"/>
      <c r="BB251" s="85"/>
      <c r="BC251" s="85"/>
      <c r="BD251" s="85"/>
      <c r="BE251" s="85"/>
      <c r="BF251" s="85"/>
      <c r="BG251" s="85"/>
      <c r="BH251" s="85"/>
      <c r="BI251" s="85"/>
      <c r="BJ251" s="85"/>
      <c r="BK251" s="85"/>
      <c r="BL251" s="85"/>
      <c r="BM251" s="85"/>
      <c r="BN251" s="85"/>
      <c r="BO251" s="85"/>
      <c r="BP251" s="85"/>
      <c r="BQ251" s="85"/>
      <c r="BR251" s="85"/>
    </row>
    <row r="252" spans="1:70" ht="15.7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  <c r="AI252" s="85"/>
      <c r="AJ252" s="85"/>
      <c r="AK252" s="85"/>
      <c r="AL252" s="85"/>
      <c r="AM252" s="85"/>
      <c r="AN252" s="85"/>
      <c r="AO252" s="85"/>
      <c r="AP252" s="85"/>
      <c r="AQ252" s="85"/>
      <c r="AR252" s="85"/>
      <c r="AS252" s="85"/>
      <c r="AT252" s="85"/>
      <c r="AU252" s="85"/>
      <c r="AV252" s="85"/>
      <c r="AW252" s="85"/>
      <c r="AX252" s="85"/>
      <c r="AY252" s="85"/>
      <c r="AZ252" s="85"/>
      <c r="BA252" s="85"/>
      <c r="BB252" s="85"/>
      <c r="BC252" s="85"/>
      <c r="BD252" s="85"/>
      <c r="BE252" s="85"/>
      <c r="BF252" s="85"/>
      <c r="BG252" s="85"/>
      <c r="BH252" s="85"/>
      <c r="BI252" s="85"/>
      <c r="BJ252" s="85"/>
      <c r="BK252" s="85"/>
      <c r="BL252" s="85"/>
      <c r="BM252" s="85"/>
      <c r="BN252" s="85"/>
      <c r="BO252" s="85"/>
      <c r="BP252" s="85"/>
      <c r="BQ252" s="85"/>
      <c r="BR252" s="85"/>
    </row>
    <row r="253" spans="1:70" ht="15.7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  <c r="AI253" s="85"/>
      <c r="AJ253" s="85"/>
      <c r="AK253" s="85"/>
      <c r="AL253" s="85"/>
      <c r="AM253" s="85"/>
      <c r="AN253" s="85"/>
      <c r="AO253" s="85"/>
      <c r="AP253" s="85"/>
      <c r="AQ253" s="85"/>
      <c r="AR253" s="85"/>
      <c r="AS253" s="85"/>
      <c r="AT253" s="85"/>
      <c r="AU253" s="85"/>
      <c r="AV253" s="85"/>
      <c r="AW253" s="85"/>
      <c r="AX253" s="85"/>
      <c r="AY253" s="85"/>
      <c r="AZ253" s="85"/>
      <c r="BA253" s="85"/>
      <c r="BB253" s="85"/>
      <c r="BC253" s="85"/>
      <c r="BD253" s="85"/>
      <c r="BE253" s="85"/>
      <c r="BF253" s="85"/>
      <c r="BG253" s="85"/>
      <c r="BH253" s="85"/>
      <c r="BI253" s="85"/>
      <c r="BJ253" s="85"/>
      <c r="BK253" s="85"/>
      <c r="BL253" s="85"/>
      <c r="BM253" s="85"/>
      <c r="BN253" s="85"/>
      <c r="BO253" s="85"/>
      <c r="BP253" s="85"/>
      <c r="BQ253" s="85"/>
      <c r="BR253" s="85"/>
    </row>
    <row r="254" spans="1:70" ht="15.7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  <c r="AI254" s="85"/>
      <c r="AJ254" s="85"/>
      <c r="AK254" s="85"/>
      <c r="AL254" s="85"/>
      <c r="AM254" s="85"/>
      <c r="AN254" s="85"/>
      <c r="AO254" s="85"/>
      <c r="AP254" s="85"/>
      <c r="AQ254" s="85"/>
      <c r="AR254" s="85"/>
      <c r="AS254" s="85"/>
      <c r="AT254" s="85"/>
      <c r="AU254" s="85"/>
      <c r="AV254" s="85"/>
      <c r="AW254" s="85"/>
      <c r="AX254" s="85"/>
      <c r="AY254" s="85"/>
      <c r="AZ254" s="85"/>
      <c r="BA254" s="85"/>
      <c r="BB254" s="85"/>
      <c r="BC254" s="85"/>
      <c r="BD254" s="85"/>
      <c r="BE254" s="85"/>
      <c r="BF254" s="85"/>
      <c r="BG254" s="85"/>
      <c r="BH254" s="85"/>
      <c r="BI254" s="85"/>
      <c r="BJ254" s="85"/>
      <c r="BK254" s="85"/>
      <c r="BL254" s="85"/>
      <c r="BM254" s="85"/>
      <c r="BN254" s="85"/>
      <c r="BO254" s="85"/>
      <c r="BP254" s="85"/>
      <c r="BQ254" s="85"/>
      <c r="BR254" s="85"/>
    </row>
    <row r="255" spans="1:70" ht="15.7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  <c r="AI255" s="85"/>
      <c r="AJ255" s="85"/>
      <c r="AK255" s="85"/>
      <c r="AL255" s="85"/>
      <c r="AM255" s="85"/>
      <c r="AN255" s="85"/>
      <c r="AO255" s="85"/>
      <c r="AP255" s="85"/>
      <c r="AQ255" s="85"/>
      <c r="AR255" s="85"/>
      <c r="AS255" s="85"/>
      <c r="AT255" s="85"/>
      <c r="AU255" s="85"/>
      <c r="AV255" s="85"/>
      <c r="AW255" s="85"/>
      <c r="AX255" s="85"/>
      <c r="AY255" s="85"/>
      <c r="AZ255" s="85"/>
      <c r="BA255" s="85"/>
      <c r="BB255" s="85"/>
      <c r="BC255" s="85"/>
      <c r="BD255" s="85"/>
      <c r="BE255" s="85"/>
      <c r="BF255" s="85"/>
      <c r="BG255" s="85"/>
      <c r="BH255" s="85"/>
      <c r="BI255" s="85"/>
      <c r="BJ255" s="85"/>
      <c r="BK255" s="85"/>
      <c r="BL255" s="85"/>
      <c r="BM255" s="85"/>
      <c r="BN255" s="85"/>
      <c r="BO255" s="85"/>
      <c r="BP255" s="85"/>
      <c r="BQ255" s="85"/>
      <c r="BR255" s="85"/>
    </row>
    <row r="256" spans="1:70" ht="15.7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  <c r="AI256" s="85"/>
      <c r="AJ256" s="85"/>
      <c r="AK256" s="85"/>
      <c r="AL256" s="85"/>
      <c r="AM256" s="85"/>
      <c r="AN256" s="85"/>
      <c r="AO256" s="85"/>
      <c r="AP256" s="85"/>
      <c r="AQ256" s="85"/>
      <c r="AR256" s="85"/>
      <c r="AS256" s="85"/>
      <c r="AT256" s="85"/>
      <c r="AU256" s="85"/>
      <c r="AV256" s="85"/>
      <c r="AW256" s="85"/>
      <c r="AX256" s="85"/>
      <c r="AY256" s="85"/>
      <c r="AZ256" s="85"/>
      <c r="BA256" s="85"/>
      <c r="BB256" s="85"/>
      <c r="BC256" s="85"/>
      <c r="BD256" s="85"/>
      <c r="BE256" s="85"/>
      <c r="BF256" s="85"/>
      <c r="BG256" s="85"/>
      <c r="BH256" s="85"/>
      <c r="BI256" s="85"/>
      <c r="BJ256" s="85"/>
      <c r="BK256" s="85"/>
      <c r="BL256" s="85"/>
      <c r="BM256" s="85"/>
      <c r="BN256" s="85"/>
      <c r="BO256" s="85"/>
      <c r="BP256" s="85"/>
      <c r="BQ256" s="85"/>
      <c r="BR256" s="85"/>
    </row>
    <row r="257" spans="1:70" ht="15.7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  <c r="AI257" s="85"/>
      <c r="AJ257" s="85"/>
      <c r="AK257" s="85"/>
      <c r="AL257" s="85"/>
      <c r="AM257" s="85"/>
      <c r="AN257" s="85"/>
      <c r="AO257" s="85"/>
      <c r="AP257" s="85"/>
      <c r="AQ257" s="85"/>
      <c r="AR257" s="85"/>
      <c r="AS257" s="85"/>
      <c r="AT257" s="85"/>
      <c r="AU257" s="85"/>
      <c r="AV257" s="85"/>
      <c r="AW257" s="85"/>
      <c r="AX257" s="85"/>
      <c r="AY257" s="85"/>
      <c r="AZ257" s="85"/>
      <c r="BA257" s="85"/>
      <c r="BB257" s="85"/>
      <c r="BC257" s="85"/>
      <c r="BD257" s="85"/>
      <c r="BE257" s="85"/>
      <c r="BF257" s="85"/>
      <c r="BG257" s="85"/>
      <c r="BH257" s="85"/>
      <c r="BI257" s="85"/>
      <c r="BJ257" s="85"/>
      <c r="BK257" s="85"/>
      <c r="BL257" s="85"/>
      <c r="BM257" s="85"/>
      <c r="BN257" s="85"/>
      <c r="BO257" s="85"/>
      <c r="BP257" s="85"/>
      <c r="BQ257" s="85"/>
      <c r="BR257" s="85"/>
    </row>
    <row r="258" spans="1:70" ht="15.7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  <c r="AI258" s="85"/>
      <c r="AJ258" s="85"/>
      <c r="AK258" s="85"/>
      <c r="AL258" s="85"/>
      <c r="AM258" s="85"/>
      <c r="AN258" s="85"/>
      <c r="AO258" s="85"/>
      <c r="AP258" s="85"/>
      <c r="AQ258" s="85"/>
      <c r="AR258" s="85"/>
      <c r="AS258" s="85"/>
      <c r="AT258" s="85"/>
      <c r="AU258" s="85"/>
      <c r="AV258" s="85"/>
      <c r="AW258" s="85"/>
      <c r="AX258" s="85"/>
      <c r="AY258" s="85"/>
      <c r="AZ258" s="85"/>
      <c r="BA258" s="85"/>
      <c r="BB258" s="85"/>
      <c r="BC258" s="85"/>
      <c r="BD258" s="85"/>
      <c r="BE258" s="85"/>
      <c r="BF258" s="85"/>
      <c r="BG258" s="85"/>
      <c r="BH258" s="85"/>
      <c r="BI258" s="85"/>
      <c r="BJ258" s="85"/>
      <c r="BK258" s="85"/>
      <c r="BL258" s="85"/>
      <c r="BM258" s="85"/>
      <c r="BN258" s="85"/>
      <c r="BO258" s="85"/>
      <c r="BP258" s="85"/>
      <c r="BQ258" s="85"/>
      <c r="BR258" s="85"/>
    </row>
    <row r="259" spans="1:70" ht="15.7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  <c r="AI259" s="85"/>
      <c r="AJ259" s="85"/>
      <c r="AK259" s="85"/>
      <c r="AL259" s="85"/>
      <c r="AM259" s="85"/>
      <c r="AN259" s="85"/>
      <c r="AO259" s="85"/>
      <c r="AP259" s="85"/>
      <c r="AQ259" s="85"/>
      <c r="AR259" s="85"/>
      <c r="AS259" s="85"/>
      <c r="AT259" s="85"/>
      <c r="AU259" s="85"/>
      <c r="AV259" s="85"/>
      <c r="AW259" s="85"/>
      <c r="AX259" s="85"/>
      <c r="AY259" s="85"/>
      <c r="AZ259" s="85"/>
      <c r="BA259" s="85"/>
      <c r="BB259" s="85"/>
      <c r="BC259" s="85"/>
      <c r="BD259" s="85"/>
      <c r="BE259" s="85"/>
      <c r="BF259" s="85"/>
      <c r="BG259" s="85"/>
      <c r="BH259" s="85"/>
      <c r="BI259" s="85"/>
      <c r="BJ259" s="85"/>
      <c r="BK259" s="85"/>
      <c r="BL259" s="85"/>
      <c r="BM259" s="85"/>
      <c r="BN259" s="85"/>
      <c r="BO259" s="85"/>
      <c r="BP259" s="85"/>
      <c r="BQ259" s="85"/>
      <c r="BR259" s="85"/>
    </row>
    <row r="260" spans="1:70" ht="15.7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  <c r="AI260" s="85"/>
      <c r="AJ260" s="85"/>
      <c r="AK260" s="85"/>
      <c r="AL260" s="85"/>
      <c r="AM260" s="85"/>
      <c r="AN260" s="85"/>
      <c r="AO260" s="85"/>
      <c r="AP260" s="85"/>
      <c r="AQ260" s="85"/>
      <c r="AR260" s="85"/>
      <c r="AS260" s="85"/>
      <c r="AT260" s="85"/>
      <c r="AU260" s="85"/>
      <c r="AV260" s="85"/>
      <c r="AW260" s="85"/>
      <c r="AX260" s="85"/>
      <c r="AY260" s="85"/>
      <c r="AZ260" s="85"/>
      <c r="BA260" s="85"/>
      <c r="BB260" s="85"/>
      <c r="BC260" s="85"/>
      <c r="BD260" s="85"/>
      <c r="BE260" s="85"/>
      <c r="BF260" s="85"/>
      <c r="BG260" s="85"/>
      <c r="BH260" s="85"/>
      <c r="BI260" s="85"/>
      <c r="BJ260" s="85"/>
      <c r="BK260" s="85"/>
      <c r="BL260" s="85"/>
      <c r="BM260" s="85"/>
      <c r="BN260" s="85"/>
      <c r="BO260" s="85"/>
      <c r="BP260" s="85"/>
      <c r="BQ260" s="85"/>
      <c r="BR260" s="85"/>
    </row>
    <row r="261" spans="1:70" ht="15.7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  <c r="AI261" s="85"/>
      <c r="AJ261" s="85"/>
      <c r="AK261" s="85"/>
      <c r="AL261" s="85"/>
      <c r="AM261" s="85"/>
      <c r="AN261" s="85"/>
      <c r="AO261" s="85"/>
      <c r="AP261" s="85"/>
      <c r="AQ261" s="85"/>
      <c r="AR261" s="85"/>
      <c r="AS261" s="85"/>
      <c r="AT261" s="85"/>
      <c r="AU261" s="85"/>
      <c r="AV261" s="85"/>
      <c r="AW261" s="85"/>
      <c r="AX261" s="85"/>
      <c r="AY261" s="85"/>
      <c r="AZ261" s="85"/>
      <c r="BA261" s="85"/>
      <c r="BB261" s="85"/>
      <c r="BC261" s="85"/>
      <c r="BD261" s="85"/>
      <c r="BE261" s="85"/>
      <c r="BF261" s="85"/>
      <c r="BG261" s="85"/>
      <c r="BH261" s="85"/>
      <c r="BI261" s="85"/>
      <c r="BJ261" s="85"/>
      <c r="BK261" s="85"/>
      <c r="BL261" s="85"/>
      <c r="BM261" s="85"/>
      <c r="BN261" s="85"/>
      <c r="BO261" s="85"/>
      <c r="BP261" s="85"/>
      <c r="BQ261" s="85"/>
      <c r="BR261" s="85"/>
    </row>
    <row r="262" spans="1:70" ht="15.7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  <c r="AI262" s="85"/>
      <c r="AJ262" s="85"/>
      <c r="AK262" s="85"/>
      <c r="AL262" s="85"/>
      <c r="AM262" s="85"/>
      <c r="AN262" s="85"/>
      <c r="AO262" s="85"/>
      <c r="AP262" s="85"/>
      <c r="AQ262" s="85"/>
      <c r="AR262" s="85"/>
      <c r="AS262" s="85"/>
      <c r="AT262" s="85"/>
      <c r="AU262" s="85"/>
      <c r="AV262" s="85"/>
      <c r="AW262" s="85"/>
      <c r="AX262" s="85"/>
      <c r="AY262" s="85"/>
      <c r="AZ262" s="85"/>
      <c r="BA262" s="85"/>
      <c r="BB262" s="85"/>
      <c r="BC262" s="85"/>
      <c r="BD262" s="85"/>
      <c r="BE262" s="85"/>
      <c r="BF262" s="85"/>
      <c r="BG262" s="85"/>
      <c r="BH262" s="85"/>
      <c r="BI262" s="85"/>
      <c r="BJ262" s="85"/>
      <c r="BK262" s="85"/>
      <c r="BL262" s="85"/>
      <c r="BM262" s="85"/>
      <c r="BN262" s="85"/>
      <c r="BO262" s="85"/>
      <c r="BP262" s="85"/>
      <c r="BQ262" s="85"/>
      <c r="BR262" s="85"/>
    </row>
    <row r="263" spans="1:70" ht="15.75" customHeight="1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  <c r="AU263" s="91"/>
      <c r="AV263" s="91"/>
      <c r="AW263" s="91"/>
      <c r="AX263" s="91"/>
      <c r="AY263" s="91"/>
      <c r="AZ263" s="91"/>
      <c r="BA263" s="91"/>
      <c r="BB263" s="91"/>
      <c r="BC263" s="91"/>
      <c r="BD263" s="91"/>
      <c r="BE263" s="91"/>
      <c r="BF263" s="91"/>
      <c r="BG263" s="91"/>
      <c r="BH263" s="91"/>
      <c r="BI263" s="91"/>
      <c r="BJ263" s="91"/>
      <c r="BK263" s="91"/>
      <c r="BL263" s="91"/>
      <c r="BM263" s="91"/>
      <c r="BN263" s="91"/>
      <c r="BO263" s="91"/>
      <c r="BP263" s="91"/>
      <c r="BQ263" s="91"/>
      <c r="BR263" s="91"/>
    </row>
    <row r="264" spans="1:70" ht="15.75" customHeight="1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  <c r="AU264" s="91"/>
      <c r="AV264" s="91"/>
      <c r="AW264" s="91"/>
      <c r="AX264" s="91"/>
      <c r="AY264" s="91"/>
      <c r="AZ264" s="91"/>
      <c r="BA264" s="91"/>
      <c r="BB264" s="91"/>
      <c r="BC264" s="91"/>
      <c r="BD264" s="91"/>
      <c r="BE264" s="91"/>
      <c r="BF264" s="91"/>
      <c r="BG264" s="91"/>
      <c r="BH264" s="91"/>
      <c r="BI264" s="91"/>
      <c r="BJ264" s="91"/>
      <c r="BK264" s="91"/>
      <c r="BL264" s="91"/>
      <c r="BM264" s="91"/>
      <c r="BN264" s="91"/>
      <c r="BO264" s="91"/>
      <c r="BP264" s="91"/>
      <c r="BQ264" s="91"/>
      <c r="BR264" s="91"/>
    </row>
    <row r="265" spans="1:70" ht="15.75" customHeight="1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  <c r="AU265" s="91"/>
      <c r="AV265" s="91"/>
      <c r="AW265" s="91"/>
      <c r="AX265" s="91"/>
      <c r="AY265" s="91"/>
      <c r="AZ265" s="91"/>
      <c r="BA265" s="91"/>
      <c r="BB265" s="91"/>
      <c r="BC265" s="91"/>
      <c r="BD265" s="91"/>
      <c r="BE265" s="91"/>
      <c r="BF265" s="91"/>
      <c r="BG265" s="91"/>
      <c r="BH265" s="91"/>
      <c r="BI265" s="91"/>
      <c r="BJ265" s="91"/>
      <c r="BK265" s="91"/>
      <c r="BL265" s="91"/>
      <c r="BM265" s="91"/>
      <c r="BN265" s="91"/>
      <c r="BO265" s="91"/>
      <c r="BP265" s="91"/>
      <c r="BQ265" s="91"/>
      <c r="BR265" s="91"/>
    </row>
    <row r="266" spans="1:70" ht="15.75" customHeight="1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  <c r="AU266" s="91"/>
      <c r="AV266" s="91"/>
      <c r="AW266" s="91"/>
      <c r="AX266" s="91"/>
      <c r="AY266" s="91"/>
      <c r="AZ266" s="91"/>
      <c r="BA266" s="91"/>
      <c r="BB266" s="91"/>
      <c r="BC266" s="91"/>
      <c r="BD266" s="91"/>
      <c r="BE266" s="91"/>
      <c r="BF266" s="91"/>
      <c r="BG266" s="91"/>
      <c r="BH266" s="91"/>
      <c r="BI266" s="91"/>
      <c r="BJ266" s="91"/>
      <c r="BK266" s="91"/>
      <c r="BL266" s="91"/>
      <c r="BM266" s="91"/>
      <c r="BN266" s="91"/>
      <c r="BO266" s="91"/>
      <c r="BP266" s="91"/>
      <c r="BQ266" s="91"/>
      <c r="BR266" s="91"/>
    </row>
    <row r="267" spans="1:70" ht="15.75" customHeight="1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  <c r="AU267" s="91"/>
      <c r="AV267" s="91"/>
      <c r="AW267" s="91"/>
      <c r="AX267" s="91"/>
      <c r="AY267" s="91"/>
      <c r="AZ267" s="91"/>
      <c r="BA267" s="91"/>
      <c r="BB267" s="91"/>
      <c r="BC267" s="91"/>
      <c r="BD267" s="91"/>
      <c r="BE267" s="91"/>
      <c r="BF267" s="91"/>
      <c r="BG267" s="91"/>
      <c r="BH267" s="91"/>
      <c r="BI267" s="91"/>
      <c r="BJ267" s="91"/>
      <c r="BK267" s="91"/>
      <c r="BL267" s="91"/>
      <c r="BM267" s="91"/>
      <c r="BN267" s="91"/>
      <c r="BO267" s="91"/>
      <c r="BP267" s="91"/>
      <c r="BQ267" s="91"/>
      <c r="BR267" s="91"/>
    </row>
    <row r="268" spans="1:70" ht="15.75" customHeight="1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  <c r="AU268" s="91"/>
      <c r="AV268" s="91"/>
      <c r="AW268" s="91"/>
      <c r="AX268" s="91"/>
      <c r="AY268" s="91"/>
      <c r="AZ268" s="91"/>
      <c r="BA268" s="91"/>
      <c r="BB268" s="91"/>
      <c r="BC268" s="91"/>
      <c r="BD268" s="91"/>
      <c r="BE268" s="91"/>
      <c r="BF268" s="91"/>
      <c r="BG268" s="91"/>
      <c r="BH268" s="91"/>
      <c r="BI268" s="91"/>
      <c r="BJ268" s="91"/>
      <c r="BK268" s="91"/>
      <c r="BL268" s="91"/>
      <c r="BM268" s="91"/>
      <c r="BN268" s="91"/>
      <c r="BO268" s="91"/>
      <c r="BP268" s="91"/>
      <c r="BQ268" s="91"/>
      <c r="BR268" s="91"/>
    </row>
    <row r="269" spans="1:70" ht="15.75" customHeight="1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  <c r="AU269" s="91"/>
      <c r="AV269" s="91"/>
      <c r="AW269" s="91"/>
      <c r="AX269" s="91"/>
      <c r="AY269" s="91"/>
      <c r="AZ269" s="91"/>
      <c r="BA269" s="91"/>
      <c r="BB269" s="91"/>
      <c r="BC269" s="91"/>
      <c r="BD269" s="91"/>
      <c r="BE269" s="91"/>
      <c r="BF269" s="91"/>
      <c r="BG269" s="91"/>
      <c r="BH269" s="91"/>
      <c r="BI269" s="91"/>
      <c r="BJ269" s="91"/>
      <c r="BK269" s="91"/>
      <c r="BL269" s="91"/>
      <c r="BM269" s="91"/>
      <c r="BN269" s="91"/>
      <c r="BO269" s="91"/>
      <c r="BP269" s="91"/>
      <c r="BQ269" s="91"/>
      <c r="BR269" s="91"/>
    </row>
    <row r="270" spans="1:70" ht="15.75" customHeight="1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  <c r="AU270" s="91"/>
      <c r="AV270" s="91"/>
      <c r="AW270" s="91"/>
      <c r="AX270" s="91"/>
      <c r="AY270" s="91"/>
      <c r="AZ270" s="91"/>
      <c r="BA270" s="91"/>
      <c r="BB270" s="91"/>
      <c r="BC270" s="91"/>
      <c r="BD270" s="91"/>
      <c r="BE270" s="91"/>
      <c r="BF270" s="91"/>
      <c r="BG270" s="91"/>
      <c r="BH270" s="91"/>
      <c r="BI270" s="91"/>
      <c r="BJ270" s="91"/>
      <c r="BK270" s="91"/>
      <c r="BL270" s="91"/>
      <c r="BM270" s="91"/>
      <c r="BN270" s="91"/>
      <c r="BO270" s="91"/>
      <c r="BP270" s="91"/>
      <c r="BQ270" s="91"/>
      <c r="BR270" s="91"/>
    </row>
    <row r="271" spans="1:70" ht="15.75" customHeight="1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  <c r="AU271" s="91"/>
      <c r="AV271" s="91"/>
      <c r="AW271" s="91"/>
      <c r="AX271" s="91"/>
      <c r="AY271" s="91"/>
      <c r="AZ271" s="91"/>
      <c r="BA271" s="91"/>
      <c r="BB271" s="91"/>
      <c r="BC271" s="91"/>
      <c r="BD271" s="91"/>
      <c r="BE271" s="91"/>
      <c r="BF271" s="91"/>
      <c r="BG271" s="91"/>
      <c r="BH271" s="91"/>
      <c r="BI271" s="91"/>
      <c r="BJ271" s="91"/>
      <c r="BK271" s="91"/>
      <c r="BL271" s="91"/>
      <c r="BM271" s="91"/>
      <c r="BN271" s="91"/>
      <c r="BO271" s="91"/>
      <c r="BP271" s="91"/>
      <c r="BQ271" s="91"/>
      <c r="BR271" s="91"/>
    </row>
    <row r="272" spans="1:70" ht="15.75" customHeight="1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  <c r="AU272" s="91"/>
      <c r="AV272" s="91"/>
      <c r="AW272" s="91"/>
      <c r="AX272" s="91"/>
      <c r="AY272" s="91"/>
      <c r="AZ272" s="91"/>
      <c r="BA272" s="91"/>
      <c r="BB272" s="91"/>
      <c r="BC272" s="91"/>
      <c r="BD272" s="91"/>
      <c r="BE272" s="91"/>
      <c r="BF272" s="91"/>
      <c r="BG272" s="91"/>
      <c r="BH272" s="91"/>
      <c r="BI272" s="91"/>
      <c r="BJ272" s="91"/>
      <c r="BK272" s="91"/>
      <c r="BL272" s="91"/>
      <c r="BM272" s="91"/>
      <c r="BN272" s="91"/>
      <c r="BO272" s="91"/>
      <c r="BP272" s="91"/>
      <c r="BQ272" s="91"/>
      <c r="BR272" s="91"/>
    </row>
    <row r="273" spans="1:70" ht="15.75" customHeight="1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  <c r="AU273" s="91"/>
      <c r="AV273" s="91"/>
      <c r="AW273" s="91"/>
      <c r="AX273" s="91"/>
      <c r="AY273" s="91"/>
      <c r="AZ273" s="91"/>
      <c r="BA273" s="91"/>
      <c r="BB273" s="91"/>
      <c r="BC273" s="91"/>
      <c r="BD273" s="91"/>
      <c r="BE273" s="91"/>
      <c r="BF273" s="91"/>
      <c r="BG273" s="91"/>
      <c r="BH273" s="91"/>
      <c r="BI273" s="91"/>
      <c r="BJ273" s="91"/>
      <c r="BK273" s="91"/>
      <c r="BL273" s="91"/>
      <c r="BM273" s="91"/>
      <c r="BN273" s="91"/>
      <c r="BO273" s="91"/>
      <c r="BP273" s="91"/>
      <c r="BQ273" s="91"/>
      <c r="BR273" s="91"/>
    </row>
    <row r="274" spans="1:70" ht="15.75" customHeight="1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  <c r="AU274" s="91"/>
      <c r="AV274" s="91"/>
      <c r="AW274" s="91"/>
      <c r="AX274" s="91"/>
      <c r="AY274" s="91"/>
      <c r="AZ274" s="91"/>
      <c r="BA274" s="91"/>
      <c r="BB274" s="91"/>
      <c r="BC274" s="91"/>
      <c r="BD274" s="91"/>
      <c r="BE274" s="91"/>
      <c r="BF274" s="91"/>
      <c r="BG274" s="91"/>
      <c r="BH274" s="91"/>
      <c r="BI274" s="91"/>
      <c r="BJ274" s="91"/>
      <c r="BK274" s="91"/>
      <c r="BL274" s="91"/>
      <c r="BM274" s="91"/>
      <c r="BN274" s="91"/>
      <c r="BO274" s="91"/>
      <c r="BP274" s="91"/>
      <c r="BQ274" s="91"/>
      <c r="BR274" s="91"/>
    </row>
    <row r="275" spans="1:70" ht="15.75" customHeight="1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  <c r="AU275" s="91"/>
      <c r="AV275" s="91"/>
      <c r="AW275" s="91"/>
      <c r="AX275" s="91"/>
      <c r="AY275" s="91"/>
      <c r="AZ275" s="91"/>
      <c r="BA275" s="91"/>
      <c r="BB275" s="91"/>
      <c r="BC275" s="91"/>
      <c r="BD275" s="91"/>
      <c r="BE275" s="91"/>
      <c r="BF275" s="91"/>
      <c r="BG275" s="91"/>
      <c r="BH275" s="91"/>
      <c r="BI275" s="91"/>
      <c r="BJ275" s="91"/>
      <c r="BK275" s="91"/>
      <c r="BL275" s="91"/>
      <c r="BM275" s="91"/>
      <c r="BN275" s="91"/>
      <c r="BO275" s="91"/>
      <c r="BP275" s="91"/>
      <c r="BQ275" s="91"/>
      <c r="BR275" s="91"/>
    </row>
    <row r="276" spans="1:70" ht="15.75" customHeight="1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  <c r="AU276" s="91"/>
      <c r="AV276" s="91"/>
      <c r="AW276" s="91"/>
      <c r="AX276" s="91"/>
      <c r="AY276" s="91"/>
      <c r="AZ276" s="91"/>
      <c r="BA276" s="91"/>
      <c r="BB276" s="91"/>
      <c r="BC276" s="91"/>
      <c r="BD276" s="91"/>
      <c r="BE276" s="91"/>
      <c r="BF276" s="91"/>
      <c r="BG276" s="91"/>
      <c r="BH276" s="91"/>
      <c r="BI276" s="91"/>
      <c r="BJ276" s="91"/>
      <c r="BK276" s="91"/>
      <c r="BL276" s="91"/>
      <c r="BM276" s="91"/>
      <c r="BN276" s="91"/>
      <c r="BO276" s="91"/>
      <c r="BP276" s="91"/>
      <c r="BQ276" s="91"/>
      <c r="BR276" s="91"/>
    </row>
    <row r="277" spans="1:70" ht="15.75" customHeight="1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  <c r="AU277" s="91"/>
      <c r="AV277" s="91"/>
      <c r="AW277" s="91"/>
      <c r="AX277" s="91"/>
      <c r="AY277" s="91"/>
      <c r="AZ277" s="91"/>
      <c r="BA277" s="91"/>
      <c r="BB277" s="91"/>
      <c r="BC277" s="91"/>
      <c r="BD277" s="91"/>
      <c r="BE277" s="91"/>
      <c r="BF277" s="91"/>
      <c r="BG277" s="91"/>
      <c r="BH277" s="91"/>
      <c r="BI277" s="91"/>
      <c r="BJ277" s="91"/>
      <c r="BK277" s="91"/>
      <c r="BL277" s="91"/>
      <c r="BM277" s="91"/>
      <c r="BN277" s="91"/>
      <c r="BO277" s="91"/>
      <c r="BP277" s="91"/>
      <c r="BQ277" s="91"/>
      <c r="BR277" s="91"/>
    </row>
    <row r="278" spans="1:70" ht="15.75" customHeight="1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  <c r="AU278" s="91"/>
      <c r="AV278" s="91"/>
      <c r="AW278" s="91"/>
      <c r="AX278" s="91"/>
      <c r="AY278" s="91"/>
      <c r="AZ278" s="91"/>
      <c r="BA278" s="91"/>
      <c r="BB278" s="91"/>
      <c r="BC278" s="91"/>
      <c r="BD278" s="91"/>
      <c r="BE278" s="91"/>
      <c r="BF278" s="91"/>
      <c r="BG278" s="91"/>
      <c r="BH278" s="91"/>
      <c r="BI278" s="91"/>
      <c r="BJ278" s="91"/>
      <c r="BK278" s="91"/>
      <c r="BL278" s="91"/>
      <c r="BM278" s="91"/>
      <c r="BN278" s="91"/>
      <c r="BO278" s="91"/>
      <c r="BP278" s="91"/>
      <c r="BQ278" s="91"/>
      <c r="BR278" s="91"/>
    </row>
    <row r="279" spans="1:70" ht="15.75" customHeight="1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  <c r="AU279" s="91"/>
      <c r="AV279" s="91"/>
      <c r="AW279" s="91"/>
      <c r="AX279" s="91"/>
      <c r="AY279" s="91"/>
      <c r="AZ279" s="91"/>
      <c r="BA279" s="91"/>
      <c r="BB279" s="91"/>
      <c r="BC279" s="91"/>
      <c r="BD279" s="91"/>
      <c r="BE279" s="91"/>
      <c r="BF279" s="91"/>
      <c r="BG279" s="91"/>
      <c r="BH279" s="91"/>
      <c r="BI279" s="91"/>
      <c r="BJ279" s="91"/>
      <c r="BK279" s="91"/>
      <c r="BL279" s="91"/>
      <c r="BM279" s="91"/>
      <c r="BN279" s="91"/>
      <c r="BO279" s="91"/>
      <c r="BP279" s="91"/>
      <c r="BQ279" s="91"/>
      <c r="BR279" s="91"/>
    </row>
    <row r="280" spans="1:70" ht="15.75" customHeight="1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  <c r="AU280" s="91"/>
      <c r="AV280" s="91"/>
      <c r="AW280" s="91"/>
      <c r="AX280" s="91"/>
      <c r="AY280" s="91"/>
      <c r="AZ280" s="91"/>
      <c r="BA280" s="91"/>
      <c r="BB280" s="91"/>
      <c r="BC280" s="91"/>
      <c r="BD280" s="91"/>
      <c r="BE280" s="91"/>
      <c r="BF280" s="91"/>
      <c r="BG280" s="91"/>
      <c r="BH280" s="91"/>
      <c r="BI280" s="91"/>
      <c r="BJ280" s="91"/>
      <c r="BK280" s="91"/>
      <c r="BL280" s="91"/>
      <c r="BM280" s="91"/>
      <c r="BN280" s="91"/>
      <c r="BO280" s="91"/>
      <c r="BP280" s="91"/>
      <c r="BQ280" s="91"/>
      <c r="BR280" s="91"/>
    </row>
    <row r="281" spans="1:70" ht="15.75" customHeight="1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  <c r="AU281" s="91"/>
      <c r="AV281" s="91"/>
      <c r="AW281" s="91"/>
      <c r="AX281" s="91"/>
      <c r="AY281" s="91"/>
      <c r="AZ281" s="91"/>
      <c r="BA281" s="91"/>
      <c r="BB281" s="91"/>
      <c r="BC281" s="91"/>
      <c r="BD281" s="91"/>
      <c r="BE281" s="91"/>
      <c r="BF281" s="91"/>
      <c r="BG281" s="91"/>
      <c r="BH281" s="91"/>
      <c r="BI281" s="91"/>
      <c r="BJ281" s="91"/>
      <c r="BK281" s="91"/>
      <c r="BL281" s="91"/>
      <c r="BM281" s="91"/>
      <c r="BN281" s="91"/>
      <c r="BO281" s="91"/>
      <c r="BP281" s="91"/>
      <c r="BQ281" s="91"/>
      <c r="BR281" s="91"/>
    </row>
    <row r="282" spans="1:70" ht="15.75" customHeight="1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  <c r="AU282" s="91"/>
      <c r="AV282" s="91"/>
      <c r="AW282" s="91"/>
      <c r="AX282" s="91"/>
      <c r="AY282" s="91"/>
      <c r="AZ282" s="91"/>
      <c r="BA282" s="91"/>
      <c r="BB282" s="91"/>
      <c r="BC282" s="91"/>
      <c r="BD282" s="91"/>
      <c r="BE282" s="91"/>
      <c r="BF282" s="91"/>
      <c r="BG282" s="91"/>
      <c r="BH282" s="91"/>
      <c r="BI282" s="91"/>
      <c r="BJ282" s="91"/>
      <c r="BK282" s="91"/>
      <c r="BL282" s="91"/>
      <c r="BM282" s="91"/>
      <c r="BN282" s="91"/>
      <c r="BO282" s="91"/>
      <c r="BP282" s="91"/>
      <c r="BQ282" s="91"/>
      <c r="BR282" s="91"/>
    </row>
    <row r="283" spans="1:70" ht="15.75" customHeight="1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  <c r="AU283" s="91"/>
      <c r="AV283" s="91"/>
      <c r="AW283" s="91"/>
      <c r="AX283" s="91"/>
      <c r="AY283" s="91"/>
      <c r="AZ283" s="91"/>
      <c r="BA283" s="91"/>
      <c r="BB283" s="91"/>
      <c r="BC283" s="91"/>
      <c r="BD283" s="91"/>
      <c r="BE283" s="91"/>
      <c r="BF283" s="91"/>
      <c r="BG283" s="91"/>
      <c r="BH283" s="91"/>
      <c r="BI283" s="91"/>
      <c r="BJ283" s="91"/>
      <c r="BK283" s="91"/>
      <c r="BL283" s="91"/>
      <c r="BM283" s="91"/>
      <c r="BN283" s="91"/>
      <c r="BO283" s="91"/>
      <c r="BP283" s="91"/>
      <c r="BQ283" s="91"/>
      <c r="BR283" s="91"/>
    </row>
    <row r="284" spans="1:70" ht="15.75" customHeight="1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  <c r="AU284" s="91"/>
      <c r="AV284" s="91"/>
      <c r="AW284" s="91"/>
      <c r="AX284" s="91"/>
      <c r="AY284" s="91"/>
      <c r="AZ284" s="91"/>
      <c r="BA284" s="91"/>
      <c r="BB284" s="91"/>
      <c r="BC284" s="91"/>
      <c r="BD284" s="91"/>
      <c r="BE284" s="91"/>
      <c r="BF284" s="91"/>
      <c r="BG284" s="91"/>
      <c r="BH284" s="91"/>
      <c r="BI284" s="91"/>
      <c r="BJ284" s="91"/>
      <c r="BK284" s="91"/>
      <c r="BL284" s="91"/>
      <c r="BM284" s="91"/>
      <c r="BN284" s="91"/>
      <c r="BO284" s="91"/>
      <c r="BP284" s="91"/>
      <c r="BQ284" s="91"/>
      <c r="BR284" s="91"/>
    </row>
    <row r="285" spans="1:70" ht="15.75" customHeight="1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  <c r="AU285" s="91"/>
      <c r="AV285" s="91"/>
      <c r="AW285" s="91"/>
      <c r="AX285" s="91"/>
      <c r="AY285" s="91"/>
      <c r="AZ285" s="91"/>
      <c r="BA285" s="91"/>
      <c r="BB285" s="91"/>
      <c r="BC285" s="91"/>
      <c r="BD285" s="91"/>
      <c r="BE285" s="91"/>
      <c r="BF285" s="91"/>
      <c r="BG285" s="91"/>
      <c r="BH285" s="91"/>
      <c r="BI285" s="91"/>
      <c r="BJ285" s="91"/>
      <c r="BK285" s="91"/>
      <c r="BL285" s="91"/>
      <c r="BM285" s="91"/>
      <c r="BN285" s="91"/>
      <c r="BO285" s="91"/>
      <c r="BP285" s="91"/>
      <c r="BQ285" s="91"/>
      <c r="BR285" s="91"/>
    </row>
    <row r="286" spans="1:70" ht="15.75" customHeight="1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  <c r="AU286" s="91"/>
      <c r="AV286" s="91"/>
      <c r="AW286" s="91"/>
      <c r="AX286" s="91"/>
      <c r="AY286" s="91"/>
      <c r="AZ286" s="91"/>
      <c r="BA286" s="91"/>
      <c r="BB286" s="91"/>
      <c r="BC286" s="91"/>
      <c r="BD286" s="91"/>
      <c r="BE286" s="91"/>
      <c r="BF286" s="91"/>
      <c r="BG286" s="91"/>
      <c r="BH286" s="91"/>
      <c r="BI286" s="91"/>
      <c r="BJ286" s="91"/>
      <c r="BK286" s="91"/>
      <c r="BL286" s="91"/>
      <c r="BM286" s="91"/>
      <c r="BN286" s="91"/>
      <c r="BO286" s="91"/>
      <c r="BP286" s="91"/>
      <c r="BQ286" s="91"/>
      <c r="BR286" s="91"/>
    </row>
    <row r="287" spans="1:70" ht="15.75" customHeight="1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  <c r="AU287" s="91"/>
      <c r="AV287" s="91"/>
      <c r="AW287" s="91"/>
      <c r="AX287" s="91"/>
      <c r="AY287" s="91"/>
      <c r="AZ287" s="91"/>
      <c r="BA287" s="91"/>
      <c r="BB287" s="91"/>
      <c r="BC287" s="91"/>
      <c r="BD287" s="91"/>
      <c r="BE287" s="91"/>
      <c r="BF287" s="91"/>
      <c r="BG287" s="91"/>
      <c r="BH287" s="91"/>
      <c r="BI287" s="91"/>
      <c r="BJ287" s="91"/>
      <c r="BK287" s="91"/>
      <c r="BL287" s="91"/>
      <c r="BM287" s="91"/>
      <c r="BN287" s="91"/>
      <c r="BO287" s="91"/>
      <c r="BP287" s="91"/>
      <c r="BQ287" s="91"/>
      <c r="BR287" s="91"/>
    </row>
    <row r="288" spans="1:70" ht="15.75" customHeight="1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  <c r="AU288" s="91"/>
      <c r="AV288" s="91"/>
      <c r="AW288" s="91"/>
      <c r="AX288" s="91"/>
      <c r="AY288" s="91"/>
      <c r="AZ288" s="91"/>
      <c r="BA288" s="91"/>
      <c r="BB288" s="91"/>
      <c r="BC288" s="91"/>
      <c r="BD288" s="91"/>
      <c r="BE288" s="91"/>
      <c r="BF288" s="91"/>
      <c r="BG288" s="91"/>
      <c r="BH288" s="91"/>
      <c r="BI288" s="91"/>
      <c r="BJ288" s="91"/>
      <c r="BK288" s="91"/>
      <c r="BL288" s="91"/>
      <c r="BM288" s="91"/>
      <c r="BN288" s="91"/>
      <c r="BO288" s="91"/>
      <c r="BP288" s="91"/>
      <c r="BQ288" s="91"/>
      <c r="BR288" s="91"/>
    </row>
    <row r="289" spans="1:70" ht="15.75" customHeight="1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  <c r="AU289" s="91"/>
      <c r="AV289" s="91"/>
      <c r="AW289" s="91"/>
      <c r="AX289" s="91"/>
      <c r="AY289" s="91"/>
      <c r="AZ289" s="91"/>
      <c r="BA289" s="91"/>
      <c r="BB289" s="91"/>
      <c r="BC289" s="91"/>
      <c r="BD289" s="91"/>
      <c r="BE289" s="91"/>
      <c r="BF289" s="91"/>
      <c r="BG289" s="91"/>
      <c r="BH289" s="91"/>
      <c r="BI289" s="91"/>
      <c r="BJ289" s="91"/>
      <c r="BK289" s="91"/>
      <c r="BL289" s="91"/>
      <c r="BM289" s="91"/>
      <c r="BN289" s="91"/>
      <c r="BO289" s="91"/>
      <c r="BP289" s="91"/>
      <c r="BQ289" s="91"/>
      <c r="BR289" s="91"/>
    </row>
    <row r="290" spans="1:70" ht="15.75" customHeight="1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  <c r="AU290" s="91"/>
      <c r="AV290" s="91"/>
      <c r="AW290" s="91"/>
      <c r="AX290" s="91"/>
      <c r="AY290" s="91"/>
      <c r="AZ290" s="91"/>
      <c r="BA290" s="91"/>
      <c r="BB290" s="91"/>
      <c r="BC290" s="91"/>
      <c r="BD290" s="91"/>
      <c r="BE290" s="91"/>
      <c r="BF290" s="91"/>
      <c r="BG290" s="91"/>
      <c r="BH290" s="91"/>
      <c r="BI290" s="91"/>
      <c r="BJ290" s="91"/>
      <c r="BK290" s="91"/>
      <c r="BL290" s="91"/>
      <c r="BM290" s="91"/>
      <c r="BN290" s="91"/>
      <c r="BO290" s="91"/>
      <c r="BP290" s="91"/>
      <c r="BQ290" s="91"/>
      <c r="BR290" s="91"/>
    </row>
    <row r="291" spans="1:70" ht="15.75" customHeight="1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  <c r="AU291" s="91"/>
      <c r="AV291" s="91"/>
      <c r="AW291" s="91"/>
      <c r="AX291" s="91"/>
      <c r="AY291" s="91"/>
      <c r="AZ291" s="91"/>
      <c r="BA291" s="91"/>
      <c r="BB291" s="91"/>
      <c r="BC291" s="91"/>
      <c r="BD291" s="91"/>
      <c r="BE291" s="91"/>
      <c r="BF291" s="91"/>
      <c r="BG291" s="91"/>
      <c r="BH291" s="91"/>
      <c r="BI291" s="91"/>
      <c r="BJ291" s="91"/>
      <c r="BK291" s="91"/>
      <c r="BL291" s="91"/>
      <c r="BM291" s="91"/>
      <c r="BN291" s="91"/>
      <c r="BO291" s="91"/>
      <c r="BP291" s="91"/>
      <c r="BQ291" s="91"/>
      <c r="BR291" s="91"/>
    </row>
    <row r="292" spans="1:70" ht="15.75" customHeight="1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  <c r="AU292" s="91"/>
      <c r="AV292" s="91"/>
      <c r="AW292" s="91"/>
      <c r="AX292" s="91"/>
      <c r="AY292" s="91"/>
      <c r="AZ292" s="91"/>
      <c r="BA292" s="91"/>
      <c r="BB292" s="91"/>
      <c r="BC292" s="91"/>
      <c r="BD292" s="91"/>
      <c r="BE292" s="91"/>
      <c r="BF292" s="91"/>
      <c r="BG292" s="91"/>
      <c r="BH292" s="91"/>
      <c r="BI292" s="91"/>
      <c r="BJ292" s="91"/>
      <c r="BK292" s="91"/>
      <c r="BL292" s="91"/>
      <c r="BM292" s="91"/>
      <c r="BN292" s="91"/>
      <c r="BO292" s="91"/>
      <c r="BP292" s="91"/>
      <c r="BQ292" s="91"/>
      <c r="BR292" s="91"/>
    </row>
    <row r="293" spans="1:70" ht="15.75" customHeight="1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  <c r="AU293" s="91"/>
      <c r="AV293" s="91"/>
      <c r="AW293" s="91"/>
      <c r="AX293" s="91"/>
      <c r="AY293" s="91"/>
      <c r="AZ293" s="91"/>
      <c r="BA293" s="91"/>
      <c r="BB293" s="91"/>
      <c r="BC293" s="91"/>
      <c r="BD293" s="91"/>
      <c r="BE293" s="91"/>
      <c r="BF293" s="91"/>
      <c r="BG293" s="91"/>
      <c r="BH293" s="91"/>
      <c r="BI293" s="91"/>
      <c r="BJ293" s="91"/>
      <c r="BK293" s="91"/>
      <c r="BL293" s="91"/>
      <c r="BM293" s="91"/>
      <c r="BN293" s="91"/>
      <c r="BO293" s="91"/>
      <c r="BP293" s="91"/>
      <c r="BQ293" s="91"/>
      <c r="BR293" s="91"/>
    </row>
    <row r="294" spans="1:70" ht="15.75" customHeight="1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  <c r="AU294" s="91"/>
      <c r="AV294" s="91"/>
      <c r="AW294" s="91"/>
      <c r="AX294" s="91"/>
      <c r="AY294" s="91"/>
      <c r="AZ294" s="91"/>
      <c r="BA294" s="91"/>
      <c r="BB294" s="91"/>
      <c r="BC294" s="91"/>
      <c r="BD294" s="91"/>
      <c r="BE294" s="91"/>
      <c r="BF294" s="91"/>
      <c r="BG294" s="91"/>
      <c r="BH294" s="91"/>
      <c r="BI294" s="91"/>
      <c r="BJ294" s="91"/>
      <c r="BK294" s="91"/>
      <c r="BL294" s="91"/>
      <c r="BM294" s="91"/>
      <c r="BN294" s="91"/>
      <c r="BO294" s="91"/>
      <c r="BP294" s="91"/>
      <c r="BQ294" s="91"/>
      <c r="BR294" s="91"/>
    </row>
    <row r="295" spans="1:70" ht="15.75" customHeight="1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  <c r="AU295" s="91"/>
      <c r="AV295" s="91"/>
      <c r="AW295" s="91"/>
      <c r="AX295" s="91"/>
      <c r="AY295" s="91"/>
      <c r="AZ295" s="91"/>
      <c r="BA295" s="91"/>
      <c r="BB295" s="91"/>
      <c r="BC295" s="91"/>
      <c r="BD295" s="91"/>
      <c r="BE295" s="91"/>
      <c r="BF295" s="91"/>
      <c r="BG295" s="91"/>
      <c r="BH295" s="91"/>
      <c r="BI295" s="91"/>
      <c r="BJ295" s="91"/>
      <c r="BK295" s="91"/>
      <c r="BL295" s="91"/>
      <c r="BM295" s="91"/>
      <c r="BN295" s="91"/>
      <c r="BO295" s="91"/>
      <c r="BP295" s="91"/>
      <c r="BQ295" s="91"/>
      <c r="BR295" s="91"/>
    </row>
    <row r="296" spans="1:70" ht="15.75" customHeight="1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  <c r="AU296" s="91"/>
      <c r="AV296" s="91"/>
      <c r="AW296" s="91"/>
      <c r="AX296" s="91"/>
      <c r="AY296" s="91"/>
      <c r="AZ296" s="91"/>
      <c r="BA296" s="91"/>
      <c r="BB296" s="91"/>
      <c r="BC296" s="91"/>
      <c r="BD296" s="91"/>
      <c r="BE296" s="91"/>
      <c r="BF296" s="91"/>
      <c r="BG296" s="91"/>
      <c r="BH296" s="91"/>
      <c r="BI296" s="91"/>
      <c r="BJ296" s="91"/>
      <c r="BK296" s="91"/>
      <c r="BL296" s="91"/>
      <c r="BM296" s="91"/>
      <c r="BN296" s="91"/>
      <c r="BO296" s="91"/>
      <c r="BP296" s="91"/>
      <c r="BQ296" s="91"/>
      <c r="BR296" s="91"/>
    </row>
    <row r="297" spans="1:70" ht="15.75" customHeight="1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  <c r="AU297" s="91"/>
      <c r="AV297" s="91"/>
      <c r="AW297" s="91"/>
      <c r="AX297" s="91"/>
      <c r="AY297" s="91"/>
      <c r="AZ297" s="91"/>
      <c r="BA297" s="91"/>
      <c r="BB297" s="91"/>
      <c r="BC297" s="91"/>
      <c r="BD297" s="91"/>
      <c r="BE297" s="91"/>
      <c r="BF297" s="91"/>
      <c r="BG297" s="91"/>
      <c r="BH297" s="91"/>
      <c r="BI297" s="91"/>
      <c r="BJ297" s="91"/>
      <c r="BK297" s="91"/>
      <c r="BL297" s="91"/>
      <c r="BM297" s="91"/>
      <c r="BN297" s="91"/>
      <c r="BO297" s="91"/>
      <c r="BP297" s="91"/>
      <c r="BQ297" s="91"/>
      <c r="BR297" s="91"/>
    </row>
    <row r="298" spans="1:70" ht="15.75" customHeight="1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  <c r="AU298" s="91"/>
      <c r="AV298" s="91"/>
      <c r="AW298" s="91"/>
      <c r="AX298" s="91"/>
      <c r="AY298" s="91"/>
      <c r="AZ298" s="91"/>
      <c r="BA298" s="91"/>
      <c r="BB298" s="91"/>
      <c r="BC298" s="91"/>
      <c r="BD298" s="91"/>
      <c r="BE298" s="91"/>
      <c r="BF298" s="91"/>
      <c r="BG298" s="91"/>
      <c r="BH298" s="91"/>
      <c r="BI298" s="91"/>
      <c r="BJ298" s="91"/>
      <c r="BK298" s="91"/>
      <c r="BL298" s="91"/>
      <c r="BM298" s="91"/>
      <c r="BN298" s="91"/>
      <c r="BO298" s="91"/>
      <c r="BP298" s="91"/>
      <c r="BQ298" s="91"/>
      <c r="BR298" s="91"/>
    </row>
    <row r="299" spans="1:70" ht="15.75" customHeight="1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  <c r="AU299" s="91"/>
      <c r="AV299" s="91"/>
      <c r="AW299" s="91"/>
      <c r="AX299" s="91"/>
      <c r="AY299" s="91"/>
      <c r="AZ299" s="91"/>
      <c r="BA299" s="91"/>
      <c r="BB299" s="91"/>
      <c r="BC299" s="91"/>
      <c r="BD299" s="91"/>
      <c r="BE299" s="91"/>
      <c r="BF299" s="91"/>
      <c r="BG299" s="91"/>
      <c r="BH299" s="91"/>
      <c r="BI299" s="91"/>
      <c r="BJ299" s="91"/>
      <c r="BK299" s="91"/>
      <c r="BL299" s="91"/>
      <c r="BM299" s="91"/>
      <c r="BN299" s="91"/>
      <c r="BO299" s="91"/>
      <c r="BP299" s="91"/>
      <c r="BQ299" s="91"/>
      <c r="BR299" s="91"/>
    </row>
    <row r="300" spans="1:70" ht="15.75" customHeight="1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  <c r="AU300" s="91"/>
      <c r="AV300" s="91"/>
      <c r="AW300" s="91"/>
      <c r="AX300" s="91"/>
      <c r="AY300" s="91"/>
      <c r="AZ300" s="91"/>
      <c r="BA300" s="91"/>
      <c r="BB300" s="91"/>
      <c r="BC300" s="91"/>
      <c r="BD300" s="91"/>
      <c r="BE300" s="91"/>
      <c r="BF300" s="91"/>
      <c r="BG300" s="91"/>
      <c r="BH300" s="91"/>
      <c r="BI300" s="91"/>
      <c r="BJ300" s="91"/>
      <c r="BK300" s="91"/>
      <c r="BL300" s="91"/>
      <c r="BM300" s="91"/>
      <c r="BN300" s="91"/>
      <c r="BO300" s="91"/>
      <c r="BP300" s="91"/>
      <c r="BQ300" s="91"/>
      <c r="BR300" s="91"/>
    </row>
    <row r="301" spans="1:70" ht="15.75" customHeight="1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  <c r="AU301" s="91"/>
      <c r="AV301" s="91"/>
      <c r="AW301" s="91"/>
      <c r="AX301" s="91"/>
      <c r="AY301" s="91"/>
      <c r="AZ301" s="91"/>
      <c r="BA301" s="91"/>
      <c r="BB301" s="91"/>
      <c r="BC301" s="91"/>
      <c r="BD301" s="91"/>
      <c r="BE301" s="91"/>
      <c r="BF301" s="91"/>
      <c r="BG301" s="91"/>
      <c r="BH301" s="91"/>
      <c r="BI301" s="91"/>
      <c r="BJ301" s="91"/>
      <c r="BK301" s="91"/>
      <c r="BL301" s="91"/>
      <c r="BM301" s="91"/>
      <c r="BN301" s="91"/>
      <c r="BO301" s="91"/>
      <c r="BP301" s="91"/>
      <c r="BQ301" s="91"/>
      <c r="BR301" s="91"/>
    </row>
    <row r="302" spans="1:70" ht="15.75" customHeight="1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  <c r="AU302" s="91"/>
      <c r="AV302" s="91"/>
      <c r="AW302" s="91"/>
      <c r="AX302" s="91"/>
      <c r="AY302" s="91"/>
      <c r="AZ302" s="91"/>
      <c r="BA302" s="91"/>
      <c r="BB302" s="91"/>
      <c r="BC302" s="91"/>
      <c r="BD302" s="91"/>
      <c r="BE302" s="91"/>
      <c r="BF302" s="91"/>
      <c r="BG302" s="91"/>
      <c r="BH302" s="91"/>
      <c r="BI302" s="91"/>
      <c r="BJ302" s="91"/>
      <c r="BK302" s="91"/>
      <c r="BL302" s="91"/>
      <c r="BM302" s="91"/>
      <c r="BN302" s="91"/>
      <c r="BO302" s="91"/>
      <c r="BP302" s="91"/>
      <c r="BQ302" s="91"/>
      <c r="BR302" s="91"/>
    </row>
    <row r="303" spans="1:70" ht="15.75" customHeight="1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  <c r="AU303" s="91"/>
      <c r="AV303" s="91"/>
      <c r="AW303" s="91"/>
      <c r="AX303" s="91"/>
      <c r="AY303" s="91"/>
      <c r="AZ303" s="91"/>
      <c r="BA303" s="91"/>
      <c r="BB303" s="91"/>
      <c r="BC303" s="91"/>
      <c r="BD303" s="91"/>
      <c r="BE303" s="91"/>
      <c r="BF303" s="91"/>
      <c r="BG303" s="91"/>
      <c r="BH303" s="91"/>
      <c r="BI303" s="91"/>
      <c r="BJ303" s="91"/>
      <c r="BK303" s="91"/>
      <c r="BL303" s="91"/>
      <c r="BM303" s="91"/>
      <c r="BN303" s="91"/>
      <c r="BO303" s="91"/>
      <c r="BP303" s="91"/>
      <c r="BQ303" s="91"/>
      <c r="BR303" s="91"/>
    </row>
    <row r="304" spans="1:70" ht="15.75" customHeight="1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  <c r="AU304" s="91"/>
      <c r="AV304" s="91"/>
      <c r="AW304" s="91"/>
      <c r="AX304" s="91"/>
      <c r="AY304" s="91"/>
      <c r="AZ304" s="91"/>
      <c r="BA304" s="91"/>
      <c r="BB304" s="91"/>
      <c r="BC304" s="91"/>
      <c r="BD304" s="91"/>
      <c r="BE304" s="91"/>
      <c r="BF304" s="91"/>
      <c r="BG304" s="91"/>
      <c r="BH304" s="91"/>
      <c r="BI304" s="91"/>
      <c r="BJ304" s="91"/>
      <c r="BK304" s="91"/>
      <c r="BL304" s="91"/>
      <c r="BM304" s="91"/>
      <c r="BN304" s="91"/>
      <c r="BO304" s="91"/>
      <c r="BP304" s="91"/>
      <c r="BQ304" s="91"/>
      <c r="BR304" s="91"/>
    </row>
    <row r="305" spans="1:70" ht="15.75" customHeight="1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  <c r="AU305" s="91"/>
      <c r="AV305" s="91"/>
      <c r="AW305" s="91"/>
      <c r="AX305" s="91"/>
      <c r="AY305" s="91"/>
      <c r="AZ305" s="91"/>
      <c r="BA305" s="91"/>
      <c r="BB305" s="91"/>
      <c r="BC305" s="91"/>
      <c r="BD305" s="91"/>
      <c r="BE305" s="91"/>
      <c r="BF305" s="91"/>
      <c r="BG305" s="91"/>
      <c r="BH305" s="91"/>
      <c r="BI305" s="91"/>
      <c r="BJ305" s="91"/>
      <c r="BK305" s="91"/>
      <c r="BL305" s="91"/>
      <c r="BM305" s="91"/>
      <c r="BN305" s="91"/>
      <c r="BO305" s="91"/>
      <c r="BP305" s="91"/>
      <c r="BQ305" s="91"/>
      <c r="BR305" s="91"/>
    </row>
    <row r="306" spans="1:70" ht="15.75" customHeight="1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  <c r="AU306" s="91"/>
      <c r="AV306" s="91"/>
      <c r="AW306" s="91"/>
      <c r="AX306" s="91"/>
      <c r="AY306" s="91"/>
      <c r="AZ306" s="91"/>
      <c r="BA306" s="91"/>
      <c r="BB306" s="91"/>
      <c r="BC306" s="91"/>
      <c r="BD306" s="91"/>
      <c r="BE306" s="91"/>
      <c r="BF306" s="91"/>
      <c r="BG306" s="91"/>
      <c r="BH306" s="91"/>
      <c r="BI306" s="91"/>
      <c r="BJ306" s="91"/>
      <c r="BK306" s="91"/>
      <c r="BL306" s="91"/>
      <c r="BM306" s="91"/>
      <c r="BN306" s="91"/>
      <c r="BO306" s="91"/>
      <c r="BP306" s="91"/>
      <c r="BQ306" s="91"/>
      <c r="BR306" s="91"/>
    </row>
    <row r="307" spans="1:70" ht="15.75" customHeight="1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  <c r="AU307" s="91"/>
      <c r="AV307" s="91"/>
      <c r="AW307" s="91"/>
      <c r="AX307" s="91"/>
      <c r="AY307" s="91"/>
      <c r="AZ307" s="91"/>
      <c r="BA307" s="91"/>
      <c r="BB307" s="91"/>
      <c r="BC307" s="91"/>
      <c r="BD307" s="91"/>
      <c r="BE307" s="91"/>
      <c r="BF307" s="91"/>
      <c r="BG307" s="91"/>
      <c r="BH307" s="91"/>
      <c r="BI307" s="91"/>
      <c r="BJ307" s="91"/>
      <c r="BK307" s="91"/>
      <c r="BL307" s="91"/>
      <c r="BM307" s="91"/>
      <c r="BN307" s="91"/>
      <c r="BO307" s="91"/>
      <c r="BP307" s="91"/>
      <c r="BQ307" s="91"/>
      <c r="BR307" s="91"/>
    </row>
    <row r="308" spans="1:70" ht="15.75" customHeight="1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  <c r="AU308" s="91"/>
      <c r="AV308" s="91"/>
      <c r="AW308" s="91"/>
      <c r="AX308" s="91"/>
      <c r="AY308" s="91"/>
      <c r="AZ308" s="91"/>
      <c r="BA308" s="91"/>
      <c r="BB308" s="91"/>
      <c r="BC308" s="91"/>
      <c r="BD308" s="91"/>
      <c r="BE308" s="91"/>
      <c r="BF308" s="91"/>
      <c r="BG308" s="91"/>
      <c r="BH308" s="91"/>
      <c r="BI308" s="91"/>
      <c r="BJ308" s="91"/>
      <c r="BK308" s="91"/>
      <c r="BL308" s="91"/>
      <c r="BM308" s="91"/>
      <c r="BN308" s="91"/>
      <c r="BO308" s="91"/>
      <c r="BP308" s="91"/>
      <c r="BQ308" s="91"/>
      <c r="BR308" s="91"/>
    </row>
    <row r="309" spans="1:70" ht="15.75" customHeight="1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  <c r="AU309" s="91"/>
      <c r="AV309" s="91"/>
      <c r="AW309" s="91"/>
      <c r="AX309" s="91"/>
      <c r="AY309" s="91"/>
      <c r="AZ309" s="91"/>
      <c r="BA309" s="91"/>
      <c r="BB309" s="91"/>
      <c r="BC309" s="91"/>
      <c r="BD309" s="91"/>
      <c r="BE309" s="91"/>
      <c r="BF309" s="91"/>
      <c r="BG309" s="91"/>
      <c r="BH309" s="91"/>
      <c r="BI309" s="91"/>
      <c r="BJ309" s="91"/>
      <c r="BK309" s="91"/>
      <c r="BL309" s="91"/>
      <c r="BM309" s="91"/>
      <c r="BN309" s="91"/>
      <c r="BO309" s="91"/>
      <c r="BP309" s="91"/>
      <c r="BQ309" s="91"/>
      <c r="BR309" s="91"/>
    </row>
    <row r="310" spans="1:70" ht="15.75" customHeight="1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  <c r="AU310" s="91"/>
      <c r="AV310" s="91"/>
      <c r="AW310" s="91"/>
      <c r="AX310" s="91"/>
      <c r="AY310" s="91"/>
      <c r="AZ310" s="91"/>
      <c r="BA310" s="91"/>
      <c r="BB310" s="91"/>
      <c r="BC310" s="91"/>
      <c r="BD310" s="91"/>
      <c r="BE310" s="91"/>
      <c r="BF310" s="91"/>
      <c r="BG310" s="91"/>
      <c r="BH310" s="91"/>
      <c r="BI310" s="91"/>
      <c r="BJ310" s="91"/>
      <c r="BK310" s="91"/>
      <c r="BL310" s="91"/>
      <c r="BM310" s="91"/>
      <c r="BN310" s="91"/>
      <c r="BO310" s="91"/>
      <c r="BP310" s="91"/>
      <c r="BQ310" s="91"/>
      <c r="BR310" s="91"/>
    </row>
    <row r="311" spans="1:70" ht="15.75" customHeight="1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  <c r="AU311" s="91"/>
      <c r="AV311" s="91"/>
      <c r="AW311" s="91"/>
      <c r="AX311" s="91"/>
      <c r="AY311" s="91"/>
      <c r="AZ311" s="91"/>
      <c r="BA311" s="91"/>
      <c r="BB311" s="91"/>
      <c r="BC311" s="91"/>
      <c r="BD311" s="91"/>
      <c r="BE311" s="91"/>
      <c r="BF311" s="91"/>
      <c r="BG311" s="91"/>
      <c r="BH311" s="91"/>
      <c r="BI311" s="91"/>
      <c r="BJ311" s="91"/>
      <c r="BK311" s="91"/>
      <c r="BL311" s="91"/>
      <c r="BM311" s="91"/>
      <c r="BN311" s="91"/>
      <c r="BO311" s="91"/>
      <c r="BP311" s="91"/>
      <c r="BQ311" s="91"/>
      <c r="BR311" s="91"/>
    </row>
    <row r="312" spans="1:70" ht="15.75" customHeight="1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  <c r="AU312" s="91"/>
      <c r="AV312" s="91"/>
      <c r="AW312" s="91"/>
      <c r="AX312" s="91"/>
      <c r="AY312" s="91"/>
      <c r="AZ312" s="91"/>
      <c r="BA312" s="91"/>
      <c r="BB312" s="91"/>
      <c r="BC312" s="91"/>
      <c r="BD312" s="91"/>
      <c r="BE312" s="91"/>
      <c r="BF312" s="91"/>
      <c r="BG312" s="91"/>
      <c r="BH312" s="91"/>
      <c r="BI312" s="91"/>
      <c r="BJ312" s="91"/>
      <c r="BK312" s="91"/>
      <c r="BL312" s="91"/>
      <c r="BM312" s="91"/>
      <c r="BN312" s="91"/>
      <c r="BO312" s="91"/>
      <c r="BP312" s="91"/>
      <c r="BQ312" s="91"/>
      <c r="BR312" s="91"/>
    </row>
    <row r="313" spans="1:70" ht="15.75" customHeight="1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  <c r="AU313" s="91"/>
      <c r="AV313" s="91"/>
      <c r="AW313" s="91"/>
      <c r="AX313" s="91"/>
      <c r="AY313" s="91"/>
      <c r="AZ313" s="91"/>
      <c r="BA313" s="91"/>
      <c r="BB313" s="91"/>
      <c r="BC313" s="91"/>
      <c r="BD313" s="91"/>
      <c r="BE313" s="91"/>
      <c r="BF313" s="91"/>
      <c r="BG313" s="91"/>
      <c r="BH313" s="91"/>
      <c r="BI313" s="91"/>
      <c r="BJ313" s="91"/>
      <c r="BK313" s="91"/>
      <c r="BL313" s="91"/>
      <c r="BM313" s="91"/>
      <c r="BN313" s="91"/>
      <c r="BO313" s="91"/>
      <c r="BP313" s="91"/>
      <c r="BQ313" s="91"/>
      <c r="BR313" s="91"/>
    </row>
    <row r="314" spans="1:70" ht="15.75" customHeight="1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  <c r="AU314" s="91"/>
      <c r="AV314" s="91"/>
      <c r="AW314" s="91"/>
      <c r="AX314" s="91"/>
      <c r="AY314" s="91"/>
      <c r="AZ314" s="91"/>
      <c r="BA314" s="91"/>
      <c r="BB314" s="91"/>
      <c r="BC314" s="91"/>
      <c r="BD314" s="91"/>
      <c r="BE314" s="91"/>
      <c r="BF314" s="91"/>
      <c r="BG314" s="91"/>
      <c r="BH314" s="91"/>
      <c r="BI314" s="91"/>
      <c r="BJ314" s="91"/>
      <c r="BK314" s="91"/>
      <c r="BL314" s="91"/>
      <c r="BM314" s="91"/>
      <c r="BN314" s="91"/>
      <c r="BO314" s="91"/>
      <c r="BP314" s="91"/>
      <c r="BQ314" s="91"/>
      <c r="BR314" s="91"/>
    </row>
    <row r="315" spans="1:70" ht="15.75" customHeight="1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  <c r="AU315" s="91"/>
      <c r="AV315" s="91"/>
      <c r="AW315" s="91"/>
      <c r="AX315" s="91"/>
      <c r="AY315" s="91"/>
      <c r="AZ315" s="91"/>
      <c r="BA315" s="91"/>
      <c r="BB315" s="91"/>
      <c r="BC315" s="91"/>
      <c r="BD315" s="91"/>
      <c r="BE315" s="91"/>
      <c r="BF315" s="91"/>
      <c r="BG315" s="91"/>
      <c r="BH315" s="91"/>
      <c r="BI315" s="91"/>
      <c r="BJ315" s="91"/>
      <c r="BK315" s="91"/>
      <c r="BL315" s="91"/>
      <c r="BM315" s="91"/>
      <c r="BN315" s="91"/>
      <c r="BO315" s="91"/>
      <c r="BP315" s="91"/>
      <c r="BQ315" s="91"/>
      <c r="BR315" s="91"/>
    </row>
    <row r="316" spans="1:70" ht="15.75" customHeight="1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  <c r="AU316" s="91"/>
      <c r="AV316" s="91"/>
      <c r="AW316" s="91"/>
      <c r="AX316" s="91"/>
      <c r="AY316" s="91"/>
      <c r="AZ316" s="91"/>
      <c r="BA316" s="91"/>
      <c r="BB316" s="91"/>
      <c r="BC316" s="91"/>
      <c r="BD316" s="91"/>
      <c r="BE316" s="91"/>
      <c r="BF316" s="91"/>
      <c r="BG316" s="91"/>
      <c r="BH316" s="91"/>
      <c r="BI316" s="91"/>
      <c r="BJ316" s="91"/>
      <c r="BK316" s="91"/>
      <c r="BL316" s="91"/>
      <c r="BM316" s="91"/>
      <c r="BN316" s="91"/>
      <c r="BO316" s="91"/>
      <c r="BP316" s="91"/>
      <c r="BQ316" s="91"/>
      <c r="BR316" s="91"/>
    </row>
    <row r="317" spans="1:70" ht="15.75" customHeight="1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  <c r="AU317" s="91"/>
      <c r="AV317" s="91"/>
      <c r="AW317" s="91"/>
      <c r="AX317" s="91"/>
      <c r="AY317" s="91"/>
      <c r="AZ317" s="91"/>
      <c r="BA317" s="91"/>
      <c r="BB317" s="91"/>
      <c r="BC317" s="91"/>
      <c r="BD317" s="91"/>
      <c r="BE317" s="91"/>
      <c r="BF317" s="91"/>
      <c r="BG317" s="91"/>
      <c r="BH317" s="91"/>
      <c r="BI317" s="91"/>
      <c r="BJ317" s="91"/>
      <c r="BK317" s="91"/>
      <c r="BL317" s="91"/>
      <c r="BM317" s="91"/>
      <c r="BN317" s="91"/>
      <c r="BO317" s="91"/>
      <c r="BP317" s="91"/>
      <c r="BQ317" s="91"/>
      <c r="BR317" s="91"/>
    </row>
    <row r="318" spans="1:70" ht="15.75" customHeight="1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  <c r="AU318" s="91"/>
      <c r="AV318" s="91"/>
      <c r="AW318" s="91"/>
      <c r="AX318" s="91"/>
      <c r="AY318" s="91"/>
      <c r="AZ318" s="91"/>
      <c r="BA318" s="91"/>
      <c r="BB318" s="91"/>
      <c r="BC318" s="91"/>
      <c r="BD318" s="91"/>
      <c r="BE318" s="91"/>
      <c r="BF318" s="91"/>
      <c r="BG318" s="91"/>
      <c r="BH318" s="91"/>
      <c r="BI318" s="91"/>
      <c r="BJ318" s="91"/>
      <c r="BK318" s="91"/>
      <c r="BL318" s="91"/>
      <c r="BM318" s="91"/>
      <c r="BN318" s="91"/>
      <c r="BO318" s="91"/>
      <c r="BP318" s="91"/>
      <c r="BQ318" s="91"/>
      <c r="BR318" s="91"/>
    </row>
    <row r="319" spans="1:70" ht="15.75" customHeight="1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  <c r="AU319" s="91"/>
      <c r="AV319" s="91"/>
      <c r="AW319" s="91"/>
      <c r="AX319" s="91"/>
      <c r="AY319" s="91"/>
      <c r="AZ319" s="91"/>
      <c r="BA319" s="91"/>
      <c r="BB319" s="91"/>
      <c r="BC319" s="91"/>
      <c r="BD319" s="91"/>
      <c r="BE319" s="91"/>
      <c r="BF319" s="91"/>
      <c r="BG319" s="91"/>
      <c r="BH319" s="91"/>
      <c r="BI319" s="91"/>
      <c r="BJ319" s="91"/>
      <c r="BK319" s="91"/>
      <c r="BL319" s="91"/>
      <c r="BM319" s="91"/>
      <c r="BN319" s="91"/>
      <c r="BO319" s="91"/>
      <c r="BP319" s="91"/>
      <c r="BQ319" s="91"/>
      <c r="BR319" s="91"/>
    </row>
    <row r="320" spans="1:70" ht="15.75" customHeight="1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  <c r="AU320" s="91"/>
      <c r="AV320" s="91"/>
      <c r="AW320" s="91"/>
      <c r="AX320" s="91"/>
      <c r="AY320" s="91"/>
      <c r="AZ320" s="91"/>
      <c r="BA320" s="91"/>
      <c r="BB320" s="91"/>
      <c r="BC320" s="91"/>
      <c r="BD320" s="91"/>
      <c r="BE320" s="91"/>
      <c r="BF320" s="91"/>
      <c r="BG320" s="91"/>
      <c r="BH320" s="91"/>
      <c r="BI320" s="91"/>
      <c r="BJ320" s="91"/>
      <c r="BK320" s="91"/>
      <c r="BL320" s="91"/>
      <c r="BM320" s="91"/>
      <c r="BN320" s="91"/>
      <c r="BO320" s="91"/>
      <c r="BP320" s="91"/>
      <c r="BQ320" s="91"/>
      <c r="BR320" s="91"/>
    </row>
    <row r="321" spans="1:70" ht="15.75" customHeight="1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  <c r="AU321" s="91"/>
      <c r="AV321" s="91"/>
      <c r="AW321" s="91"/>
      <c r="AX321" s="91"/>
      <c r="AY321" s="91"/>
      <c r="AZ321" s="91"/>
      <c r="BA321" s="91"/>
      <c r="BB321" s="91"/>
      <c r="BC321" s="91"/>
      <c r="BD321" s="91"/>
      <c r="BE321" s="91"/>
      <c r="BF321" s="91"/>
      <c r="BG321" s="91"/>
      <c r="BH321" s="91"/>
      <c r="BI321" s="91"/>
      <c r="BJ321" s="91"/>
      <c r="BK321" s="91"/>
      <c r="BL321" s="91"/>
      <c r="BM321" s="91"/>
      <c r="BN321" s="91"/>
      <c r="BO321" s="91"/>
      <c r="BP321" s="91"/>
      <c r="BQ321" s="91"/>
      <c r="BR321" s="91"/>
    </row>
    <row r="322" spans="1:70" ht="15.75" customHeight="1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  <c r="AU322" s="91"/>
      <c r="AV322" s="91"/>
      <c r="AW322" s="91"/>
      <c r="AX322" s="91"/>
      <c r="AY322" s="91"/>
      <c r="AZ322" s="91"/>
      <c r="BA322" s="91"/>
      <c r="BB322" s="91"/>
      <c r="BC322" s="91"/>
      <c r="BD322" s="91"/>
      <c r="BE322" s="91"/>
      <c r="BF322" s="91"/>
      <c r="BG322" s="91"/>
      <c r="BH322" s="91"/>
      <c r="BI322" s="91"/>
      <c r="BJ322" s="91"/>
      <c r="BK322" s="91"/>
      <c r="BL322" s="91"/>
      <c r="BM322" s="91"/>
      <c r="BN322" s="91"/>
      <c r="BO322" s="91"/>
      <c r="BP322" s="91"/>
      <c r="BQ322" s="91"/>
      <c r="BR322" s="91"/>
    </row>
    <row r="323" spans="1:70" ht="15.75" customHeight="1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  <c r="AU323" s="91"/>
      <c r="AV323" s="91"/>
      <c r="AW323" s="91"/>
      <c r="AX323" s="91"/>
      <c r="AY323" s="91"/>
      <c r="AZ323" s="91"/>
      <c r="BA323" s="91"/>
      <c r="BB323" s="91"/>
      <c r="BC323" s="91"/>
      <c r="BD323" s="91"/>
      <c r="BE323" s="91"/>
      <c r="BF323" s="91"/>
      <c r="BG323" s="91"/>
      <c r="BH323" s="91"/>
      <c r="BI323" s="91"/>
      <c r="BJ323" s="91"/>
      <c r="BK323" s="91"/>
      <c r="BL323" s="91"/>
      <c r="BM323" s="91"/>
      <c r="BN323" s="91"/>
      <c r="BO323" s="91"/>
      <c r="BP323" s="91"/>
      <c r="BQ323" s="91"/>
      <c r="BR323" s="91"/>
    </row>
    <row r="324" spans="1:70" ht="15.75" customHeight="1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  <c r="AU324" s="91"/>
      <c r="AV324" s="91"/>
      <c r="AW324" s="91"/>
      <c r="AX324" s="91"/>
      <c r="AY324" s="91"/>
      <c r="AZ324" s="91"/>
      <c r="BA324" s="91"/>
      <c r="BB324" s="91"/>
      <c r="BC324" s="91"/>
      <c r="BD324" s="91"/>
      <c r="BE324" s="91"/>
      <c r="BF324" s="91"/>
      <c r="BG324" s="91"/>
      <c r="BH324" s="91"/>
      <c r="BI324" s="91"/>
      <c r="BJ324" s="91"/>
      <c r="BK324" s="91"/>
      <c r="BL324" s="91"/>
      <c r="BM324" s="91"/>
      <c r="BN324" s="91"/>
      <c r="BO324" s="91"/>
      <c r="BP324" s="91"/>
      <c r="BQ324" s="91"/>
      <c r="BR324" s="91"/>
    </row>
    <row r="325" spans="1:70" ht="15.75" customHeight="1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  <c r="AU325" s="91"/>
      <c r="AV325" s="91"/>
      <c r="AW325" s="91"/>
      <c r="AX325" s="91"/>
      <c r="AY325" s="91"/>
      <c r="AZ325" s="91"/>
      <c r="BA325" s="91"/>
      <c r="BB325" s="91"/>
      <c r="BC325" s="91"/>
      <c r="BD325" s="91"/>
      <c r="BE325" s="91"/>
      <c r="BF325" s="91"/>
      <c r="BG325" s="91"/>
      <c r="BH325" s="91"/>
      <c r="BI325" s="91"/>
      <c r="BJ325" s="91"/>
      <c r="BK325" s="91"/>
      <c r="BL325" s="91"/>
      <c r="BM325" s="91"/>
      <c r="BN325" s="91"/>
      <c r="BO325" s="91"/>
      <c r="BP325" s="91"/>
      <c r="BQ325" s="91"/>
      <c r="BR325" s="91"/>
    </row>
    <row r="326" spans="1:70" ht="15.75" customHeight="1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  <c r="AU326" s="91"/>
      <c r="AV326" s="91"/>
      <c r="AW326" s="91"/>
      <c r="AX326" s="91"/>
      <c r="AY326" s="91"/>
      <c r="AZ326" s="91"/>
      <c r="BA326" s="91"/>
      <c r="BB326" s="91"/>
      <c r="BC326" s="91"/>
      <c r="BD326" s="91"/>
      <c r="BE326" s="91"/>
      <c r="BF326" s="91"/>
      <c r="BG326" s="91"/>
      <c r="BH326" s="91"/>
      <c r="BI326" s="91"/>
      <c r="BJ326" s="91"/>
      <c r="BK326" s="91"/>
      <c r="BL326" s="91"/>
      <c r="BM326" s="91"/>
      <c r="BN326" s="91"/>
      <c r="BO326" s="91"/>
      <c r="BP326" s="91"/>
      <c r="BQ326" s="91"/>
      <c r="BR326" s="91"/>
    </row>
    <row r="327" spans="1:70" ht="15.75" customHeight="1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  <c r="AU327" s="91"/>
      <c r="AV327" s="91"/>
      <c r="AW327" s="91"/>
      <c r="AX327" s="91"/>
      <c r="AY327" s="91"/>
      <c r="AZ327" s="91"/>
      <c r="BA327" s="91"/>
      <c r="BB327" s="91"/>
      <c r="BC327" s="91"/>
      <c r="BD327" s="91"/>
      <c r="BE327" s="91"/>
      <c r="BF327" s="91"/>
      <c r="BG327" s="91"/>
      <c r="BH327" s="91"/>
      <c r="BI327" s="91"/>
      <c r="BJ327" s="91"/>
      <c r="BK327" s="91"/>
      <c r="BL327" s="91"/>
      <c r="BM327" s="91"/>
      <c r="BN327" s="91"/>
      <c r="BO327" s="91"/>
      <c r="BP327" s="91"/>
      <c r="BQ327" s="91"/>
      <c r="BR327" s="91"/>
    </row>
    <row r="328" spans="1:70" ht="15.75" customHeight="1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  <c r="AU328" s="91"/>
      <c r="AV328" s="91"/>
      <c r="AW328" s="91"/>
      <c r="AX328" s="91"/>
      <c r="AY328" s="91"/>
      <c r="AZ328" s="91"/>
      <c r="BA328" s="91"/>
      <c r="BB328" s="91"/>
      <c r="BC328" s="91"/>
      <c r="BD328" s="91"/>
      <c r="BE328" s="91"/>
      <c r="BF328" s="91"/>
      <c r="BG328" s="91"/>
      <c r="BH328" s="91"/>
      <c r="BI328" s="91"/>
      <c r="BJ328" s="91"/>
      <c r="BK328" s="91"/>
      <c r="BL328" s="91"/>
      <c r="BM328" s="91"/>
      <c r="BN328" s="91"/>
      <c r="BO328" s="91"/>
      <c r="BP328" s="91"/>
      <c r="BQ328" s="91"/>
      <c r="BR328" s="91"/>
    </row>
    <row r="329" spans="1:70" ht="15.75" customHeight="1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  <c r="AU329" s="91"/>
      <c r="AV329" s="91"/>
      <c r="AW329" s="91"/>
      <c r="AX329" s="91"/>
      <c r="AY329" s="91"/>
      <c r="AZ329" s="91"/>
      <c r="BA329" s="91"/>
      <c r="BB329" s="91"/>
      <c r="BC329" s="91"/>
      <c r="BD329" s="91"/>
      <c r="BE329" s="91"/>
      <c r="BF329" s="91"/>
      <c r="BG329" s="91"/>
      <c r="BH329" s="91"/>
      <c r="BI329" s="91"/>
      <c r="BJ329" s="91"/>
      <c r="BK329" s="91"/>
      <c r="BL329" s="91"/>
      <c r="BM329" s="91"/>
      <c r="BN329" s="91"/>
      <c r="BO329" s="91"/>
      <c r="BP329" s="91"/>
      <c r="BQ329" s="91"/>
      <c r="BR329" s="91"/>
    </row>
    <row r="330" spans="1:70" ht="15.75" customHeight="1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  <c r="AU330" s="91"/>
      <c r="AV330" s="91"/>
      <c r="AW330" s="91"/>
      <c r="AX330" s="91"/>
      <c r="AY330" s="91"/>
      <c r="AZ330" s="91"/>
      <c r="BA330" s="91"/>
      <c r="BB330" s="91"/>
      <c r="BC330" s="91"/>
      <c r="BD330" s="91"/>
      <c r="BE330" s="91"/>
      <c r="BF330" s="91"/>
      <c r="BG330" s="91"/>
      <c r="BH330" s="91"/>
      <c r="BI330" s="91"/>
      <c r="BJ330" s="91"/>
      <c r="BK330" s="91"/>
      <c r="BL330" s="91"/>
      <c r="BM330" s="91"/>
      <c r="BN330" s="91"/>
      <c r="BO330" s="91"/>
      <c r="BP330" s="91"/>
      <c r="BQ330" s="91"/>
      <c r="BR330" s="91"/>
    </row>
    <row r="331" spans="1:70" ht="15.75" customHeight="1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  <c r="AU331" s="91"/>
      <c r="AV331" s="91"/>
      <c r="AW331" s="91"/>
      <c r="AX331" s="91"/>
      <c r="AY331" s="91"/>
      <c r="AZ331" s="91"/>
      <c r="BA331" s="91"/>
      <c r="BB331" s="91"/>
      <c r="BC331" s="91"/>
      <c r="BD331" s="91"/>
      <c r="BE331" s="91"/>
      <c r="BF331" s="91"/>
      <c r="BG331" s="91"/>
      <c r="BH331" s="91"/>
      <c r="BI331" s="91"/>
      <c r="BJ331" s="91"/>
      <c r="BK331" s="91"/>
      <c r="BL331" s="91"/>
      <c r="BM331" s="91"/>
      <c r="BN331" s="91"/>
      <c r="BO331" s="91"/>
      <c r="BP331" s="91"/>
      <c r="BQ331" s="91"/>
      <c r="BR331" s="91"/>
    </row>
    <row r="332" spans="1:70" ht="15.75" customHeight="1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  <c r="AU332" s="91"/>
      <c r="AV332" s="91"/>
      <c r="AW332" s="91"/>
      <c r="AX332" s="91"/>
      <c r="AY332" s="91"/>
      <c r="AZ332" s="91"/>
      <c r="BA332" s="91"/>
      <c r="BB332" s="91"/>
      <c r="BC332" s="91"/>
      <c r="BD332" s="91"/>
      <c r="BE332" s="91"/>
      <c r="BF332" s="91"/>
      <c r="BG332" s="91"/>
      <c r="BH332" s="91"/>
      <c r="BI332" s="91"/>
      <c r="BJ332" s="91"/>
      <c r="BK332" s="91"/>
      <c r="BL332" s="91"/>
      <c r="BM332" s="91"/>
      <c r="BN332" s="91"/>
      <c r="BO332" s="91"/>
      <c r="BP332" s="91"/>
      <c r="BQ332" s="91"/>
      <c r="BR332" s="91"/>
    </row>
    <row r="333" spans="1:70" ht="15.75" customHeight="1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  <c r="AU333" s="91"/>
      <c r="AV333" s="91"/>
      <c r="AW333" s="91"/>
      <c r="AX333" s="91"/>
      <c r="AY333" s="91"/>
      <c r="AZ333" s="91"/>
      <c r="BA333" s="91"/>
      <c r="BB333" s="91"/>
      <c r="BC333" s="91"/>
      <c r="BD333" s="91"/>
      <c r="BE333" s="91"/>
      <c r="BF333" s="91"/>
      <c r="BG333" s="91"/>
      <c r="BH333" s="91"/>
      <c r="BI333" s="91"/>
      <c r="BJ333" s="91"/>
      <c r="BK333" s="91"/>
      <c r="BL333" s="91"/>
      <c r="BM333" s="91"/>
      <c r="BN333" s="91"/>
      <c r="BO333" s="91"/>
      <c r="BP333" s="91"/>
      <c r="BQ333" s="91"/>
      <c r="BR333" s="91"/>
    </row>
    <row r="334" spans="1:70" ht="15.75" customHeight="1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  <c r="AU334" s="91"/>
      <c r="AV334" s="91"/>
      <c r="AW334" s="91"/>
      <c r="AX334" s="91"/>
      <c r="AY334" s="91"/>
      <c r="AZ334" s="91"/>
      <c r="BA334" s="91"/>
      <c r="BB334" s="91"/>
      <c r="BC334" s="91"/>
      <c r="BD334" s="91"/>
      <c r="BE334" s="91"/>
      <c r="BF334" s="91"/>
      <c r="BG334" s="91"/>
      <c r="BH334" s="91"/>
      <c r="BI334" s="91"/>
      <c r="BJ334" s="91"/>
      <c r="BK334" s="91"/>
      <c r="BL334" s="91"/>
      <c r="BM334" s="91"/>
      <c r="BN334" s="91"/>
      <c r="BO334" s="91"/>
      <c r="BP334" s="91"/>
      <c r="BQ334" s="91"/>
      <c r="BR334" s="91"/>
    </row>
    <row r="335" spans="1:70" ht="15.75" customHeight="1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  <c r="AU335" s="91"/>
      <c r="AV335" s="91"/>
      <c r="AW335" s="91"/>
      <c r="AX335" s="91"/>
      <c r="AY335" s="91"/>
      <c r="AZ335" s="91"/>
      <c r="BA335" s="91"/>
      <c r="BB335" s="91"/>
      <c r="BC335" s="91"/>
      <c r="BD335" s="91"/>
      <c r="BE335" s="91"/>
      <c r="BF335" s="91"/>
      <c r="BG335" s="91"/>
      <c r="BH335" s="91"/>
      <c r="BI335" s="91"/>
      <c r="BJ335" s="91"/>
      <c r="BK335" s="91"/>
      <c r="BL335" s="91"/>
      <c r="BM335" s="91"/>
      <c r="BN335" s="91"/>
      <c r="BO335" s="91"/>
      <c r="BP335" s="91"/>
      <c r="BQ335" s="91"/>
      <c r="BR335" s="91"/>
    </row>
    <row r="336" spans="1:70" ht="15.75" customHeight="1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  <c r="AU336" s="91"/>
      <c r="AV336" s="91"/>
      <c r="AW336" s="91"/>
      <c r="AX336" s="91"/>
      <c r="AY336" s="91"/>
      <c r="AZ336" s="91"/>
      <c r="BA336" s="91"/>
      <c r="BB336" s="91"/>
      <c r="BC336" s="91"/>
      <c r="BD336" s="91"/>
      <c r="BE336" s="91"/>
      <c r="BF336" s="91"/>
      <c r="BG336" s="91"/>
      <c r="BH336" s="91"/>
      <c r="BI336" s="91"/>
      <c r="BJ336" s="91"/>
      <c r="BK336" s="91"/>
      <c r="BL336" s="91"/>
      <c r="BM336" s="91"/>
      <c r="BN336" s="91"/>
      <c r="BO336" s="91"/>
      <c r="BP336" s="91"/>
      <c r="BQ336" s="91"/>
      <c r="BR336" s="91"/>
    </row>
    <row r="337" spans="1:70" ht="15.75" customHeight="1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  <c r="AU337" s="91"/>
      <c r="AV337" s="91"/>
      <c r="AW337" s="91"/>
      <c r="AX337" s="91"/>
      <c r="AY337" s="91"/>
      <c r="AZ337" s="91"/>
      <c r="BA337" s="91"/>
      <c r="BB337" s="91"/>
      <c r="BC337" s="91"/>
      <c r="BD337" s="91"/>
      <c r="BE337" s="91"/>
      <c r="BF337" s="91"/>
      <c r="BG337" s="91"/>
      <c r="BH337" s="91"/>
      <c r="BI337" s="91"/>
      <c r="BJ337" s="91"/>
      <c r="BK337" s="91"/>
      <c r="BL337" s="91"/>
      <c r="BM337" s="91"/>
      <c r="BN337" s="91"/>
      <c r="BO337" s="91"/>
      <c r="BP337" s="91"/>
      <c r="BQ337" s="91"/>
      <c r="BR337" s="91"/>
    </row>
    <row r="338" spans="1:70" ht="15.75" customHeight="1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  <c r="AU338" s="91"/>
      <c r="AV338" s="91"/>
      <c r="AW338" s="91"/>
      <c r="AX338" s="91"/>
      <c r="AY338" s="91"/>
      <c r="AZ338" s="91"/>
      <c r="BA338" s="91"/>
      <c r="BB338" s="91"/>
      <c r="BC338" s="91"/>
      <c r="BD338" s="91"/>
      <c r="BE338" s="91"/>
      <c r="BF338" s="91"/>
      <c r="BG338" s="91"/>
      <c r="BH338" s="91"/>
      <c r="BI338" s="91"/>
      <c r="BJ338" s="91"/>
      <c r="BK338" s="91"/>
      <c r="BL338" s="91"/>
      <c r="BM338" s="91"/>
      <c r="BN338" s="91"/>
      <c r="BO338" s="91"/>
      <c r="BP338" s="91"/>
      <c r="BQ338" s="91"/>
      <c r="BR338" s="91"/>
    </row>
    <row r="339" spans="1:70" ht="15.75" customHeight="1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  <c r="AU339" s="91"/>
      <c r="AV339" s="91"/>
      <c r="AW339" s="91"/>
      <c r="AX339" s="91"/>
      <c r="AY339" s="91"/>
      <c r="AZ339" s="91"/>
      <c r="BA339" s="91"/>
      <c r="BB339" s="91"/>
      <c r="BC339" s="91"/>
      <c r="BD339" s="91"/>
      <c r="BE339" s="91"/>
      <c r="BF339" s="91"/>
      <c r="BG339" s="91"/>
      <c r="BH339" s="91"/>
      <c r="BI339" s="91"/>
      <c r="BJ339" s="91"/>
      <c r="BK339" s="91"/>
      <c r="BL339" s="91"/>
      <c r="BM339" s="91"/>
      <c r="BN339" s="91"/>
      <c r="BO339" s="91"/>
      <c r="BP339" s="91"/>
      <c r="BQ339" s="91"/>
      <c r="BR339" s="91"/>
    </row>
    <row r="340" spans="1:70" ht="15.75" customHeight="1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  <c r="AU340" s="91"/>
      <c r="AV340" s="91"/>
      <c r="AW340" s="91"/>
      <c r="AX340" s="91"/>
      <c r="AY340" s="91"/>
      <c r="AZ340" s="91"/>
      <c r="BA340" s="91"/>
      <c r="BB340" s="91"/>
      <c r="BC340" s="91"/>
      <c r="BD340" s="91"/>
      <c r="BE340" s="91"/>
      <c r="BF340" s="91"/>
      <c r="BG340" s="91"/>
      <c r="BH340" s="91"/>
      <c r="BI340" s="91"/>
      <c r="BJ340" s="91"/>
      <c r="BK340" s="91"/>
      <c r="BL340" s="91"/>
      <c r="BM340" s="91"/>
      <c r="BN340" s="91"/>
      <c r="BO340" s="91"/>
      <c r="BP340" s="91"/>
      <c r="BQ340" s="91"/>
      <c r="BR340" s="91"/>
    </row>
    <row r="341" spans="1:70" ht="15.75" customHeight="1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  <c r="AU341" s="91"/>
      <c r="AV341" s="91"/>
      <c r="AW341" s="91"/>
      <c r="AX341" s="91"/>
      <c r="AY341" s="91"/>
      <c r="AZ341" s="91"/>
      <c r="BA341" s="91"/>
      <c r="BB341" s="91"/>
      <c r="BC341" s="91"/>
      <c r="BD341" s="91"/>
      <c r="BE341" s="91"/>
      <c r="BF341" s="91"/>
      <c r="BG341" s="91"/>
      <c r="BH341" s="91"/>
      <c r="BI341" s="91"/>
      <c r="BJ341" s="91"/>
      <c r="BK341" s="91"/>
      <c r="BL341" s="91"/>
      <c r="BM341" s="91"/>
      <c r="BN341" s="91"/>
      <c r="BO341" s="91"/>
      <c r="BP341" s="91"/>
      <c r="BQ341" s="91"/>
      <c r="BR341" s="91"/>
    </row>
    <row r="342" spans="1:70" ht="15.75" customHeight="1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  <c r="AU342" s="91"/>
      <c r="AV342" s="91"/>
      <c r="AW342" s="91"/>
      <c r="AX342" s="91"/>
      <c r="AY342" s="91"/>
      <c r="AZ342" s="91"/>
      <c r="BA342" s="91"/>
      <c r="BB342" s="91"/>
      <c r="BC342" s="91"/>
      <c r="BD342" s="91"/>
      <c r="BE342" s="91"/>
      <c r="BF342" s="91"/>
      <c r="BG342" s="91"/>
      <c r="BH342" s="91"/>
      <c r="BI342" s="91"/>
      <c r="BJ342" s="91"/>
      <c r="BK342" s="91"/>
      <c r="BL342" s="91"/>
      <c r="BM342" s="91"/>
      <c r="BN342" s="91"/>
      <c r="BO342" s="91"/>
      <c r="BP342" s="91"/>
      <c r="BQ342" s="91"/>
      <c r="BR342" s="91"/>
    </row>
    <row r="343" spans="1:70" ht="15.75" customHeight="1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  <c r="AU343" s="91"/>
      <c r="AV343" s="91"/>
      <c r="AW343" s="91"/>
      <c r="AX343" s="91"/>
      <c r="AY343" s="91"/>
      <c r="AZ343" s="91"/>
      <c r="BA343" s="91"/>
      <c r="BB343" s="91"/>
      <c r="BC343" s="91"/>
      <c r="BD343" s="91"/>
      <c r="BE343" s="91"/>
      <c r="BF343" s="91"/>
      <c r="BG343" s="91"/>
      <c r="BH343" s="91"/>
      <c r="BI343" s="91"/>
      <c r="BJ343" s="91"/>
      <c r="BK343" s="91"/>
      <c r="BL343" s="91"/>
      <c r="BM343" s="91"/>
      <c r="BN343" s="91"/>
      <c r="BO343" s="91"/>
      <c r="BP343" s="91"/>
      <c r="BQ343" s="91"/>
      <c r="BR343" s="91"/>
    </row>
    <row r="344" spans="1:70" ht="15.75" customHeight="1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  <c r="AU344" s="91"/>
      <c r="AV344" s="91"/>
      <c r="AW344" s="91"/>
      <c r="AX344" s="91"/>
      <c r="AY344" s="91"/>
      <c r="AZ344" s="91"/>
      <c r="BA344" s="91"/>
      <c r="BB344" s="91"/>
      <c r="BC344" s="91"/>
      <c r="BD344" s="91"/>
      <c r="BE344" s="91"/>
      <c r="BF344" s="91"/>
      <c r="BG344" s="91"/>
      <c r="BH344" s="91"/>
      <c r="BI344" s="91"/>
      <c r="BJ344" s="91"/>
      <c r="BK344" s="91"/>
      <c r="BL344" s="91"/>
      <c r="BM344" s="91"/>
      <c r="BN344" s="91"/>
      <c r="BO344" s="91"/>
      <c r="BP344" s="91"/>
      <c r="BQ344" s="91"/>
      <c r="BR344" s="91"/>
    </row>
    <row r="345" spans="1:70" ht="15.75" customHeight="1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  <c r="AU345" s="91"/>
      <c r="AV345" s="91"/>
      <c r="AW345" s="91"/>
      <c r="AX345" s="91"/>
      <c r="AY345" s="91"/>
      <c r="AZ345" s="91"/>
      <c r="BA345" s="91"/>
      <c r="BB345" s="91"/>
      <c r="BC345" s="91"/>
      <c r="BD345" s="91"/>
      <c r="BE345" s="91"/>
      <c r="BF345" s="91"/>
      <c r="BG345" s="91"/>
      <c r="BH345" s="91"/>
      <c r="BI345" s="91"/>
      <c r="BJ345" s="91"/>
      <c r="BK345" s="91"/>
      <c r="BL345" s="91"/>
      <c r="BM345" s="91"/>
      <c r="BN345" s="91"/>
      <c r="BO345" s="91"/>
      <c r="BP345" s="91"/>
      <c r="BQ345" s="91"/>
      <c r="BR345" s="91"/>
    </row>
    <row r="346" spans="1:70" ht="15.75" customHeight="1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  <c r="AU346" s="91"/>
      <c r="AV346" s="91"/>
      <c r="AW346" s="91"/>
      <c r="AX346" s="91"/>
      <c r="AY346" s="91"/>
      <c r="AZ346" s="91"/>
      <c r="BA346" s="91"/>
      <c r="BB346" s="91"/>
      <c r="BC346" s="91"/>
      <c r="BD346" s="91"/>
      <c r="BE346" s="91"/>
      <c r="BF346" s="91"/>
      <c r="BG346" s="91"/>
      <c r="BH346" s="91"/>
      <c r="BI346" s="91"/>
      <c r="BJ346" s="91"/>
      <c r="BK346" s="91"/>
      <c r="BL346" s="91"/>
      <c r="BM346" s="91"/>
      <c r="BN346" s="91"/>
      <c r="BO346" s="91"/>
      <c r="BP346" s="91"/>
      <c r="BQ346" s="91"/>
      <c r="BR346" s="91"/>
    </row>
    <row r="347" spans="1:70" ht="15.75" customHeight="1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  <c r="AU347" s="91"/>
      <c r="AV347" s="91"/>
      <c r="AW347" s="91"/>
      <c r="AX347" s="91"/>
      <c r="AY347" s="91"/>
      <c r="AZ347" s="91"/>
      <c r="BA347" s="91"/>
      <c r="BB347" s="91"/>
      <c r="BC347" s="91"/>
      <c r="BD347" s="91"/>
      <c r="BE347" s="91"/>
      <c r="BF347" s="91"/>
      <c r="BG347" s="91"/>
      <c r="BH347" s="91"/>
      <c r="BI347" s="91"/>
      <c r="BJ347" s="91"/>
      <c r="BK347" s="91"/>
      <c r="BL347" s="91"/>
      <c r="BM347" s="91"/>
      <c r="BN347" s="91"/>
      <c r="BO347" s="91"/>
      <c r="BP347" s="91"/>
      <c r="BQ347" s="91"/>
      <c r="BR347" s="91"/>
    </row>
    <row r="348" spans="1:70" ht="15.75" customHeight="1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  <c r="AU348" s="91"/>
      <c r="AV348" s="91"/>
      <c r="AW348" s="91"/>
      <c r="AX348" s="91"/>
      <c r="AY348" s="91"/>
      <c r="AZ348" s="91"/>
      <c r="BA348" s="91"/>
      <c r="BB348" s="91"/>
      <c r="BC348" s="91"/>
      <c r="BD348" s="91"/>
      <c r="BE348" s="91"/>
      <c r="BF348" s="91"/>
      <c r="BG348" s="91"/>
      <c r="BH348" s="91"/>
      <c r="BI348" s="91"/>
      <c r="BJ348" s="91"/>
      <c r="BK348" s="91"/>
      <c r="BL348" s="91"/>
      <c r="BM348" s="91"/>
      <c r="BN348" s="91"/>
      <c r="BO348" s="91"/>
      <c r="BP348" s="91"/>
      <c r="BQ348" s="91"/>
      <c r="BR348" s="91"/>
    </row>
    <row r="349" spans="1:70" ht="15.75" customHeight="1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  <c r="AU349" s="91"/>
      <c r="AV349" s="91"/>
      <c r="AW349" s="91"/>
      <c r="AX349" s="91"/>
      <c r="AY349" s="91"/>
      <c r="AZ349" s="91"/>
      <c r="BA349" s="91"/>
      <c r="BB349" s="91"/>
      <c r="BC349" s="91"/>
      <c r="BD349" s="91"/>
      <c r="BE349" s="91"/>
      <c r="BF349" s="91"/>
      <c r="BG349" s="91"/>
      <c r="BH349" s="91"/>
      <c r="BI349" s="91"/>
      <c r="BJ349" s="91"/>
      <c r="BK349" s="91"/>
      <c r="BL349" s="91"/>
      <c r="BM349" s="91"/>
      <c r="BN349" s="91"/>
      <c r="BO349" s="91"/>
      <c r="BP349" s="91"/>
      <c r="BQ349" s="91"/>
      <c r="BR349" s="91"/>
    </row>
    <row r="350" spans="1:70" ht="15.75" customHeight="1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  <c r="AU350" s="91"/>
      <c r="AV350" s="91"/>
      <c r="AW350" s="91"/>
      <c r="AX350" s="91"/>
      <c r="AY350" s="91"/>
      <c r="AZ350" s="91"/>
      <c r="BA350" s="91"/>
      <c r="BB350" s="91"/>
      <c r="BC350" s="91"/>
      <c r="BD350" s="91"/>
      <c r="BE350" s="91"/>
      <c r="BF350" s="91"/>
      <c r="BG350" s="91"/>
      <c r="BH350" s="91"/>
      <c r="BI350" s="91"/>
      <c r="BJ350" s="91"/>
      <c r="BK350" s="91"/>
      <c r="BL350" s="91"/>
      <c r="BM350" s="91"/>
      <c r="BN350" s="91"/>
      <c r="BO350" s="91"/>
      <c r="BP350" s="91"/>
      <c r="BQ350" s="91"/>
      <c r="BR350" s="91"/>
    </row>
    <row r="351" spans="1:70" ht="15.75" customHeight="1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  <c r="AU351" s="91"/>
      <c r="AV351" s="91"/>
      <c r="AW351" s="91"/>
      <c r="AX351" s="91"/>
      <c r="AY351" s="91"/>
      <c r="AZ351" s="91"/>
      <c r="BA351" s="91"/>
      <c r="BB351" s="91"/>
      <c r="BC351" s="91"/>
      <c r="BD351" s="91"/>
      <c r="BE351" s="91"/>
      <c r="BF351" s="91"/>
      <c r="BG351" s="91"/>
      <c r="BH351" s="91"/>
      <c r="BI351" s="91"/>
      <c r="BJ351" s="91"/>
      <c r="BK351" s="91"/>
      <c r="BL351" s="91"/>
      <c r="BM351" s="91"/>
      <c r="BN351" s="91"/>
      <c r="BO351" s="91"/>
      <c r="BP351" s="91"/>
      <c r="BQ351" s="91"/>
      <c r="BR351" s="91"/>
    </row>
    <row r="352" spans="1:70" ht="15.75" customHeight="1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  <c r="AU352" s="91"/>
      <c r="AV352" s="91"/>
      <c r="AW352" s="91"/>
      <c r="AX352" s="91"/>
      <c r="AY352" s="91"/>
      <c r="AZ352" s="91"/>
      <c r="BA352" s="91"/>
      <c r="BB352" s="91"/>
      <c r="BC352" s="91"/>
      <c r="BD352" s="91"/>
      <c r="BE352" s="91"/>
      <c r="BF352" s="91"/>
      <c r="BG352" s="91"/>
      <c r="BH352" s="91"/>
      <c r="BI352" s="91"/>
      <c r="BJ352" s="91"/>
      <c r="BK352" s="91"/>
      <c r="BL352" s="91"/>
      <c r="BM352" s="91"/>
      <c r="BN352" s="91"/>
      <c r="BO352" s="91"/>
      <c r="BP352" s="91"/>
      <c r="BQ352" s="91"/>
      <c r="BR352" s="91"/>
    </row>
    <row r="353" spans="1:70" ht="15.75" customHeight="1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  <c r="AU353" s="91"/>
      <c r="AV353" s="91"/>
      <c r="AW353" s="91"/>
      <c r="AX353" s="91"/>
      <c r="AY353" s="91"/>
      <c r="AZ353" s="91"/>
      <c r="BA353" s="91"/>
      <c r="BB353" s="91"/>
      <c r="BC353" s="91"/>
      <c r="BD353" s="91"/>
      <c r="BE353" s="91"/>
      <c r="BF353" s="91"/>
      <c r="BG353" s="91"/>
      <c r="BH353" s="91"/>
      <c r="BI353" s="91"/>
      <c r="BJ353" s="91"/>
      <c r="BK353" s="91"/>
      <c r="BL353" s="91"/>
      <c r="BM353" s="91"/>
      <c r="BN353" s="91"/>
      <c r="BO353" s="91"/>
      <c r="BP353" s="91"/>
      <c r="BQ353" s="91"/>
      <c r="BR353" s="91"/>
    </row>
    <row r="354" spans="1:70" ht="15.75" customHeight="1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  <c r="AU354" s="91"/>
      <c r="AV354" s="91"/>
      <c r="AW354" s="91"/>
      <c r="AX354" s="91"/>
      <c r="AY354" s="91"/>
      <c r="AZ354" s="91"/>
      <c r="BA354" s="91"/>
      <c r="BB354" s="91"/>
      <c r="BC354" s="91"/>
      <c r="BD354" s="91"/>
      <c r="BE354" s="91"/>
      <c r="BF354" s="91"/>
      <c r="BG354" s="91"/>
      <c r="BH354" s="91"/>
      <c r="BI354" s="91"/>
      <c r="BJ354" s="91"/>
      <c r="BK354" s="91"/>
      <c r="BL354" s="91"/>
      <c r="BM354" s="91"/>
      <c r="BN354" s="91"/>
      <c r="BO354" s="91"/>
      <c r="BP354" s="91"/>
      <c r="BQ354" s="91"/>
      <c r="BR354" s="91"/>
    </row>
    <row r="355" spans="1:70" ht="15.75" customHeight="1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  <c r="AU355" s="91"/>
      <c r="AV355" s="91"/>
      <c r="AW355" s="91"/>
      <c r="AX355" s="91"/>
      <c r="AY355" s="91"/>
      <c r="AZ355" s="91"/>
      <c r="BA355" s="91"/>
      <c r="BB355" s="91"/>
      <c r="BC355" s="91"/>
      <c r="BD355" s="91"/>
      <c r="BE355" s="91"/>
      <c r="BF355" s="91"/>
      <c r="BG355" s="91"/>
      <c r="BH355" s="91"/>
      <c r="BI355" s="91"/>
      <c r="BJ355" s="91"/>
      <c r="BK355" s="91"/>
      <c r="BL355" s="91"/>
      <c r="BM355" s="91"/>
      <c r="BN355" s="91"/>
      <c r="BO355" s="91"/>
      <c r="BP355" s="91"/>
      <c r="BQ355" s="91"/>
      <c r="BR355" s="91"/>
    </row>
    <row r="356" spans="1:70" ht="15.75" customHeight="1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  <c r="AU356" s="91"/>
      <c r="AV356" s="91"/>
      <c r="AW356" s="91"/>
      <c r="AX356" s="91"/>
      <c r="AY356" s="91"/>
      <c r="AZ356" s="91"/>
      <c r="BA356" s="91"/>
      <c r="BB356" s="91"/>
      <c r="BC356" s="91"/>
      <c r="BD356" s="91"/>
      <c r="BE356" s="91"/>
      <c r="BF356" s="91"/>
      <c r="BG356" s="91"/>
      <c r="BH356" s="91"/>
      <c r="BI356" s="91"/>
      <c r="BJ356" s="91"/>
      <c r="BK356" s="91"/>
      <c r="BL356" s="91"/>
      <c r="BM356" s="91"/>
      <c r="BN356" s="91"/>
      <c r="BO356" s="91"/>
      <c r="BP356" s="91"/>
      <c r="BQ356" s="91"/>
      <c r="BR356" s="91"/>
    </row>
    <row r="357" spans="1:70" ht="15.75" customHeight="1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  <c r="AU357" s="91"/>
      <c r="AV357" s="91"/>
      <c r="AW357" s="91"/>
      <c r="AX357" s="91"/>
      <c r="AY357" s="91"/>
      <c r="AZ357" s="91"/>
      <c r="BA357" s="91"/>
      <c r="BB357" s="91"/>
      <c r="BC357" s="91"/>
      <c r="BD357" s="91"/>
      <c r="BE357" s="91"/>
      <c r="BF357" s="91"/>
      <c r="BG357" s="91"/>
      <c r="BH357" s="91"/>
      <c r="BI357" s="91"/>
      <c r="BJ357" s="91"/>
      <c r="BK357" s="91"/>
      <c r="BL357" s="91"/>
      <c r="BM357" s="91"/>
      <c r="BN357" s="91"/>
      <c r="BO357" s="91"/>
      <c r="BP357" s="91"/>
      <c r="BQ357" s="91"/>
      <c r="BR357" s="91"/>
    </row>
    <row r="358" spans="1:70" ht="15.75" customHeight="1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  <c r="AU358" s="91"/>
      <c r="AV358" s="91"/>
      <c r="AW358" s="91"/>
      <c r="AX358" s="91"/>
      <c r="AY358" s="91"/>
      <c r="AZ358" s="91"/>
      <c r="BA358" s="91"/>
      <c r="BB358" s="91"/>
      <c r="BC358" s="91"/>
      <c r="BD358" s="91"/>
      <c r="BE358" s="91"/>
      <c r="BF358" s="91"/>
      <c r="BG358" s="91"/>
      <c r="BH358" s="91"/>
      <c r="BI358" s="91"/>
      <c r="BJ358" s="91"/>
      <c r="BK358" s="91"/>
      <c r="BL358" s="91"/>
      <c r="BM358" s="91"/>
      <c r="BN358" s="91"/>
      <c r="BO358" s="91"/>
      <c r="BP358" s="91"/>
      <c r="BQ358" s="91"/>
      <c r="BR358" s="91"/>
    </row>
    <row r="359" spans="1:70" ht="15.75" customHeight="1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  <c r="AU359" s="91"/>
      <c r="AV359" s="91"/>
      <c r="AW359" s="91"/>
      <c r="AX359" s="91"/>
      <c r="AY359" s="91"/>
      <c r="AZ359" s="91"/>
      <c r="BA359" s="91"/>
      <c r="BB359" s="91"/>
      <c r="BC359" s="91"/>
      <c r="BD359" s="91"/>
      <c r="BE359" s="91"/>
      <c r="BF359" s="91"/>
      <c r="BG359" s="91"/>
      <c r="BH359" s="91"/>
      <c r="BI359" s="91"/>
      <c r="BJ359" s="91"/>
      <c r="BK359" s="91"/>
      <c r="BL359" s="91"/>
      <c r="BM359" s="91"/>
      <c r="BN359" s="91"/>
      <c r="BO359" s="91"/>
      <c r="BP359" s="91"/>
      <c r="BQ359" s="91"/>
      <c r="BR359" s="91"/>
    </row>
    <row r="360" spans="1:70" ht="15.75" customHeight="1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  <c r="AU360" s="91"/>
      <c r="AV360" s="91"/>
      <c r="AW360" s="91"/>
      <c r="AX360" s="91"/>
      <c r="AY360" s="91"/>
      <c r="AZ360" s="91"/>
      <c r="BA360" s="91"/>
      <c r="BB360" s="91"/>
      <c r="BC360" s="91"/>
      <c r="BD360" s="91"/>
      <c r="BE360" s="91"/>
      <c r="BF360" s="91"/>
      <c r="BG360" s="91"/>
      <c r="BH360" s="91"/>
      <c r="BI360" s="91"/>
      <c r="BJ360" s="91"/>
      <c r="BK360" s="91"/>
      <c r="BL360" s="91"/>
      <c r="BM360" s="91"/>
      <c r="BN360" s="91"/>
      <c r="BO360" s="91"/>
      <c r="BP360" s="91"/>
      <c r="BQ360" s="91"/>
      <c r="BR360" s="91"/>
    </row>
    <row r="361" spans="1:70" ht="15.75" customHeight="1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  <c r="AU361" s="91"/>
      <c r="AV361" s="91"/>
      <c r="AW361" s="91"/>
      <c r="AX361" s="91"/>
      <c r="AY361" s="91"/>
      <c r="AZ361" s="91"/>
      <c r="BA361" s="91"/>
      <c r="BB361" s="91"/>
      <c r="BC361" s="91"/>
      <c r="BD361" s="91"/>
      <c r="BE361" s="91"/>
      <c r="BF361" s="91"/>
      <c r="BG361" s="91"/>
      <c r="BH361" s="91"/>
      <c r="BI361" s="91"/>
      <c r="BJ361" s="91"/>
      <c r="BK361" s="91"/>
      <c r="BL361" s="91"/>
      <c r="BM361" s="91"/>
      <c r="BN361" s="91"/>
      <c r="BO361" s="91"/>
      <c r="BP361" s="91"/>
      <c r="BQ361" s="91"/>
      <c r="BR361" s="91"/>
    </row>
    <row r="362" spans="1:70" ht="15.75" customHeight="1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  <c r="AU362" s="91"/>
      <c r="AV362" s="91"/>
      <c r="AW362" s="91"/>
      <c r="AX362" s="91"/>
      <c r="AY362" s="91"/>
      <c r="AZ362" s="91"/>
      <c r="BA362" s="91"/>
      <c r="BB362" s="91"/>
      <c r="BC362" s="91"/>
      <c r="BD362" s="91"/>
      <c r="BE362" s="91"/>
      <c r="BF362" s="91"/>
      <c r="BG362" s="91"/>
      <c r="BH362" s="91"/>
      <c r="BI362" s="91"/>
      <c r="BJ362" s="91"/>
      <c r="BK362" s="91"/>
      <c r="BL362" s="91"/>
      <c r="BM362" s="91"/>
      <c r="BN362" s="91"/>
      <c r="BO362" s="91"/>
      <c r="BP362" s="91"/>
      <c r="BQ362" s="91"/>
      <c r="BR362" s="91"/>
    </row>
    <row r="363" spans="1:70" ht="15.75" customHeight="1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  <c r="AU363" s="91"/>
      <c r="AV363" s="91"/>
      <c r="AW363" s="91"/>
      <c r="AX363" s="91"/>
      <c r="AY363" s="91"/>
      <c r="AZ363" s="91"/>
      <c r="BA363" s="91"/>
      <c r="BB363" s="91"/>
      <c r="BC363" s="91"/>
      <c r="BD363" s="91"/>
      <c r="BE363" s="91"/>
      <c r="BF363" s="91"/>
      <c r="BG363" s="91"/>
      <c r="BH363" s="91"/>
      <c r="BI363" s="91"/>
      <c r="BJ363" s="91"/>
      <c r="BK363" s="91"/>
      <c r="BL363" s="91"/>
      <c r="BM363" s="91"/>
      <c r="BN363" s="91"/>
      <c r="BO363" s="91"/>
      <c r="BP363" s="91"/>
      <c r="BQ363" s="91"/>
      <c r="BR363" s="91"/>
    </row>
    <row r="364" spans="1:70" ht="15.75" customHeight="1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  <c r="AU364" s="91"/>
      <c r="AV364" s="91"/>
      <c r="AW364" s="91"/>
      <c r="AX364" s="91"/>
      <c r="AY364" s="91"/>
      <c r="AZ364" s="91"/>
      <c r="BA364" s="91"/>
      <c r="BB364" s="91"/>
      <c r="BC364" s="91"/>
      <c r="BD364" s="91"/>
      <c r="BE364" s="91"/>
      <c r="BF364" s="91"/>
      <c r="BG364" s="91"/>
      <c r="BH364" s="91"/>
      <c r="BI364" s="91"/>
      <c r="BJ364" s="91"/>
      <c r="BK364" s="91"/>
      <c r="BL364" s="91"/>
      <c r="BM364" s="91"/>
      <c r="BN364" s="91"/>
      <c r="BO364" s="91"/>
      <c r="BP364" s="91"/>
      <c r="BQ364" s="91"/>
      <c r="BR364" s="91"/>
    </row>
    <row r="365" spans="1:70" ht="15.75" customHeight="1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  <c r="AU365" s="91"/>
      <c r="AV365" s="91"/>
      <c r="AW365" s="91"/>
      <c r="AX365" s="91"/>
      <c r="AY365" s="91"/>
      <c r="AZ365" s="91"/>
      <c r="BA365" s="91"/>
      <c r="BB365" s="91"/>
      <c r="BC365" s="91"/>
      <c r="BD365" s="91"/>
      <c r="BE365" s="91"/>
      <c r="BF365" s="91"/>
      <c r="BG365" s="91"/>
      <c r="BH365" s="91"/>
      <c r="BI365" s="91"/>
      <c r="BJ365" s="91"/>
      <c r="BK365" s="91"/>
      <c r="BL365" s="91"/>
      <c r="BM365" s="91"/>
      <c r="BN365" s="91"/>
      <c r="BO365" s="91"/>
      <c r="BP365" s="91"/>
      <c r="BQ365" s="91"/>
      <c r="BR365" s="91"/>
    </row>
    <row r="366" spans="1:70" ht="15.75" customHeight="1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  <c r="AU366" s="91"/>
      <c r="AV366" s="91"/>
      <c r="AW366" s="91"/>
      <c r="AX366" s="91"/>
      <c r="AY366" s="91"/>
      <c r="AZ366" s="91"/>
      <c r="BA366" s="91"/>
      <c r="BB366" s="91"/>
      <c r="BC366" s="91"/>
      <c r="BD366" s="91"/>
      <c r="BE366" s="91"/>
      <c r="BF366" s="91"/>
      <c r="BG366" s="91"/>
      <c r="BH366" s="91"/>
      <c r="BI366" s="91"/>
      <c r="BJ366" s="91"/>
      <c r="BK366" s="91"/>
      <c r="BL366" s="91"/>
      <c r="BM366" s="91"/>
      <c r="BN366" s="91"/>
      <c r="BO366" s="91"/>
      <c r="BP366" s="91"/>
      <c r="BQ366" s="91"/>
      <c r="BR366" s="91"/>
    </row>
    <row r="367" spans="1:70" ht="15.75" customHeight="1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  <c r="AU367" s="91"/>
      <c r="AV367" s="91"/>
      <c r="AW367" s="91"/>
      <c r="AX367" s="91"/>
      <c r="AY367" s="91"/>
      <c r="AZ367" s="91"/>
      <c r="BA367" s="91"/>
      <c r="BB367" s="91"/>
      <c r="BC367" s="91"/>
      <c r="BD367" s="91"/>
      <c r="BE367" s="91"/>
      <c r="BF367" s="91"/>
      <c r="BG367" s="91"/>
      <c r="BH367" s="91"/>
      <c r="BI367" s="91"/>
      <c r="BJ367" s="91"/>
      <c r="BK367" s="91"/>
      <c r="BL367" s="91"/>
      <c r="BM367" s="91"/>
      <c r="BN367" s="91"/>
      <c r="BO367" s="91"/>
      <c r="BP367" s="91"/>
      <c r="BQ367" s="91"/>
      <c r="BR367" s="91"/>
    </row>
    <row r="368" spans="1:70" ht="15.75" customHeight="1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  <c r="AU368" s="91"/>
      <c r="AV368" s="91"/>
      <c r="AW368" s="91"/>
      <c r="AX368" s="91"/>
      <c r="AY368" s="91"/>
      <c r="AZ368" s="91"/>
      <c r="BA368" s="91"/>
      <c r="BB368" s="91"/>
      <c r="BC368" s="91"/>
      <c r="BD368" s="91"/>
      <c r="BE368" s="91"/>
      <c r="BF368" s="91"/>
      <c r="BG368" s="91"/>
      <c r="BH368" s="91"/>
      <c r="BI368" s="91"/>
      <c r="BJ368" s="91"/>
      <c r="BK368" s="91"/>
      <c r="BL368" s="91"/>
      <c r="BM368" s="91"/>
      <c r="BN368" s="91"/>
      <c r="BO368" s="91"/>
      <c r="BP368" s="91"/>
      <c r="BQ368" s="91"/>
      <c r="BR368" s="91"/>
    </row>
    <row r="369" spans="1:70" ht="15.75" customHeight="1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  <c r="AU369" s="91"/>
      <c r="AV369" s="91"/>
      <c r="AW369" s="91"/>
      <c r="AX369" s="91"/>
      <c r="AY369" s="91"/>
      <c r="AZ369" s="91"/>
      <c r="BA369" s="91"/>
      <c r="BB369" s="91"/>
      <c r="BC369" s="91"/>
      <c r="BD369" s="91"/>
      <c r="BE369" s="91"/>
      <c r="BF369" s="91"/>
      <c r="BG369" s="91"/>
      <c r="BH369" s="91"/>
      <c r="BI369" s="91"/>
      <c r="BJ369" s="91"/>
      <c r="BK369" s="91"/>
      <c r="BL369" s="91"/>
      <c r="BM369" s="91"/>
      <c r="BN369" s="91"/>
      <c r="BO369" s="91"/>
      <c r="BP369" s="91"/>
      <c r="BQ369" s="91"/>
      <c r="BR369" s="91"/>
    </row>
    <row r="370" spans="1:70" ht="15.75" customHeight="1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  <c r="AU370" s="91"/>
      <c r="AV370" s="91"/>
      <c r="AW370" s="91"/>
      <c r="AX370" s="91"/>
      <c r="AY370" s="91"/>
      <c r="AZ370" s="91"/>
      <c r="BA370" s="91"/>
      <c r="BB370" s="91"/>
      <c r="BC370" s="91"/>
      <c r="BD370" s="91"/>
      <c r="BE370" s="91"/>
      <c r="BF370" s="91"/>
      <c r="BG370" s="91"/>
      <c r="BH370" s="91"/>
      <c r="BI370" s="91"/>
      <c r="BJ370" s="91"/>
      <c r="BK370" s="91"/>
      <c r="BL370" s="91"/>
      <c r="BM370" s="91"/>
      <c r="BN370" s="91"/>
      <c r="BO370" s="91"/>
      <c r="BP370" s="91"/>
      <c r="BQ370" s="91"/>
      <c r="BR370" s="91"/>
    </row>
    <row r="371" spans="1:70" ht="15.75" customHeight="1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  <c r="AU371" s="91"/>
      <c r="AV371" s="91"/>
      <c r="AW371" s="91"/>
      <c r="AX371" s="91"/>
      <c r="AY371" s="91"/>
      <c r="AZ371" s="91"/>
      <c r="BA371" s="91"/>
      <c r="BB371" s="91"/>
      <c r="BC371" s="91"/>
      <c r="BD371" s="91"/>
      <c r="BE371" s="91"/>
      <c r="BF371" s="91"/>
      <c r="BG371" s="91"/>
      <c r="BH371" s="91"/>
      <c r="BI371" s="91"/>
      <c r="BJ371" s="91"/>
      <c r="BK371" s="91"/>
      <c r="BL371" s="91"/>
      <c r="BM371" s="91"/>
      <c r="BN371" s="91"/>
      <c r="BO371" s="91"/>
      <c r="BP371" s="91"/>
      <c r="BQ371" s="91"/>
      <c r="BR371" s="91"/>
    </row>
    <row r="372" spans="1:70" ht="15.75" customHeight="1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  <c r="AU372" s="91"/>
      <c r="AV372" s="91"/>
      <c r="AW372" s="91"/>
      <c r="AX372" s="91"/>
      <c r="AY372" s="91"/>
      <c r="AZ372" s="91"/>
      <c r="BA372" s="91"/>
      <c r="BB372" s="91"/>
      <c r="BC372" s="91"/>
      <c r="BD372" s="91"/>
      <c r="BE372" s="91"/>
      <c r="BF372" s="91"/>
      <c r="BG372" s="91"/>
      <c r="BH372" s="91"/>
      <c r="BI372" s="91"/>
      <c r="BJ372" s="91"/>
      <c r="BK372" s="91"/>
      <c r="BL372" s="91"/>
      <c r="BM372" s="91"/>
      <c r="BN372" s="91"/>
      <c r="BO372" s="91"/>
      <c r="BP372" s="91"/>
      <c r="BQ372" s="91"/>
      <c r="BR372" s="91"/>
    </row>
    <row r="373" spans="1:70" ht="15.75" customHeight="1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  <c r="AU373" s="91"/>
      <c r="AV373" s="91"/>
      <c r="AW373" s="91"/>
      <c r="AX373" s="91"/>
      <c r="AY373" s="91"/>
      <c r="AZ373" s="91"/>
      <c r="BA373" s="91"/>
      <c r="BB373" s="91"/>
      <c r="BC373" s="91"/>
      <c r="BD373" s="91"/>
      <c r="BE373" s="91"/>
      <c r="BF373" s="91"/>
      <c r="BG373" s="91"/>
      <c r="BH373" s="91"/>
      <c r="BI373" s="91"/>
      <c r="BJ373" s="91"/>
      <c r="BK373" s="91"/>
      <c r="BL373" s="91"/>
      <c r="BM373" s="91"/>
      <c r="BN373" s="91"/>
      <c r="BO373" s="91"/>
      <c r="BP373" s="91"/>
      <c r="BQ373" s="91"/>
      <c r="BR373" s="91"/>
    </row>
    <row r="374" spans="1:70" ht="15.75" customHeight="1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  <c r="AU374" s="91"/>
      <c r="AV374" s="91"/>
      <c r="AW374" s="91"/>
      <c r="AX374" s="91"/>
      <c r="AY374" s="91"/>
      <c r="AZ374" s="91"/>
      <c r="BA374" s="91"/>
      <c r="BB374" s="91"/>
      <c r="BC374" s="91"/>
      <c r="BD374" s="91"/>
      <c r="BE374" s="91"/>
      <c r="BF374" s="91"/>
      <c r="BG374" s="91"/>
      <c r="BH374" s="91"/>
      <c r="BI374" s="91"/>
      <c r="BJ374" s="91"/>
      <c r="BK374" s="91"/>
      <c r="BL374" s="91"/>
      <c r="BM374" s="91"/>
      <c r="BN374" s="91"/>
      <c r="BO374" s="91"/>
      <c r="BP374" s="91"/>
      <c r="BQ374" s="91"/>
      <c r="BR374" s="91"/>
    </row>
    <row r="375" spans="1:70" ht="15.75" customHeight="1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  <c r="AU375" s="91"/>
      <c r="AV375" s="91"/>
      <c r="AW375" s="91"/>
      <c r="AX375" s="91"/>
      <c r="AY375" s="91"/>
      <c r="AZ375" s="91"/>
      <c r="BA375" s="91"/>
      <c r="BB375" s="91"/>
      <c r="BC375" s="91"/>
      <c r="BD375" s="91"/>
      <c r="BE375" s="91"/>
      <c r="BF375" s="91"/>
      <c r="BG375" s="91"/>
      <c r="BH375" s="91"/>
      <c r="BI375" s="91"/>
      <c r="BJ375" s="91"/>
      <c r="BK375" s="91"/>
      <c r="BL375" s="91"/>
      <c r="BM375" s="91"/>
      <c r="BN375" s="91"/>
      <c r="BO375" s="91"/>
      <c r="BP375" s="91"/>
      <c r="BQ375" s="91"/>
      <c r="BR375" s="91"/>
    </row>
    <row r="376" spans="1:70" ht="15.75" customHeight="1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  <c r="AU376" s="91"/>
      <c r="AV376" s="91"/>
      <c r="AW376" s="91"/>
      <c r="AX376" s="91"/>
      <c r="AY376" s="91"/>
      <c r="AZ376" s="91"/>
      <c r="BA376" s="91"/>
      <c r="BB376" s="91"/>
      <c r="BC376" s="91"/>
      <c r="BD376" s="91"/>
      <c r="BE376" s="91"/>
      <c r="BF376" s="91"/>
      <c r="BG376" s="91"/>
      <c r="BH376" s="91"/>
      <c r="BI376" s="91"/>
      <c r="BJ376" s="91"/>
      <c r="BK376" s="91"/>
      <c r="BL376" s="91"/>
      <c r="BM376" s="91"/>
      <c r="BN376" s="91"/>
      <c r="BO376" s="91"/>
      <c r="BP376" s="91"/>
      <c r="BQ376" s="91"/>
      <c r="BR376" s="91"/>
    </row>
    <row r="377" spans="1:70" ht="15.75" customHeight="1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  <c r="AU377" s="91"/>
      <c r="AV377" s="91"/>
      <c r="AW377" s="91"/>
      <c r="AX377" s="91"/>
      <c r="AY377" s="91"/>
      <c r="AZ377" s="91"/>
      <c r="BA377" s="91"/>
      <c r="BB377" s="91"/>
      <c r="BC377" s="91"/>
      <c r="BD377" s="91"/>
      <c r="BE377" s="91"/>
      <c r="BF377" s="91"/>
      <c r="BG377" s="91"/>
      <c r="BH377" s="91"/>
      <c r="BI377" s="91"/>
      <c r="BJ377" s="91"/>
      <c r="BK377" s="91"/>
      <c r="BL377" s="91"/>
      <c r="BM377" s="91"/>
      <c r="BN377" s="91"/>
      <c r="BO377" s="91"/>
      <c r="BP377" s="91"/>
      <c r="BQ377" s="91"/>
      <c r="BR377" s="91"/>
    </row>
    <row r="378" spans="1:70" ht="15.75" customHeight="1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  <c r="AU378" s="91"/>
      <c r="AV378" s="91"/>
      <c r="AW378" s="91"/>
      <c r="AX378" s="91"/>
      <c r="AY378" s="91"/>
      <c r="AZ378" s="91"/>
      <c r="BA378" s="91"/>
      <c r="BB378" s="91"/>
      <c r="BC378" s="91"/>
      <c r="BD378" s="91"/>
      <c r="BE378" s="91"/>
      <c r="BF378" s="91"/>
      <c r="BG378" s="91"/>
      <c r="BH378" s="91"/>
      <c r="BI378" s="91"/>
      <c r="BJ378" s="91"/>
      <c r="BK378" s="91"/>
      <c r="BL378" s="91"/>
      <c r="BM378" s="91"/>
      <c r="BN378" s="91"/>
      <c r="BO378" s="91"/>
      <c r="BP378" s="91"/>
      <c r="BQ378" s="91"/>
      <c r="BR378" s="91"/>
    </row>
    <row r="379" spans="1:70" ht="15.75" customHeight="1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  <c r="AU379" s="91"/>
      <c r="AV379" s="91"/>
      <c r="AW379" s="91"/>
      <c r="AX379" s="91"/>
      <c r="AY379" s="91"/>
      <c r="AZ379" s="91"/>
      <c r="BA379" s="91"/>
      <c r="BB379" s="91"/>
      <c r="BC379" s="91"/>
      <c r="BD379" s="91"/>
      <c r="BE379" s="91"/>
      <c r="BF379" s="91"/>
      <c r="BG379" s="91"/>
      <c r="BH379" s="91"/>
      <c r="BI379" s="91"/>
      <c r="BJ379" s="91"/>
      <c r="BK379" s="91"/>
      <c r="BL379" s="91"/>
      <c r="BM379" s="91"/>
      <c r="BN379" s="91"/>
      <c r="BO379" s="91"/>
      <c r="BP379" s="91"/>
      <c r="BQ379" s="91"/>
      <c r="BR379" s="91"/>
    </row>
    <row r="380" spans="1:70" ht="15.75" customHeight="1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  <c r="AU380" s="91"/>
      <c r="AV380" s="91"/>
      <c r="AW380" s="91"/>
      <c r="AX380" s="91"/>
      <c r="AY380" s="91"/>
      <c r="AZ380" s="91"/>
      <c r="BA380" s="91"/>
      <c r="BB380" s="91"/>
      <c r="BC380" s="91"/>
      <c r="BD380" s="91"/>
      <c r="BE380" s="91"/>
      <c r="BF380" s="91"/>
      <c r="BG380" s="91"/>
      <c r="BH380" s="91"/>
      <c r="BI380" s="91"/>
      <c r="BJ380" s="91"/>
      <c r="BK380" s="91"/>
      <c r="BL380" s="91"/>
      <c r="BM380" s="91"/>
      <c r="BN380" s="91"/>
      <c r="BO380" s="91"/>
      <c r="BP380" s="91"/>
      <c r="BQ380" s="91"/>
      <c r="BR380" s="91"/>
    </row>
    <row r="381" spans="1:70" ht="15.75" customHeight="1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  <c r="AU381" s="91"/>
      <c r="AV381" s="91"/>
      <c r="AW381" s="91"/>
      <c r="AX381" s="91"/>
      <c r="AY381" s="91"/>
      <c r="AZ381" s="91"/>
      <c r="BA381" s="91"/>
      <c r="BB381" s="91"/>
      <c r="BC381" s="91"/>
      <c r="BD381" s="91"/>
      <c r="BE381" s="91"/>
      <c r="BF381" s="91"/>
      <c r="BG381" s="91"/>
      <c r="BH381" s="91"/>
      <c r="BI381" s="91"/>
      <c r="BJ381" s="91"/>
      <c r="BK381" s="91"/>
      <c r="BL381" s="91"/>
      <c r="BM381" s="91"/>
      <c r="BN381" s="91"/>
      <c r="BO381" s="91"/>
      <c r="BP381" s="91"/>
      <c r="BQ381" s="91"/>
      <c r="BR381" s="91"/>
    </row>
    <row r="382" spans="1:70" ht="15.75" customHeight="1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  <c r="AU382" s="91"/>
      <c r="AV382" s="91"/>
      <c r="AW382" s="91"/>
      <c r="AX382" s="91"/>
      <c r="AY382" s="91"/>
      <c r="AZ382" s="91"/>
      <c r="BA382" s="91"/>
      <c r="BB382" s="91"/>
      <c r="BC382" s="91"/>
      <c r="BD382" s="91"/>
      <c r="BE382" s="91"/>
      <c r="BF382" s="91"/>
      <c r="BG382" s="91"/>
      <c r="BH382" s="91"/>
      <c r="BI382" s="91"/>
      <c r="BJ382" s="91"/>
      <c r="BK382" s="91"/>
      <c r="BL382" s="91"/>
      <c r="BM382" s="91"/>
      <c r="BN382" s="91"/>
      <c r="BO382" s="91"/>
      <c r="BP382" s="91"/>
      <c r="BQ382" s="91"/>
      <c r="BR382" s="91"/>
    </row>
    <row r="383" spans="1:70" ht="15.75" customHeight="1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  <c r="AU383" s="91"/>
      <c r="AV383" s="91"/>
      <c r="AW383" s="91"/>
      <c r="AX383" s="91"/>
      <c r="AY383" s="91"/>
      <c r="AZ383" s="91"/>
      <c r="BA383" s="91"/>
      <c r="BB383" s="91"/>
      <c r="BC383" s="91"/>
      <c r="BD383" s="91"/>
      <c r="BE383" s="91"/>
      <c r="BF383" s="91"/>
      <c r="BG383" s="91"/>
      <c r="BH383" s="91"/>
      <c r="BI383" s="91"/>
      <c r="BJ383" s="91"/>
      <c r="BK383" s="91"/>
      <c r="BL383" s="91"/>
      <c r="BM383" s="91"/>
      <c r="BN383" s="91"/>
      <c r="BO383" s="91"/>
      <c r="BP383" s="91"/>
      <c r="BQ383" s="91"/>
      <c r="BR383" s="91"/>
    </row>
    <row r="384" spans="1:70" ht="15.75" customHeight="1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  <c r="AU384" s="91"/>
      <c r="AV384" s="91"/>
      <c r="AW384" s="91"/>
      <c r="AX384" s="91"/>
      <c r="AY384" s="91"/>
      <c r="AZ384" s="91"/>
      <c r="BA384" s="91"/>
      <c r="BB384" s="91"/>
      <c r="BC384" s="91"/>
      <c r="BD384" s="91"/>
      <c r="BE384" s="91"/>
      <c r="BF384" s="91"/>
      <c r="BG384" s="91"/>
      <c r="BH384" s="91"/>
      <c r="BI384" s="91"/>
      <c r="BJ384" s="91"/>
      <c r="BK384" s="91"/>
      <c r="BL384" s="91"/>
      <c r="BM384" s="91"/>
      <c r="BN384" s="91"/>
      <c r="BO384" s="91"/>
      <c r="BP384" s="91"/>
      <c r="BQ384" s="91"/>
      <c r="BR384" s="91"/>
    </row>
    <row r="385" spans="1:70" ht="15.75" customHeight="1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  <c r="AU385" s="91"/>
      <c r="AV385" s="91"/>
      <c r="AW385" s="91"/>
      <c r="AX385" s="91"/>
      <c r="AY385" s="91"/>
      <c r="AZ385" s="91"/>
      <c r="BA385" s="91"/>
      <c r="BB385" s="91"/>
      <c r="BC385" s="91"/>
      <c r="BD385" s="91"/>
      <c r="BE385" s="91"/>
      <c r="BF385" s="91"/>
      <c r="BG385" s="91"/>
      <c r="BH385" s="91"/>
      <c r="BI385" s="91"/>
      <c r="BJ385" s="91"/>
      <c r="BK385" s="91"/>
      <c r="BL385" s="91"/>
      <c r="BM385" s="91"/>
      <c r="BN385" s="91"/>
      <c r="BO385" s="91"/>
      <c r="BP385" s="91"/>
      <c r="BQ385" s="91"/>
      <c r="BR385" s="91"/>
    </row>
    <row r="386" spans="1:70" ht="15.75" customHeight="1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  <c r="AU386" s="91"/>
      <c r="AV386" s="91"/>
      <c r="AW386" s="91"/>
      <c r="AX386" s="91"/>
      <c r="AY386" s="91"/>
      <c r="AZ386" s="91"/>
      <c r="BA386" s="91"/>
      <c r="BB386" s="91"/>
      <c r="BC386" s="91"/>
      <c r="BD386" s="91"/>
      <c r="BE386" s="91"/>
      <c r="BF386" s="91"/>
      <c r="BG386" s="91"/>
      <c r="BH386" s="91"/>
      <c r="BI386" s="91"/>
      <c r="BJ386" s="91"/>
      <c r="BK386" s="91"/>
      <c r="BL386" s="91"/>
      <c r="BM386" s="91"/>
      <c r="BN386" s="91"/>
      <c r="BO386" s="91"/>
      <c r="BP386" s="91"/>
      <c r="BQ386" s="91"/>
      <c r="BR386" s="91"/>
    </row>
    <row r="387" spans="1:70" ht="15.75" customHeight="1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  <c r="AU387" s="91"/>
      <c r="AV387" s="91"/>
      <c r="AW387" s="91"/>
      <c r="AX387" s="91"/>
      <c r="AY387" s="91"/>
      <c r="AZ387" s="91"/>
      <c r="BA387" s="91"/>
      <c r="BB387" s="91"/>
      <c r="BC387" s="91"/>
      <c r="BD387" s="91"/>
      <c r="BE387" s="91"/>
      <c r="BF387" s="91"/>
      <c r="BG387" s="91"/>
      <c r="BH387" s="91"/>
      <c r="BI387" s="91"/>
      <c r="BJ387" s="91"/>
      <c r="BK387" s="91"/>
      <c r="BL387" s="91"/>
      <c r="BM387" s="91"/>
      <c r="BN387" s="91"/>
      <c r="BO387" s="91"/>
      <c r="BP387" s="91"/>
      <c r="BQ387" s="91"/>
      <c r="BR387" s="91"/>
    </row>
    <row r="388" spans="1:70" ht="15.75" customHeight="1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  <c r="AU388" s="91"/>
      <c r="AV388" s="91"/>
      <c r="AW388" s="91"/>
      <c r="AX388" s="91"/>
      <c r="AY388" s="91"/>
      <c r="AZ388" s="91"/>
      <c r="BA388" s="91"/>
      <c r="BB388" s="91"/>
      <c r="BC388" s="91"/>
      <c r="BD388" s="91"/>
      <c r="BE388" s="91"/>
      <c r="BF388" s="91"/>
      <c r="BG388" s="91"/>
      <c r="BH388" s="91"/>
      <c r="BI388" s="91"/>
      <c r="BJ388" s="91"/>
      <c r="BK388" s="91"/>
      <c r="BL388" s="91"/>
      <c r="BM388" s="91"/>
      <c r="BN388" s="91"/>
      <c r="BO388" s="91"/>
      <c r="BP388" s="91"/>
      <c r="BQ388" s="91"/>
      <c r="BR388" s="91"/>
    </row>
    <row r="389" spans="1:70" ht="15.75" customHeight="1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  <c r="AU389" s="91"/>
      <c r="AV389" s="91"/>
      <c r="AW389" s="91"/>
      <c r="AX389" s="91"/>
      <c r="AY389" s="91"/>
      <c r="AZ389" s="91"/>
      <c r="BA389" s="91"/>
      <c r="BB389" s="91"/>
      <c r="BC389" s="91"/>
      <c r="BD389" s="91"/>
      <c r="BE389" s="91"/>
      <c r="BF389" s="91"/>
      <c r="BG389" s="91"/>
      <c r="BH389" s="91"/>
      <c r="BI389" s="91"/>
      <c r="BJ389" s="91"/>
      <c r="BK389" s="91"/>
      <c r="BL389" s="91"/>
      <c r="BM389" s="91"/>
      <c r="BN389" s="91"/>
      <c r="BO389" s="91"/>
      <c r="BP389" s="91"/>
      <c r="BQ389" s="91"/>
      <c r="BR389" s="91"/>
    </row>
    <row r="390" spans="1:70" ht="15.75" customHeight="1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  <c r="AU390" s="91"/>
      <c r="AV390" s="91"/>
      <c r="AW390" s="91"/>
      <c r="AX390" s="91"/>
      <c r="AY390" s="91"/>
      <c r="AZ390" s="91"/>
      <c r="BA390" s="91"/>
      <c r="BB390" s="91"/>
      <c r="BC390" s="91"/>
      <c r="BD390" s="91"/>
      <c r="BE390" s="91"/>
      <c r="BF390" s="91"/>
      <c r="BG390" s="91"/>
      <c r="BH390" s="91"/>
      <c r="BI390" s="91"/>
      <c r="BJ390" s="91"/>
      <c r="BK390" s="91"/>
      <c r="BL390" s="91"/>
      <c r="BM390" s="91"/>
      <c r="BN390" s="91"/>
      <c r="BO390" s="91"/>
      <c r="BP390" s="91"/>
      <c r="BQ390" s="91"/>
      <c r="BR390" s="91"/>
    </row>
    <row r="391" spans="1:70" ht="15.75" customHeight="1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  <c r="AU391" s="91"/>
      <c r="AV391" s="91"/>
      <c r="AW391" s="91"/>
      <c r="AX391" s="91"/>
      <c r="AY391" s="91"/>
      <c r="AZ391" s="91"/>
      <c r="BA391" s="91"/>
      <c r="BB391" s="91"/>
      <c r="BC391" s="91"/>
      <c r="BD391" s="91"/>
      <c r="BE391" s="91"/>
      <c r="BF391" s="91"/>
      <c r="BG391" s="91"/>
      <c r="BH391" s="91"/>
      <c r="BI391" s="91"/>
      <c r="BJ391" s="91"/>
      <c r="BK391" s="91"/>
      <c r="BL391" s="91"/>
      <c r="BM391" s="91"/>
      <c r="BN391" s="91"/>
      <c r="BO391" s="91"/>
      <c r="BP391" s="91"/>
      <c r="BQ391" s="91"/>
      <c r="BR391" s="91"/>
    </row>
    <row r="392" spans="1:70" ht="15.75" customHeight="1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  <c r="AU392" s="91"/>
      <c r="AV392" s="91"/>
      <c r="AW392" s="91"/>
      <c r="AX392" s="91"/>
      <c r="AY392" s="91"/>
      <c r="AZ392" s="91"/>
      <c r="BA392" s="91"/>
      <c r="BB392" s="91"/>
      <c r="BC392" s="91"/>
      <c r="BD392" s="91"/>
      <c r="BE392" s="91"/>
      <c r="BF392" s="91"/>
      <c r="BG392" s="91"/>
      <c r="BH392" s="91"/>
      <c r="BI392" s="91"/>
      <c r="BJ392" s="91"/>
      <c r="BK392" s="91"/>
      <c r="BL392" s="91"/>
      <c r="BM392" s="91"/>
      <c r="BN392" s="91"/>
      <c r="BO392" s="91"/>
      <c r="BP392" s="91"/>
      <c r="BQ392" s="91"/>
      <c r="BR392" s="91"/>
    </row>
    <row r="393" spans="1:70" ht="15.75" customHeight="1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  <c r="AU393" s="91"/>
      <c r="AV393" s="91"/>
      <c r="AW393" s="91"/>
      <c r="AX393" s="91"/>
      <c r="AY393" s="91"/>
      <c r="AZ393" s="91"/>
      <c r="BA393" s="91"/>
      <c r="BB393" s="91"/>
      <c r="BC393" s="91"/>
      <c r="BD393" s="91"/>
      <c r="BE393" s="91"/>
      <c r="BF393" s="91"/>
      <c r="BG393" s="91"/>
      <c r="BH393" s="91"/>
      <c r="BI393" s="91"/>
      <c r="BJ393" s="91"/>
      <c r="BK393" s="91"/>
      <c r="BL393" s="91"/>
      <c r="BM393" s="91"/>
      <c r="BN393" s="91"/>
      <c r="BO393" s="91"/>
      <c r="BP393" s="91"/>
      <c r="BQ393" s="91"/>
      <c r="BR393" s="91"/>
    </row>
    <row r="394" spans="1:70" ht="15.75" customHeight="1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  <c r="AU394" s="91"/>
      <c r="AV394" s="91"/>
      <c r="AW394" s="91"/>
      <c r="AX394" s="91"/>
      <c r="AY394" s="91"/>
      <c r="AZ394" s="91"/>
      <c r="BA394" s="91"/>
      <c r="BB394" s="91"/>
      <c r="BC394" s="91"/>
      <c r="BD394" s="91"/>
      <c r="BE394" s="91"/>
      <c r="BF394" s="91"/>
      <c r="BG394" s="91"/>
      <c r="BH394" s="91"/>
      <c r="BI394" s="91"/>
      <c r="BJ394" s="91"/>
      <c r="BK394" s="91"/>
      <c r="BL394" s="91"/>
      <c r="BM394" s="91"/>
      <c r="BN394" s="91"/>
      <c r="BO394" s="91"/>
      <c r="BP394" s="91"/>
      <c r="BQ394" s="91"/>
      <c r="BR394" s="91"/>
    </row>
    <row r="395" spans="1:70" ht="15.75" customHeight="1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  <c r="AU395" s="91"/>
      <c r="AV395" s="91"/>
      <c r="AW395" s="91"/>
      <c r="AX395" s="91"/>
      <c r="AY395" s="91"/>
      <c r="AZ395" s="91"/>
      <c r="BA395" s="91"/>
      <c r="BB395" s="91"/>
      <c r="BC395" s="91"/>
      <c r="BD395" s="91"/>
      <c r="BE395" s="91"/>
      <c r="BF395" s="91"/>
      <c r="BG395" s="91"/>
      <c r="BH395" s="91"/>
      <c r="BI395" s="91"/>
      <c r="BJ395" s="91"/>
      <c r="BK395" s="91"/>
      <c r="BL395" s="91"/>
      <c r="BM395" s="91"/>
      <c r="BN395" s="91"/>
      <c r="BO395" s="91"/>
      <c r="BP395" s="91"/>
      <c r="BQ395" s="91"/>
      <c r="BR395" s="91"/>
    </row>
    <row r="396" spans="1:70" ht="15.75" customHeight="1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  <c r="AU396" s="91"/>
      <c r="AV396" s="91"/>
      <c r="AW396" s="91"/>
      <c r="AX396" s="91"/>
      <c r="AY396" s="91"/>
      <c r="AZ396" s="91"/>
      <c r="BA396" s="91"/>
      <c r="BB396" s="91"/>
      <c r="BC396" s="91"/>
      <c r="BD396" s="91"/>
      <c r="BE396" s="91"/>
      <c r="BF396" s="91"/>
      <c r="BG396" s="91"/>
      <c r="BH396" s="91"/>
      <c r="BI396" s="91"/>
      <c r="BJ396" s="91"/>
      <c r="BK396" s="91"/>
      <c r="BL396" s="91"/>
      <c r="BM396" s="91"/>
      <c r="BN396" s="91"/>
      <c r="BO396" s="91"/>
      <c r="BP396" s="91"/>
      <c r="BQ396" s="91"/>
      <c r="BR396" s="91"/>
    </row>
    <row r="397" spans="1:70" ht="15.75" customHeight="1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  <c r="AU397" s="91"/>
      <c r="AV397" s="91"/>
      <c r="AW397" s="91"/>
      <c r="AX397" s="91"/>
      <c r="AY397" s="91"/>
      <c r="AZ397" s="91"/>
      <c r="BA397" s="91"/>
      <c r="BB397" s="91"/>
      <c r="BC397" s="91"/>
      <c r="BD397" s="91"/>
      <c r="BE397" s="91"/>
      <c r="BF397" s="91"/>
      <c r="BG397" s="91"/>
      <c r="BH397" s="91"/>
      <c r="BI397" s="91"/>
      <c r="BJ397" s="91"/>
      <c r="BK397" s="91"/>
      <c r="BL397" s="91"/>
      <c r="BM397" s="91"/>
      <c r="BN397" s="91"/>
      <c r="BO397" s="91"/>
      <c r="BP397" s="91"/>
      <c r="BQ397" s="91"/>
      <c r="BR397" s="91"/>
    </row>
    <row r="398" spans="1:70" ht="15.75" customHeight="1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  <c r="AU398" s="91"/>
      <c r="AV398" s="91"/>
      <c r="AW398" s="91"/>
      <c r="AX398" s="91"/>
      <c r="AY398" s="91"/>
      <c r="AZ398" s="91"/>
      <c r="BA398" s="91"/>
      <c r="BB398" s="91"/>
      <c r="BC398" s="91"/>
      <c r="BD398" s="91"/>
      <c r="BE398" s="91"/>
      <c r="BF398" s="91"/>
      <c r="BG398" s="91"/>
      <c r="BH398" s="91"/>
      <c r="BI398" s="91"/>
      <c r="BJ398" s="91"/>
      <c r="BK398" s="91"/>
      <c r="BL398" s="91"/>
      <c r="BM398" s="91"/>
      <c r="BN398" s="91"/>
      <c r="BO398" s="91"/>
      <c r="BP398" s="91"/>
      <c r="BQ398" s="91"/>
      <c r="BR398" s="91"/>
    </row>
    <row r="399" spans="1:70" ht="15.75" customHeight="1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  <c r="AU399" s="91"/>
      <c r="AV399" s="91"/>
      <c r="AW399" s="91"/>
      <c r="AX399" s="91"/>
      <c r="AY399" s="91"/>
      <c r="AZ399" s="91"/>
      <c r="BA399" s="91"/>
      <c r="BB399" s="91"/>
      <c r="BC399" s="91"/>
      <c r="BD399" s="91"/>
      <c r="BE399" s="91"/>
      <c r="BF399" s="91"/>
      <c r="BG399" s="91"/>
      <c r="BH399" s="91"/>
      <c r="BI399" s="91"/>
      <c r="BJ399" s="91"/>
      <c r="BK399" s="91"/>
      <c r="BL399" s="91"/>
      <c r="BM399" s="91"/>
      <c r="BN399" s="91"/>
      <c r="BO399" s="91"/>
      <c r="BP399" s="91"/>
      <c r="BQ399" s="91"/>
      <c r="BR399" s="91"/>
    </row>
    <row r="400" spans="1:70" ht="15.75" customHeight="1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  <c r="AU400" s="91"/>
      <c r="AV400" s="91"/>
      <c r="AW400" s="91"/>
      <c r="AX400" s="91"/>
      <c r="AY400" s="91"/>
      <c r="AZ400" s="91"/>
      <c r="BA400" s="91"/>
      <c r="BB400" s="91"/>
      <c r="BC400" s="91"/>
      <c r="BD400" s="91"/>
      <c r="BE400" s="91"/>
      <c r="BF400" s="91"/>
      <c r="BG400" s="91"/>
      <c r="BH400" s="91"/>
      <c r="BI400" s="91"/>
      <c r="BJ400" s="91"/>
      <c r="BK400" s="91"/>
      <c r="BL400" s="91"/>
      <c r="BM400" s="91"/>
      <c r="BN400" s="91"/>
      <c r="BO400" s="91"/>
      <c r="BP400" s="91"/>
      <c r="BQ400" s="91"/>
      <c r="BR400" s="91"/>
    </row>
    <row r="401" spans="1:70" ht="15.75" customHeight="1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  <c r="AU401" s="91"/>
      <c r="AV401" s="91"/>
      <c r="AW401" s="91"/>
      <c r="AX401" s="91"/>
      <c r="AY401" s="91"/>
      <c r="AZ401" s="91"/>
      <c r="BA401" s="91"/>
      <c r="BB401" s="91"/>
      <c r="BC401" s="91"/>
      <c r="BD401" s="91"/>
      <c r="BE401" s="91"/>
      <c r="BF401" s="91"/>
      <c r="BG401" s="91"/>
      <c r="BH401" s="91"/>
      <c r="BI401" s="91"/>
      <c r="BJ401" s="91"/>
      <c r="BK401" s="91"/>
      <c r="BL401" s="91"/>
      <c r="BM401" s="91"/>
      <c r="BN401" s="91"/>
      <c r="BO401" s="91"/>
      <c r="BP401" s="91"/>
      <c r="BQ401" s="91"/>
      <c r="BR401" s="91"/>
    </row>
    <row r="402" spans="1:70" ht="15.75" customHeight="1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  <c r="AU402" s="91"/>
      <c r="AV402" s="91"/>
      <c r="AW402" s="91"/>
      <c r="AX402" s="91"/>
      <c r="AY402" s="91"/>
      <c r="AZ402" s="91"/>
      <c r="BA402" s="91"/>
      <c r="BB402" s="91"/>
      <c r="BC402" s="91"/>
      <c r="BD402" s="91"/>
      <c r="BE402" s="91"/>
      <c r="BF402" s="91"/>
      <c r="BG402" s="91"/>
      <c r="BH402" s="91"/>
      <c r="BI402" s="91"/>
      <c r="BJ402" s="91"/>
      <c r="BK402" s="91"/>
      <c r="BL402" s="91"/>
      <c r="BM402" s="91"/>
      <c r="BN402" s="91"/>
      <c r="BO402" s="91"/>
      <c r="BP402" s="91"/>
      <c r="BQ402" s="91"/>
      <c r="BR402" s="91"/>
    </row>
    <row r="403" spans="1:70" ht="15.75" customHeight="1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  <c r="AU403" s="91"/>
      <c r="AV403" s="91"/>
      <c r="AW403" s="91"/>
      <c r="AX403" s="91"/>
      <c r="AY403" s="91"/>
      <c r="AZ403" s="91"/>
      <c r="BA403" s="91"/>
      <c r="BB403" s="91"/>
      <c r="BC403" s="91"/>
      <c r="BD403" s="91"/>
      <c r="BE403" s="91"/>
      <c r="BF403" s="91"/>
      <c r="BG403" s="91"/>
      <c r="BH403" s="91"/>
      <c r="BI403" s="91"/>
      <c r="BJ403" s="91"/>
      <c r="BK403" s="91"/>
      <c r="BL403" s="91"/>
      <c r="BM403" s="91"/>
      <c r="BN403" s="91"/>
      <c r="BO403" s="91"/>
      <c r="BP403" s="91"/>
      <c r="BQ403" s="91"/>
      <c r="BR403" s="91"/>
    </row>
    <row r="404" spans="1:70" ht="15.75" customHeight="1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  <c r="AU404" s="91"/>
      <c r="AV404" s="91"/>
      <c r="AW404" s="91"/>
      <c r="AX404" s="91"/>
      <c r="AY404" s="91"/>
      <c r="AZ404" s="91"/>
      <c r="BA404" s="91"/>
      <c r="BB404" s="91"/>
      <c r="BC404" s="91"/>
      <c r="BD404" s="91"/>
      <c r="BE404" s="91"/>
      <c r="BF404" s="91"/>
      <c r="BG404" s="91"/>
      <c r="BH404" s="91"/>
      <c r="BI404" s="91"/>
      <c r="BJ404" s="91"/>
      <c r="BK404" s="91"/>
      <c r="BL404" s="91"/>
      <c r="BM404" s="91"/>
      <c r="BN404" s="91"/>
      <c r="BO404" s="91"/>
      <c r="BP404" s="91"/>
      <c r="BQ404" s="91"/>
      <c r="BR404" s="91"/>
    </row>
    <row r="405" spans="1:70" ht="15.75" customHeight="1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  <c r="AU405" s="91"/>
      <c r="AV405" s="91"/>
      <c r="AW405" s="91"/>
      <c r="AX405" s="91"/>
      <c r="AY405" s="91"/>
      <c r="AZ405" s="91"/>
      <c r="BA405" s="91"/>
      <c r="BB405" s="91"/>
      <c r="BC405" s="91"/>
      <c r="BD405" s="91"/>
      <c r="BE405" s="91"/>
      <c r="BF405" s="91"/>
      <c r="BG405" s="91"/>
      <c r="BH405" s="91"/>
      <c r="BI405" s="91"/>
      <c r="BJ405" s="91"/>
      <c r="BK405" s="91"/>
      <c r="BL405" s="91"/>
      <c r="BM405" s="91"/>
      <c r="BN405" s="91"/>
      <c r="BO405" s="91"/>
      <c r="BP405" s="91"/>
      <c r="BQ405" s="91"/>
      <c r="BR405" s="91"/>
    </row>
    <row r="406" spans="1:70" ht="15.75" customHeight="1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  <c r="AU406" s="91"/>
      <c r="AV406" s="91"/>
      <c r="AW406" s="91"/>
      <c r="AX406" s="91"/>
      <c r="AY406" s="91"/>
      <c r="AZ406" s="91"/>
      <c r="BA406" s="91"/>
      <c r="BB406" s="91"/>
      <c r="BC406" s="91"/>
      <c r="BD406" s="91"/>
      <c r="BE406" s="91"/>
      <c r="BF406" s="91"/>
      <c r="BG406" s="91"/>
      <c r="BH406" s="91"/>
      <c r="BI406" s="91"/>
      <c r="BJ406" s="91"/>
      <c r="BK406" s="91"/>
      <c r="BL406" s="91"/>
      <c r="BM406" s="91"/>
      <c r="BN406" s="91"/>
      <c r="BO406" s="91"/>
      <c r="BP406" s="91"/>
      <c r="BQ406" s="91"/>
      <c r="BR406" s="91"/>
    </row>
    <row r="407" spans="1:70" ht="15.75" customHeight="1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  <c r="AU407" s="91"/>
      <c r="AV407" s="91"/>
      <c r="AW407" s="91"/>
      <c r="AX407" s="91"/>
      <c r="AY407" s="91"/>
      <c r="AZ407" s="91"/>
      <c r="BA407" s="91"/>
      <c r="BB407" s="91"/>
      <c r="BC407" s="91"/>
      <c r="BD407" s="91"/>
      <c r="BE407" s="91"/>
      <c r="BF407" s="91"/>
      <c r="BG407" s="91"/>
      <c r="BH407" s="91"/>
      <c r="BI407" s="91"/>
      <c r="BJ407" s="91"/>
      <c r="BK407" s="91"/>
      <c r="BL407" s="91"/>
      <c r="BM407" s="91"/>
      <c r="BN407" s="91"/>
      <c r="BO407" s="91"/>
      <c r="BP407" s="91"/>
      <c r="BQ407" s="91"/>
      <c r="BR407" s="91"/>
    </row>
    <row r="408" spans="1:70" ht="15.75" customHeight="1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  <c r="AU408" s="91"/>
      <c r="AV408" s="91"/>
      <c r="AW408" s="91"/>
      <c r="AX408" s="91"/>
      <c r="AY408" s="91"/>
      <c r="AZ408" s="91"/>
      <c r="BA408" s="91"/>
      <c r="BB408" s="91"/>
      <c r="BC408" s="91"/>
      <c r="BD408" s="91"/>
      <c r="BE408" s="91"/>
      <c r="BF408" s="91"/>
      <c r="BG408" s="91"/>
      <c r="BH408" s="91"/>
      <c r="BI408" s="91"/>
      <c r="BJ408" s="91"/>
      <c r="BK408" s="91"/>
      <c r="BL408" s="91"/>
      <c r="BM408" s="91"/>
      <c r="BN408" s="91"/>
      <c r="BO408" s="91"/>
      <c r="BP408" s="91"/>
      <c r="BQ408" s="91"/>
      <c r="BR408" s="91"/>
    </row>
    <row r="409" spans="1:70" ht="15.75" customHeight="1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  <c r="AU409" s="91"/>
      <c r="AV409" s="91"/>
      <c r="AW409" s="91"/>
      <c r="AX409" s="91"/>
      <c r="AY409" s="91"/>
      <c r="AZ409" s="91"/>
      <c r="BA409" s="91"/>
      <c r="BB409" s="91"/>
      <c r="BC409" s="91"/>
      <c r="BD409" s="91"/>
      <c r="BE409" s="91"/>
      <c r="BF409" s="91"/>
      <c r="BG409" s="91"/>
      <c r="BH409" s="91"/>
      <c r="BI409" s="91"/>
      <c r="BJ409" s="91"/>
      <c r="BK409" s="91"/>
      <c r="BL409" s="91"/>
      <c r="BM409" s="91"/>
      <c r="BN409" s="91"/>
      <c r="BO409" s="91"/>
      <c r="BP409" s="91"/>
      <c r="BQ409" s="91"/>
      <c r="BR409" s="91"/>
    </row>
    <row r="410" spans="1:70" ht="15.75" customHeight="1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  <c r="AU410" s="91"/>
      <c r="AV410" s="91"/>
      <c r="AW410" s="91"/>
      <c r="AX410" s="91"/>
      <c r="AY410" s="91"/>
      <c r="AZ410" s="91"/>
      <c r="BA410" s="91"/>
      <c r="BB410" s="91"/>
      <c r="BC410" s="91"/>
      <c r="BD410" s="91"/>
      <c r="BE410" s="91"/>
      <c r="BF410" s="91"/>
      <c r="BG410" s="91"/>
      <c r="BH410" s="91"/>
      <c r="BI410" s="91"/>
      <c r="BJ410" s="91"/>
      <c r="BK410" s="91"/>
      <c r="BL410" s="91"/>
      <c r="BM410" s="91"/>
      <c r="BN410" s="91"/>
      <c r="BO410" s="91"/>
      <c r="BP410" s="91"/>
      <c r="BQ410" s="91"/>
      <c r="BR410" s="91"/>
    </row>
    <row r="411" spans="1:70" ht="15.75" customHeight="1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  <c r="AU411" s="91"/>
      <c r="AV411" s="91"/>
      <c r="AW411" s="91"/>
      <c r="AX411" s="91"/>
      <c r="AY411" s="91"/>
      <c r="AZ411" s="91"/>
      <c r="BA411" s="91"/>
      <c r="BB411" s="91"/>
      <c r="BC411" s="91"/>
      <c r="BD411" s="91"/>
      <c r="BE411" s="91"/>
      <c r="BF411" s="91"/>
      <c r="BG411" s="91"/>
      <c r="BH411" s="91"/>
      <c r="BI411" s="91"/>
      <c r="BJ411" s="91"/>
      <c r="BK411" s="91"/>
      <c r="BL411" s="91"/>
      <c r="BM411" s="91"/>
      <c r="BN411" s="91"/>
      <c r="BO411" s="91"/>
      <c r="BP411" s="91"/>
      <c r="BQ411" s="91"/>
      <c r="BR411" s="91"/>
    </row>
    <row r="412" spans="1:70" ht="15.75" customHeight="1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  <c r="AU412" s="91"/>
      <c r="AV412" s="91"/>
      <c r="AW412" s="91"/>
      <c r="AX412" s="91"/>
      <c r="AY412" s="91"/>
      <c r="AZ412" s="91"/>
      <c r="BA412" s="91"/>
      <c r="BB412" s="91"/>
      <c r="BC412" s="91"/>
      <c r="BD412" s="91"/>
      <c r="BE412" s="91"/>
      <c r="BF412" s="91"/>
      <c r="BG412" s="91"/>
      <c r="BH412" s="91"/>
      <c r="BI412" s="91"/>
      <c r="BJ412" s="91"/>
      <c r="BK412" s="91"/>
      <c r="BL412" s="91"/>
      <c r="BM412" s="91"/>
      <c r="BN412" s="91"/>
      <c r="BO412" s="91"/>
      <c r="BP412" s="91"/>
      <c r="BQ412" s="91"/>
      <c r="BR412" s="91"/>
    </row>
    <row r="413" spans="1:70" ht="15.75" customHeight="1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  <c r="AU413" s="91"/>
      <c r="AV413" s="91"/>
      <c r="AW413" s="91"/>
      <c r="AX413" s="91"/>
      <c r="AY413" s="91"/>
      <c r="AZ413" s="91"/>
      <c r="BA413" s="91"/>
      <c r="BB413" s="91"/>
      <c r="BC413" s="91"/>
      <c r="BD413" s="91"/>
      <c r="BE413" s="91"/>
      <c r="BF413" s="91"/>
      <c r="BG413" s="91"/>
      <c r="BH413" s="91"/>
      <c r="BI413" s="91"/>
      <c r="BJ413" s="91"/>
      <c r="BK413" s="91"/>
      <c r="BL413" s="91"/>
      <c r="BM413" s="91"/>
      <c r="BN413" s="91"/>
      <c r="BO413" s="91"/>
      <c r="BP413" s="91"/>
      <c r="BQ413" s="91"/>
      <c r="BR413" s="91"/>
    </row>
    <row r="414" spans="1:70" ht="15.75" customHeight="1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  <c r="AU414" s="91"/>
      <c r="AV414" s="91"/>
      <c r="AW414" s="91"/>
      <c r="AX414" s="91"/>
      <c r="AY414" s="91"/>
      <c r="AZ414" s="91"/>
      <c r="BA414" s="91"/>
      <c r="BB414" s="91"/>
      <c r="BC414" s="91"/>
      <c r="BD414" s="91"/>
      <c r="BE414" s="91"/>
      <c r="BF414" s="91"/>
      <c r="BG414" s="91"/>
      <c r="BH414" s="91"/>
      <c r="BI414" s="91"/>
      <c r="BJ414" s="91"/>
      <c r="BK414" s="91"/>
      <c r="BL414" s="91"/>
      <c r="BM414" s="91"/>
      <c r="BN414" s="91"/>
      <c r="BO414" s="91"/>
      <c r="BP414" s="91"/>
      <c r="BQ414" s="91"/>
      <c r="BR414" s="91"/>
    </row>
    <row r="415" spans="1:70" ht="15.75" customHeight="1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  <c r="AU415" s="91"/>
      <c r="AV415" s="91"/>
      <c r="AW415" s="91"/>
      <c r="AX415" s="91"/>
      <c r="AY415" s="91"/>
      <c r="AZ415" s="91"/>
      <c r="BA415" s="91"/>
      <c r="BB415" s="91"/>
      <c r="BC415" s="91"/>
      <c r="BD415" s="91"/>
      <c r="BE415" s="91"/>
      <c r="BF415" s="91"/>
      <c r="BG415" s="91"/>
      <c r="BH415" s="91"/>
      <c r="BI415" s="91"/>
      <c r="BJ415" s="91"/>
      <c r="BK415" s="91"/>
      <c r="BL415" s="91"/>
      <c r="BM415" s="91"/>
      <c r="BN415" s="91"/>
      <c r="BO415" s="91"/>
      <c r="BP415" s="91"/>
      <c r="BQ415" s="91"/>
      <c r="BR415" s="91"/>
    </row>
    <row r="416" spans="1:70" ht="15.75" customHeight="1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  <c r="AU416" s="91"/>
      <c r="AV416" s="91"/>
      <c r="AW416" s="91"/>
      <c r="AX416" s="91"/>
      <c r="AY416" s="91"/>
      <c r="AZ416" s="91"/>
      <c r="BA416" s="91"/>
      <c r="BB416" s="91"/>
      <c r="BC416" s="91"/>
      <c r="BD416" s="91"/>
      <c r="BE416" s="91"/>
      <c r="BF416" s="91"/>
      <c r="BG416" s="91"/>
      <c r="BH416" s="91"/>
      <c r="BI416" s="91"/>
      <c r="BJ416" s="91"/>
      <c r="BK416" s="91"/>
      <c r="BL416" s="91"/>
      <c r="BM416" s="91"/>
      <c r="BN416" s="91"/>
      <c r="BO416" s="91"/>
      <c r="BP416" s="91"/>
      <c r="BQ416" s="91"/>
      <c r="BR416" s="91"/>
    </row>
    <row r="417" spans="1:70" ht="15.75" customHeight="1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  <c r="AU417" s="91"/>
      <c r="AV417" s="91"/>
      <c r="AW417" s="91"/>
      <c r="AX417" s="91"/>
      <c r="AY417" s="91"/>
      <c r="AZ417" s="91"/>
      <c r="BA417" s="91"/>
      <c r="BB417" s="91"/>
      <c r="BC417" s="91"/>
      <c r="BD417" s="91"/>
      <c r="BE417" s="91"/>
      <c r="BF417" s="91"/>
      <c r="BG417" s="91"/>
      <c r="BH417" s="91"/>
      <c r="BI417" s="91"/>
      <c r="BJ417" s="91"/>
      <c r="BK417" s="91"/>
      <c r="BL417" s="91"/>
      <c r="BM417" s="91"/>
      <c r="BN417" s="91"/>
      <c r="BO417" s="91"/>
      <c r="BP417" s="91"/>
      <c r="BQ417" s="91"/>
      <c r="BR417" s="91"/>
    </row>
    <row r="418" spans="1:70" ht="15.75" customHeight="1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  <c r="AU418" s="91"/>
      <c r="AV418" s="91"/>
      <c r="AW418" s="91"/>
      <c r="AX418" s="91"/>
      <c r="AY418" s="91"/>
      <c r="AZ418" s="91"/>
      <c r="BA418" s="91"/>
      <c r="BB418" s="91"/>
      <c r="BC418" s="91"/>
      <c r="BD418" s="91"/>
      <c r="BE418" s="91"/>
      <c r="BF418" s="91"/>
      <c r="BG418" s="91"/>
      <c r="BH418" s="91"/>
      <c r="BI418" s="91"/>
      <c r="BJ418" s="91"/>
      <c r="BK418" s="91"/>
      <c r="BL418" s="91"/>
      <c r="BM418" s="91"/>
      <c r="BN418" s="91"/>
      <c r="BO418" s="91"/>
      <c r="BP418" s="91"/>
      <c r="BQ418" s="91"/>
      <c r="BR418" s="91"/>
    </row>
    <row r="419" spans="1:70" ht="15.75" customHeight="1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  <c r="AU419" s="91"/>
      <c r="AV419" s="91"/>
      <c r="AW419" s="91"/>
      <c r="AX419" s="91"/>
      <c r="AY419" s="91"/>
      <c r="AZ419" s="91"/>
      <c r="BA419" s="91"/>
      <c r="BB419" s="91"/>
      <c r="BC419" s="91"/>
      <c r="BD419" s="91"/>
      <c r="BE419" s="91"/>
      <c r="BF419" s="91"/>
      <c r="BG419" s="91"/>
      <c r="BH419" s="91"/>
      <c r="BI419" s="91"/>
      <c r="BJ419" s="91"/>
      <c r="BK419" s="91"/>
      <c r="BL419" s="91"/>
      <c r="BM419" s="91"/>
      <c r="BN419" s="91"/>
      <c r="BO419" s="91"/>
      <c r="BP419" s="91"/>
      <c r="BQ419" s="91"/>
      <c r="BR419" s="91"/>
    </row>
    <row r="420" spans="1:70" ht="15.75" customHeight="1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  <c r="AU420" s="91"/>
      <c r="AV420" s="91"/>
      <c r="AW420" s="91"/>
      <c r="AX420" s="91"/>
      <c r="AY420" s="91"/>
      <c r="AZ420" s="91"/>
      <c r="BA420" s="91"/>
      <c r="BB420" s="91"/>
      <c r="BC420" s="91"/>
      <c r="BD420" s="91"/>
      <c r="BE420" s="91"/>
      <c r="BF420" s="91"/>
      <c r="BG420" s="91"/>
      <c r="BH420" s="91"/>
      <c r="BI420" s="91"/>
      <c r="BJ420" s="91"/>
      <c r="BK420" s="91"/>
      <c r="BL420" s="91"/>
      <c r="BM420" s="91"/>
      <c r="BN420" s="91"/>
      <c r="BO420" s="91"/>
      <c r="BP420" s="91"/>
      <c r="BQ420" s="91"/>
      <c r="BR420" s="91"/>
    </row>
    <row r="421" spans="1:70" ht="15.75" customHeight="1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  <c r="AU421" s="91"/>
      <c r="AV421" s="91"/>
      <c r="AW421" s="91"/>
      <c r="AX421" s="91"/>
      <c r="AY421" s="91"/>
      <c r="AZ421" s="91"/>
      <c r="BA421" s="91"/>
      <c r="BB421" s="91"/>
      <c r="BC421" s="91"/>
      <c r="BD421" s="91"/>
      <c r="BE421" s="91"/>
      <c r="BF421" s="91"/>
      <c r="BG421" s="91"/>
      <c r="BH421" s="91"/>
      <c r="BI421" s="91"/>
      <c r="BJ421" s="91"/>
      <c r="BK421" s="91"/>
      <c r="BL421" s="91"/>
      <c r="BM421" s="91"/>
      <c r="BN421" s="91"/>
      <c r="BO421" s="91"/>
      <c r="BP421" s="91"/>
      <c r="BQ421" s="91"/>
      <c r="BR421" s="91"/>
    </row>
    <row r="422" spans="1:70" ht="15.75" customHeight="1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  <c r="AU422" s="91"/>
      <c r="AV422" s="91"/>
      <c r="AW422" s="91"/>
      <c r="AX422" s="91"/>
      <c r="AY422" s="91"/>
      <c r="AZ422" s="91"/>
      <c r="BA422" s="91"/>
      <c r="BB422" s="91"/>
      <c r="BC422" s="91"/>
      <c r="BD422" s="91"/>
      <c r="BE422" s="91"/>
      <c r="BF422" s="91"/>
      <c r="BG422" s="91"/>
      <c r="BH422" s="91"/>
      <c r="BI422" s="91"/>
      <c r="BJ422" s="91"/>
      <c r="BK422" s="91"/>
      <c r="BL422" s="91"/>
      <c r="BM422" s="91"/>
      <c r="BN422" s="91"/>
      <c r="BO422" s="91"/>
      <c r="BP422" s="91"/>
      <c r="BQ422" s="91"/>
      <c r="BR422" s="91"/>
    </row>
    <row r="423" spans="1:70" ht="15.75" customHeight="1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  <c r="AU423" s="91"/>
      <c r="AV423" s="91"/>
      <c r="AW423" s="91"/>
      <c r="AX423" s="91"/>
      <c r="AY423" s="91"/>
      <c r="AZ423" s="91"/>
      <c r="BA423" s="91"/>
      <c r="BB423" s="91"/>
      <c r="BC423" s="91"/>
      <c r="BD423" s="91"/>
      <c r="BE423" s="91"/>
      <c r="BF423" s="91"/>
      <c r="BG423" s="91"/>
      <c r="BH423" s="91"/>
      <c r="BI423" s="91"/>
      <c r="BJ423" s="91"/>
      <c r="BK423" s="91"/>
      <c r="BL423" s="91"/>
      <c r="BM423" s="91"/>
      <c r="BN423" s="91"/>
      <c r="BO423" s="91"/>
      <c r="BP423" s="91"/>
      <c r="BQ423" s="91"/>
      <c r="BR423" s="91"/>
    </row>
    <row r="424" spans="1:70" ht="15.75" customHeight="1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  <c r="AU424" s="91"/>
      <c r="AV424" s="91"/>
      <c r="AW424" s="91"/>
      <c r="AX424" s="91"/>
      <c r="AY424" s="91"/>
      <c r="AZ424" s="91"/>
      <c r="BA424" s="91"/>
      <c r="BB424" s="91"/>
      <c r="BC424" s="91"/>
      <c r="BD424" s="91"/>
      <c r="BE424" s="91"/>
      <c r="BF424" s="91"/>
      <c r="BG424" s="91"/>
      <c r="BH424" s="91"/>
      <c r="BI424" s="91"/>
      <c r="BJ424" s="91"/>
      <c r="BK424" s="91"/>
      <c r="BL424" s="91"/>
      <c r="BM424" s="91"/>
      <c r="BN424" s="91"/>
      <c r="BO424" s="91"/>
      <c r="BP424" s="91"/>
      <c r="BQ424" s="91"/>
      <c r="BR424" s="91"/>
    </row>
    <row r="425" spans="1:70" ht="15.75" customHeight="1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  <c r="AU425" s="91"/>
      <c r="AV425" s="91"/>
      <c r="AW425" s="91"/>
      <c r="AX425" s="91"/>
      <c r="AY425" s="91"/>
      <c r="AZ425" s="91"/>
      <c r="BA425" s="91"/>
      <c r="BB425" s="91"/>
      <c r="BC425" s="91"/>
      <c r="BD425" s="91"/>
      <c r="BE425" s="91"/>
      <c r="BF425" s="91"/>
      <c r="BG425" s="91"/>
      <c r="BH425" s="91"/>
      <c r="BI425" s="91"/>
      <c r="BJ425" s="91"/>
      <c r="BK425" s="91"/>
      <c r="BL425" s="91"/>
      <c r="BM425" s="91"/>
      <c r="BN425" s="91"/>
      <c r="BO425" s="91"/>
      <c r="BP425" s="91"/>
      <c r="BQ425" s="91"/>
      <c r="BR425" s="91"/>
    </row>
    <row r="426" spans="1:70" ht="15.75" customHeight="1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  <c r="AU426" s="91"/>
      <c r="AV426" s="91"/>
      <c r="AW426" s="91"/>
      <c r="AX426" s="91"/>
      <c r="AY426" s="91"/>
      <c r="AZ426" s="91"/>
      <c r="BA426" s="91"/>
      <c r="BB426" s="91"/>
      <c r="BC426" s="91"/>
      <c r="BD426" s="91"/>
      <c r="BE426" s="91"/>
      <c r="BF426" s="91"/>
      <c r="BG426" s="91"/>
      <c r="BH426" s="91"/>
      <c r="BI426" s="91"/>
      <c r="BJ426" s="91"/>
      <c r="BK426" s="91"/>
      <c r="BL426" s="91"/>
      <c r="BM426" s="91"/>
      <c r="BN426" s="91"/>
      <c r="BO426" s="91"/>
      <c r="BP426" s="91"/>
      <c r="BQ426" s="91"/>
      <c r="BR426" s="91"/>
    </row>
    <row r="427" spans="1:70" ht="15.75" customHeight="1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  <c r="AU427" s="91"/>
      <c r="AV427" s="91"/>
      <c r="AW427" s="91"/>
      <c r="AX427" s="91"/>
      <c r="AY427" s="91"/>
      <c r="AZ427" s="91"/>
      <c r="BA427" s="91"/>
      <c r="BB427" s="91"/>
      <c r="BC427" s="91"/>
      <c r="BD427" s="91"/>
      <c r="BE427" s="91"/>
      <c r="BF427" s="91"/>
      <c r="BG427" s="91"/>
      <c r="BH427" s="91"/>
      <c r="BI427" s="91"/>
      <c r="BJ427" s="91"/>
      <c r="BK427" s="91"/>
      <c r="BL427" s="91"/>
      <c r="BM427" s="91"/>
      <c r="BN427" s="91"/>
      <c r="BO427" s="91"/>
      <c r="BP427" s="91"/>
      <c r="BQ427" s="91"/>
      <c r="BR427" s="91"/>
    </row>
    <row r="428" spans="1:70" ht="15.75" customHeight="1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  <c r="AU428" s="91"/>
      <c r="AV428" s="91"/>
      <c r="AW428" s="91"/>
      <c r="AX428" s="91"/>
      <c r="AY428" s="91"/>
      <c r="AZ428" s="91"/>
      <c r="BA428" s="91"/>
      <c r="BB428" s="91"/>
      <c r="BC428" s="91"/>
      <c r="BD428" s="91"/>
      <c r="BE428" s="91"/>
      <c r="BF428" s="91"/>
      <c r="BG428" s="91"/>
      <c r="BH428" s="91"/>
      <c r="BI428" s="91"/>
      <c r="BJ428" s="91"/>
      <c r="BK428" s="91"/>
      <c r="BL428" s="91"/>
      <c r="BM428" s="91"/>
      <c r="BN428" s="91"/>
      <c r="BO428" s="91"/>
      <c r="BP428" s="91"/>
      <c r="BQ428" s="91"/>
      <c r="BR428" s="91"/>
    </row>
    <row r="429" spans="1:70" ht="15.75" customHeight="1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  <c r="AU429" s="91"/>
      <c r="AV429" s="91"/>
      <c r="AW429" s="91"/>
      <c r="AX429" s="91"/>
      <c r="AY429" s="91"/>
      <c r="AZ429" s="91"/>
      <c r="BA429" s="91"/>
      <c r="BB429" s="91"/>
      <c r="BC429" s="91"/>
      <c r="BD429" s="91"/>
      <c r="BE429" s="91"/>
      <c r="BF429" s="91"/>
      <c r="BG429" s="91"/>
      <c r="BH429" s="91"/>
      <c r="BI429" s="91"/>
      <c r="BJ429" s="91"/>
      <c r="BK429" s="91"/>
      <c r="BL429" s="91"/>
      <c r="BM429" s="91"/>
      <c r="BN429" s="91"/>
      <c r="BO429" s="91"/>
      <c r="BP429" s="91"/>
      <c r="BQ429" s="91"/>
      <c r="BR429" s="91"/>
    </row>
    <row r="430" spans="1:70" ht="15.75" customHeight="1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  <c r="AU430" s="91"/>
      <c r="AV430" s="91"/>
      <c r="AW430" s="91"/>
      <c r="AX430" s="91"/>
      <c r="AY430" s="91"/>
      <c r="AZ430" s="91"/>
      <c r="BA430" s="91"/>
      <c r="BB430" s="91"/>
      <c r="BC430" s="91"/>
      <c r="BD430" s="91"/>
      <c r="BE430" s="91"/>
      <c r="BF430" s="91"/>
      <c r="BG430" s="91"/>
      <c r="BH430" s="91"/>
      <c r="BI430" s="91"/>
      <c r="BJ430" s="91"/>
      <c r="BK430" s="91"/>
      <c r="BL430" s="91"/>
      <c r="BM430" s="91"/>
      <c r="BN430" s="91"/>
      <c r="BO430" s="91"/>
      <c r="BP430" s="91"/>
      <c r="BQ430" s="91"/>
      <c r="BR430" s="91"/>
    </row>
    <row r="431" spans="1:70" ht="15.75" customHeight="1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  <c r="AU431" s="91"/>
      <c r="AV431" s="91"/>
      <c r="AW431" s="91"/>
      <c r="AX431" s="91"/>
      <c r="AY431" s="91"/>
      <c r="AZ431" s="91"/>
      <c r="BA431" s="91"/>
      <c r="BB431" s="91"/>
      <c r="BC431" s="91"/>
      <c r="BD431" s="91"/>
      <c r="BE431" s="91"/>
      <c r="BF431" s="91"/>
      <c r="BG431" s="91"/>
      <c r="BH431" s="91"/>
      <c r="BI431" s="91"/>
      <c r="BJ431" s="91"/>
      <c r="BK431" s="91"/>
      <c r="BL431" s="91"/>
      <c r="BM431" s="91"/>
      <c r="BN431" s="91"/>
      <c r="BO431" s="91"/>
      <c r="BP431" s="91"/>
      <c r="BQ431" s="91"/>
      <c r="BR431" s="91"/>
    </row>
    <row r="432" spans="1:70" ht="15.75" customHeight="1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  <c r="AU432" s="91"/>
      <c r="AV432" s="91"/>
      <c r="AW432" s="91"/>
      <c r="AX432" s="91"/>
      <c r="AY432" s="91"/>
      <c r="AZ432" s="91"/>
      <c r="BA432" s="91"/>
      <c r="BB432" s="91"/>
      <c r="BC432" s="91"/>
      <c r="BD432" s="91"/>
      <c r="BE432" s="91"/>
      <c r="BF432" s="91"/>
      <c r="BG432" s="91"/>
      <c r="BH432" s="91"/>
      <c r="BI432" s="91"/>
      <c r="BJ432" s="91"/>
      <c r="BK432" s="91"/>
      <c r="BL432" s="91"/>
      <c r="BM432" s="91"/>
      <c r="BN432" s="91"/>
      <c r="BO432" s="91"/>
      <c r="BP432" s="91"/>
      <c r="BQ432" s="91"/>
      <c r="BR432" s="91"/>
    </row>
    <row r="433" spans="1:70" ht="15.75" customHeight="1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  <c r="AU433" s="91"/>
      <c r="AV433" s="91"/>
      <c r="AW433" s="91"/>
      <c r="AX433" s="91"/>
      <c r="AY433" s="91"/>
      <c r="AZ433" s="91"/>
      <c r="BA433" s="91"/>
      <c r="BB433" s="91"/>
      <c r="BC433" s="91"/>
      <c r="BD433" s="91"/>
      <c r="BE433" s="91"/>
      <c r="BF433" s="91"/>
      <c r="BG433" s="91"/>
      <c r="BH433" s="91"/>
      <c r="BI433" s="91"/>
      <c r="BJ433" s="91"/>
      <c r="BK433" s="91"/>
      <c r="BL433" s="91"/>
      <c r="BM433" s="91"/>
      <c r="BN433" s="91"/>
      <c r="BO433" s="91"/>
      <c r="BP433" s="91"/>
      <c r="BQ433" s="91"/>
      <c r="BR433" s="91"/>
    </row>
    <row r="434" spans="1:70" ht="15.75" customHeight="1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  <c r="AU434" s="91"/>
      <c r="AV434" s="91"/>
      <c r="AW434" s="91"/>
      <c r="AX434" s="91"/>
      <c r="AY434" s="91"/>
      <c r="AZ434" s="91"/>
      <c r="BA434" s="91"/>
      <c r="BB434" s="91"/>
      <c r="BC434" s="91"/>
      <c r="BD434" s="91"/>
      <c r="BE434" s="91"/>
      <c r="BF434" s="91"/>
      <c r="BG434" s="91"/>
      <c r="BH434" s="91"/>
      <c r="BI434" s="91"/>
      <c r="BJ434" s="91"/>
      <c r="BK434" s="91"/>
      <c r="BL434" s="91"/>
      <c r="BM434" s="91"/>
      <c r="BN434" s="91"/>
      <c r="BO434" s="91"/>
      <c r="BP434" s="91"/>
      <c r="BQ434" s="91"/>
      <c r="BR434" s="91"/>
    </row>
    <row r="435" spans="1:70" ht="15.75" customHeight="1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  <c r="AU435" s="91"/>
      <c r="AV435" s="91"/>
      <c r="AW435" s="91"/>
      <c r="AX435" s="91"/>
      <c r="AY435" s="91"/>
      <c r="AZ435" s="91"/>
      <c r="BA435" s="91"/>
      <c r="BB435" s="91"/>
      <c r="BC435" s="91"/>
      <c r="BD435" s="91"/>
      <c r="BE435" s="91"/>
      <c r="BF435" s="91"/>
      <c r="BG435" s="91"/>
      <c r="BH435" s="91"/>
      <c r="BI435" s="91"/>
      <c r="BJ435" s="91"/>
      <c r="BK435" s="91"/>
      <c r="BL435" s="91"/>
      <c r="BM435" s="91"/>
      <c r="BN435" s="91"/>
      <c r="BO435" s="91"/>
      <c r="BP435" s="91"/>
      <c r="BQ435" s="91"/>
      <c r="BR435" s="91"/>
    </row>
    <row r="436" spans="1:70" ht="15.75" customHeight="1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  <c r="AU436" s="91"/>
      <c r="AV436" s="91"/>
      <c r="AW436" s="91"/>
      <c r="AX436" s="91"/>
      <c r="AY436" s="91"/>
      <c r="AZ436" s="91"/>
      <c r="BA436" s="91"/>
      <c r="BB436" s="91"/>
      <c r="BC436" s="91"/>
      <c r="BD436" s="91"/>
      <c r="BE436" s="91"/>
      <c r="BF436" s="91"/>
      <c r="BG436" s="91"/>
      <c r="BH436" s="91"/>
      <c r="BI436" s="91"/>
      <c r="BJ436" s="91"/>
      <c r="BK436" s="91"/>
      <c r="BL436" s="91"/>
      <c r="BM436" s="91"/>
      <c r="BN436" s="91"/>
      <c r="BO436" s="91"/>
      <c r="BP436" s="91"/>
      <c r="BQ436" s="91"/>
      <c r="BR436" s="91"/>
    </row>
    <row r="437" spans="1:70" ht="15.75" customHeight="1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  <c r="AU437" s="91"/>
      <c r="AV437" s="91"/>
      <c r="AW437" s="91"/>
      <c r="AX437" s="91"/>
      <c r="AY437" s="91"/>
      <c r="AZ437" s="91"/>
      <c r="BA437" s="91"/>
      <c r="BB437" s="91"/>
      <c r="BC437" s="91"/>
      <c r="BD437" s="91"/>
      <c r="BE437" s="91"/>
      <c r="BF437" s="91"/>
      <c r="BG437" s="91"/>
      <c r="BH437" s="91"/>
      <c r="BI437" s="91"/>
      <c r="BJ437" s="91"/>
      <c r="BK437" s="91"/>
      <c r="BL437" s="91"/>
      <c r="BM437" s="91"/>
      <c r="BN437" s="91"/>
      <c r="BO437" s="91"/>
      <c r="BP437" s="91"/>
      <c r="BQ437" s="91"/>
      <c r="BR437" s="91"/>
    </row>
    <row r="438" spans="1:70" ht="15.75" customHeight="1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  <c r="AU438" s="91"/>
      <c r="AV438" s="91"/>
      <c r="AW438" s="91"/>
      <c r="AX438" s="91"/>
      <c r="AY438" s="91"/>
      <c r="AZ438" s="91"/>
      <c r="BA438" s="91"/>
      <c r="BB438" s="91"/>
      <c r="BC438" s="91"/>
      <c r="BD438" s="91"/>
      <c r="BE438" s="91"/>
      <c r="BF438" s="91"/>
      <c r="BG438" s="91"/>
      <c r="BH438" s="91"/>
      <c r="BI438" s="91"/>
      <c r="BJ438" s="91"/>
      <c r="BK438" s="91"/>
      <c r="BL438" s="91"/>
      <c r="BM438" s="91"/>
      <c r="BN438" s="91"/>
      <c r="BO438" s="91"/>
      <c r="BP438" s="91"/>
      <c r="BQ438" s="91"/>
      <c r="BR438" s="91"/>
    </row>
    <row r="439" spans="1:70" ht="15.75" customHeight="1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  <c r="AU439" s="91"/>
      <c r="AV439" s="91"/>
      <c r="AW439" s="91"/>
      <c r="AX439" s="91"/>
      <c r="AY439" s="91"/>
      <c r="AZ439" s="91"/>
      <c r="BA439" s="91"/>
      <c r="BB439" s="91"/>
      <c r="BC439" s="91"/>
      <c r="BD439" s="91"/>
      <c r="BE439" s="91"/>
      <c r="BF439" s="91"/>
      <c r="BG439" s="91"/>
      <c r="BH439" s="91"/>
      <c r="BI439" s="91"/>
      <c r="BJ439" s="91"/>
      <c r="BK439" s="91"/>
      <c r="BL439" s="91"/>
      <c r="BM439" s="91"/>
      <c r="BN439" s="91"/>
      <c r="BO439" s="91"/>
      <c r="BP439" s="91"/>
      <c r="BQ439" s="91"/>
      <c r="BR439" s="91"/>
    </row>
    <row r="440" spans="1:70" ht="15.75" customHeight="1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  <c r="AU440" s="91"/>
      <c r="AV440" s="91"/>
      <c r="AW440" s="91"/>
      <c r="AX440" s="91"/>
      <c r="AY440" s="91"/>
      <c r="AZ440" s="91"/>
      <c r="BA440" s="91"/>
      <c r="BB440" s="91"/>
      <c r="BC440" s="91"/>
      <c r="BD440" s="91"/>
      <c r="BE440" s="91"/>
      <c r="BF440" s="91"/>
      <c r="BG440" s="91"/>
      <c r="BH440" s="91"/>
      <c r="BI440" s="91"/>
      <c r="BJ440" s="91"/>
      <c r="BK440" s="91"/>
      <c r="BL440" s="91"/>
      <c r="BM440" s="91"/>
      <c r="BN440" s="91"/>
      <c r="BO440" s="91"/>
      <c r="BP440" s="91"/>
      <c r="BQ440" s="91"/>
      <c r="BR440" s="91"/>
    </row>
    <row r="441" spans="1:70" ht="15.75" customHeight="1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  <c r="AU441" s="91"/>
      <c r="AV441" s="91"/>
      <c r="AW441" s="91"/>
      <c r="AX441" s="91"/>
      <c r="AY441" s="91"/>
      <c r="AZ441" s="91"/>
      <c r="BA441" s="91"/>
      <c r="BB441" s="91"/>
      <c r="BC441" s="91"/>
      <c r="BD441" s="91"/>
      <c r="BE441" s="91"/>
      <c r="BF441" s="91"/>
      <c r="BG441" s="91"/>
      <c r="BH441" s="91"/>
      <c r="BI441" s="91"/>
      <c r="BJ441" s="91"/>
      <c r="BK441" s="91"/>
      <c r="BL441" s="91"/>
      <c r="BM441" s="91"/>
      <c r="BN441" s="91"/>
      <c r="BO441" s="91"/>
      <c r="BP441" s="91"/>
      <c r="BQ441" s="91"/>
      <c r="BR441" s="91"/>
    </row>
    <row r="442" spans="1:70" ht="15.75" customHeight="1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  <c r="AU442" s="91"/>
      <c r="AV442" s="91"/>
      <c r="AW442" s="91"/>
      <c r="AX442" s="91"/>
      <c r="AY442" s="91"/>
      <c r="AZ442" s="91"/>
      <c r="BA442" s="91"/>
      <c r="BB442" s="91"/>
      <c r="BC442" s="91"/>
      <c r="BD442" s="91"/>
      <c r="BE442" s="91"/>
      <c r="BF442" s="91"/>
      <c r="BG442" s="91"/>
      <c r="BH442" s="91"/>
      <c r="BI442" s="91"/>
      <c r="BJ442" s="91"/>
      <c r="BK442" s="91"/>
      <c r="BL442" s="91"/>
      <c r="BM442" s="91"/>
      <c r="BN442" s="91"/>
      <c r="BO442" s="91"/>
      <c r="BP442" s="91"/>
      <c r="BQ442" s="91"/>
      <c r="BR442" s="91"/>
    </row>
    <row r="443" spans="1:70" ht="15.75" customHeight="1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  <c r="AU443" s="91"/>
      <c r="AV443" s="91"/>
      <c r="AW443" s="91"/>
      <c r="AX443" s="91"/>
      <c r="AY443" s="91"/>
      <c r="AZ443" s="91"/>
      <c r="BA443" s="91"/>
      <c r="BB443" s="91"/>
      <c r="BC443" s="91"/>
      <c r="BD443" s="91"/>
      <c r="BE443" s="91"/>
      <c r="BF443" s="91"/>
      <c r="BG443" s="91"/>
      <c r="BH443" s="91"/>
      <c r="BI443" s="91"/>
      <c r="BJ443" s="91"/>
      <c r="BK443" s="91"/>
      <c r="BL443" s="91"/>
      <c r="BM443" s="91"/>
      <c r="BN443" s="91"/>
      <c r="BO443" s="91"/>
      <c r="BP443" s="91"/>
      <c r="BQ443" s="91"/>
      <c r="BR443" s="91"/>
    </row>
    <row r="444" spans="1:70" ht="15.75" customHeight="1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  <c r="AU444" s="91"/>
      <c r="AV444" s="91"/>
      <c r="AW444" s="91"/>
      <c r="AX444" s="91"/>
      <c r="AY444" s="91"/>
      <c r="AZ444" s="91"/>
      <c r="BA444" s="91"/>
      <c r="BB444" s="91"/>
      <c r="BC444" s="91"/>
      <c r="BD444" s="91"/>
      <c r="BE444" s="91"/>
      <c r="BF444" s="91"/>
      <c r="BG444" s="91"/>
      <c r="BH444" s="91"/>
      <c r="BI444" s="91"/>
      <c r="BJ444" s="91"/>
      <c r="BK444" s="91"/>
      <c r="BL444" s="91"/>
      <c r="BM444" s="91"/>
      <c r="BN444" s="91"/>
      <c r="BO444" s="91"/>
      <c r="BP444" s="91"/>
      <c r="BQ444" s="91"/>
      <c r="BR444" s="91"/>
    </row>
    <row r="445" spans="1:70" ht="15.75" customHeight="1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  <c r="AU445" s="91"/>
      <c r="AV445" s="91"/>
      <c r="AW445" s="91"/>
      <c r="AX445" s="91"/>
      <c r="AY445" s="91"/>
      <c r="AZ445" s="91"/>
      <c r="BA445" s="91"/>
      <c r="BB445" s="91"/>
      <c r="BC445" s="91"/>
      <c r="BD445" s="91"/>
      <c r="BE445" s="91"/>
      <c r="BF445" s="91"/>
      <c r="BG445" s="91"/>
      <c r="BH445" s="91"/>
      <c r="BI445" s="91"/>
      <c r="BJ445" s="91"/>
      <c r="BK445" s="91"/>
      <c r="BL445" s="91"/>
      <c r="BM445" s="91"/>
      <c r="BN445" s="91"/>
      <c r="BO445" s="91"/>
      <c r="BP445" s="91"/>
      <c r="BQ445" s="91"/>
      <c r="BR445" s="91"/>
    </row>
    <row r="446" spans="1:70" ht="15.75" customHeight="1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  <c r="AU446" s="91"/>
      <c r="AV446" s="91"/>
      <c r="AW446" s="91"/>
      <c r="AX446" s="91"/>
      <c r="AY446" s="91"/>
      <c r="AZ446" s="91"/>
      <c r="BA446" s="91"/>
      <c r="BB446" s="91"/>
      <c r="BC446" s="91"/>
      <c r="BD446" s="91"/>
      <c r="BE446" s="91"/>
      <c r="BF446" s="91"/>
      <c r="BG446" s="91"/>
      <c r="BH446" s="91"/>
      <c r="BI446" s="91"/>
      <c r="BJ446" s="91"/>
      <c r="BK446" s="91"/>
      <c r="BL446" s="91"/>
      <c r="BM446" s="91"/>
      <c r="BN446" s="91"/>
      <c r="BO446" s="91"/>
      <c r="BP446" s="91"/>
      <c r="BQ446" s="91"/>
      <c r="BR446" s="91"/>
    </row>
    <row r="447" spans="1:70" ht="15.75" customHeight="1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  <c r="AU447" s="91"/>
      <c r="AV447" s="91"/>
      <c r="AW447" s="91"/>
      <c r="AX447" s="91"/>
      <c r="AY447" s="91"/>
      <c r="AZ447" s="91"/>
      <c r="BA447" s="91"/>
      <c r="BB447" s="91"/>
      <c r="BC447" s="91"/>
      <c r="BD447" s="91"/>
      <c r="BE447" s="91"/>
      <c r="BF447" s="91"/>
      <c r="BG447" s="91"/>
      <c r="BH447" s="91"/>
      <c r="BI447" s="91"/>
      <c r="BJ447" s="91"/>
      <c r="BK447" s="91"/>
      <c r="BL447" s="91"/>
      <c r="BM447" s="91"/>
      <c r="BN447" s="91"/>
      <c r="BO447" s="91"/>
      <c r="BP447" s="91"/>
      <c r="BQ447" s="91"/>
      <c r="BR447" s="91"/>
    </row>
    <row r="448" spans="1:70" ht="15.75" customHeight="1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  <c r="AU448" s="91"/>
      <c r="AV448" s="91"/>
      <c r="AW448" s="91"/>
      <c r="AX448" s="91"/>
      <c r="AY448" s="91"/>
      <c r="AZ448" s="91"/>
      <c r="BA448" s="91"/>
      <c r="BB448" s="91"/>
      <c r="BC448" s="91"/>
      <c r="BD448" s="91"/>
      <c r="BE448" s="91"/>
      <c r="BF448" s="91"/>
      <c r="BG448" s="91"/>
      <c r="BH448" s="91"/>
      <c r="BI448" s="91"/>
      <c r="BJ448" s="91"/>
      <c r="BK448" s="91"/>
      <c r="BL448" s="91"/>
      <c r="BM448" s="91"/>
      <c r="BN448" s="91"/>
      <c r="BO448" s="91"/>
      <c r="BP448" s="91"/>
      <c r="BQ448" s="91"/>
      <c r="BR448" s="91"/>
    </row>
    <row r="449" spans="1:70" ht="15.75" customHeight="1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  <c r="AU449" s="91"/>
      <c r="AV449" s="91"/>
      <c r="AW449" s="91"/>
      <c r="AX449" s="91"/>
      <c r="AY449" s="91"/>
      <c r="AZ449" s="91"/>
      <c r="BA449" s="91"/>
      <c r="BB449" s="91"/>
      <c r="BC449" s="91"/>
      <c r="BD449" s="91"/>
      <c r="BE449" s="91"/>
      <c r="BF449" s="91"/>
      <c r="BG449" s="91"/>
      <c r="BH449" s="91"/>
      <c r="BI449" s="91"/>
      <c r="BJ449" s="91"/>
      <c r="BK449" s="91"/>
      <c r="BL449" s="91"/>
      <c r="BM449" s="91"/>
      <c r="BN449" s="91"/>
      <c r="BO449" s="91"/>
      <c r="BP449" s="91"/>
      <c r="BQ449" s="91"/>
      <c r="BR449" s="91"/>
    </row>
    <row r="450" spans="1:70" ht="15.75" customHeight="1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  <c r="AU450" s="91"/>
      <c r="AV450" s="91"/>
      <c r="AW450" s="91"/>
      <c r="AX450" s="91"/>
      <c r="AY450" s="91"/>
      <c r="AZ450" s="91"/>
      <c r="BA450" s="91"/>
      <c r="BB450" s="91"/>
      <c r="BC450" s="91"/>
      <c r="BD450" s="91"/>
      <c r="BE450" s="91"/>
      <c r="BF450" s="91"/>
      <c r="BG450" s="91"/>
      <c r="BH450" s="91"/>
      <c r="BI450" s="91"/>
      <c r="BJ450" s="91"/>
      <c r="BK450" s="91"/>
      <c r="BL450" s="91"/>
      <c r="BM450" s="91"/>
      <c r="BN450" s="91"/>
      <c r="BO450" s="91"/>
      <c r="BP450" s="91"/>
      <c r="BQ450" s="91"/>
      <c r="BR450" s="91"/>
    </row>
    <row r="451" spans="1:70" ht="15.75" customHeight="1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  <c r="AU451" s="91"/>
      <c r="AV451" s="91"/>
      <c r="AW451" s="91"/>
      <c r="AX451" s="91"/>
      <c r="AY451" s="91"/>
      <c r="AZ451" s="91"/>
      <c r="BA451" s="91"/>
      <c r="BB451" s="91"/>
      <c r="BC451" s="91"/>
      <c r="BD451" s="91"/>
      <c r="BE451" s="91"/>
      <c r="BF451" s="91"/>
      <c r="BG451" s="91"/>
      <c r="BH451" s="91"/>
      <c r="BI451" s="91"/>
      <c r="BJ451" s="91"/>
      <c r="BK451" s="91"/>
      <c r="BL451" s="91"/>
      <c r="BM451" s="91"/>
      <c r="BN451" s="91"/>
      <c r="BO451" s="91"/>
      <c r="BP451" s="91"/>
      <c r="BQ451" s="91"/>
      <c r="BR451" s="91"/>
    </row>
    <row r="452" spans="1:70" ht="15.75" customHeight="1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  <c r="AU452" s="91"/>
      <c r="AV452" s="91"/>
      <c r="AW452" s="91"/>
      <c r="AX452" s="91"/>
      <c r="AY452" s="91"/>
      <c r="AZ452" s="91"/>
      <c r="BA452" s="91"/>
      <c r="BB452" s="91"/>
      <c r="BC452" s="91"/>
      <c r="BD452" s="91"/>
      <c r="BE452" s="91"/>
      <c r="BF452" s="91"/>
      <c r="BG452" s="91"/>
      <c r="BH452" s="91"/>
      <c r="BI452" s="91"/>
      <c r="BJ452" s="91"/>
      <c r="BK452" s="91"/>
      <c r="BL452" s="91"/>
      <c r="BM452" s="91"/>
      <c r="BN452" s="91"/>
      <c r="BO452" s="91"/>
      <c r="BP452" s="91"/>
      <c r="BQ452" s="91"/>
      <c r="BR452" s="91"/>
    </row>
    <row r="453" spans="1:70" ht="15.75" customHeight="1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  <c r="AU453" s="91"/>
      <c r="AV453" s="91"/>
      <c r="AW453" s="91"/>
      <c r="AX453" s="91"/>
      <c r="AY453" s="91"/>
      <c r="AZ453" s="91"/>
      <c r="BA453" s="91"/>
      <c r="BB453" s="91"/>
      <c r="BC453" s="91"/>
      <c r="BD453" s="91"/>
      <c r="BE453" s="91"/>
      <c r="BF453" s="91"/>
      <c r="BG453" s="91"/>
      <c r="BH453" s="91"/>
      <c r="BI453" s="91"/>
      <c r="BJ453" s="91"/>
      <c r="BK453" s="91"/>
      <c r="BL453" s="91"/>
      <c r="BM453" s="91"/>
      <c r="BN453" s="91"/>
      <c r="BO453" s="91"/>
      <c r="BP453" s="91"/>
      <c r="BQ453" s="91"/>
      <c r="BR453" s="91"/>
    </row>
    <row r="454" spans="1:70" ht="15.75" customHeight="1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  <c r="AU454" s="91"/>
      <c r="AV454" s="91"/>
      <c r="AW454" s="91"/>
      <c r="AX454" s="91"/>
      <c r="AY454" s="91"/>
      <c r="AZ454" s="91"/>
      <c r="BA454" s="91"/>
      <c r="BB454" s="91"/>
      <c r="BC454" s="91"/>
      <c r="BD454" s="91"/>
      <c r="BE454" s="91"/>
      <c r="BF454" s="91"/>
      <c r="BG454" s="91"/>
      <c r="BH454" s="91"/>
      <c r="BI454" s="91"/>
      <c r="BJ454" s="91"/>
      <c r="BK454" s="91"/>
      <c r="BL454" s="91"/>
      <c r="BM454" s="91"/>
      <c r="BN454" s="91"/>
      <c r="BO454" s="91"/>
      <c r="BP454" s="91"/>
      <c r="BQ454" s="91"/>
      <c r="BR454" s="91"/>
    </row>
    <row r="455" spans="1:70" ht="15.75" customHeight="1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  <c r="AU455" s="91"/>
      <c r="AV455" s="91"/>
      <c r="AW455" s="91"/>
      <c r="AX455" s="91"/>
      <c r="AY455" s="91"/>
      <c r="AZ455" s="91"/>
      <c r="BA455" s="91"/>
      <c r="BB455" s="91"/>
      <c r="BC455" s="91"/>
      <c r="BD455" s="91"/>
      <c r="BE455" s="91"/>
      <c r="BF455" s="91"/>
      <c r="BG455" s="91"/>
      <c r="BH455" s="91"/>
      <c r="BI455" s="91"/>
      <c r="BJ455" s="91"/>
      <c r="BK455" s="91"/>
      <c r="BL455" s="91"/>
      <c r="BM455" s="91"/>
      <c r="BN455" s="91"/>
      <c r="BO455" s="91"/>
      <c r="BP455" s="91"/>
      <c r="BQ455" s="91"/>
      <c r="BR455" s="91"/>
    </row>
    <row r="456" spans="1:70" ht="15.75" customHeight="1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  <c r="AU456" s="91"/>
      <c r="AV456" s="91"/>
      <c r="AW456" s="91"/>
      <c r="AX456" s="91"/>
      <c r="AY456" s="91"/>
      <c r="AZ456" s="91"/>
      <c r="BA456" s="91"/>
      <c r="BB456" s="91"/>
      <c r="BC456" s="91"/>
      <c r="BD456" s="91"/>
      <c r="BE456" s="91"/>
      <c r="BF456" s="91"/>
      <c r="BG456" s="91"/>
      <c r="BH456" s="91"/>
      <c r="BI456" s="91"/>
      <c r="BJ456" s="91"/>
      <c r="BK456" s="91"/>
      <c r="BL456" s="91"/>
      <c r="BM456" s="91"/>
      <c r="BN456" s="91"/>
      <c r="BO456" s="91"/>
      <c r="BP456" s="91"/>
      <c r="BQ456" s="91"/>
      <c r="BR456" s="91"/>
    </row>
    <row r="457" spans="1:70" ht="15.75" customHeight="1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  <c r="AU457" s="91"/>
      <c r="AV457" s="91"/>
      <c r="AW457" s="91"/>
      <c r="AX457" s="91"/>
      <c r="AY457" s="91"/>
      <c r="AZ457" s="91"/>
      <c r="BA457" s="91"/>
      <c r="BB457" s="91"/>
      <c r="BC457" s="91"/>
      <c r="BD457" s="91"/>
      <c r="BE457" s="91"/>
      <c r="BF457" s="91"/>
      <c r="BG457" s="91"/>
      <c r="BH457" s="91"/>
      <c r="BI457" s="91"/>
      <c r="BJ457" s="91"/>
      <c r="BK457" s="91"/>
      <c r="BL457" s="91"/>
      <c r="BM457" s="91"/>
      <c r="BN457" s="91"/>
      <c r="BO457" s="91"/>
      <c r="BP457" s="91"/>
      <c r="BQ457" s="91"/>
      <c r="BR457" s="91"/>
    </row>
    <row r="458" spans="1:70" ht="15.75" customHeight="1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  <c r="AU458" s="91"/>
      <c r="AV458" s="91"/>
      <c r="AW458" s="91"/>
      <c r="AX458" s="91"/>
      <c r="AY458" s="91"/>
      <c r="AZ458" s="91"/>
      <c r="BA458" s="91"/>
      <c r="BB458" s="91"/>
      <c r="BC458" s="91"/>
      <c r="BD458" s="91"/>
      <c r="BE458" s="91"/>
      <c r="BF458" s="91"/>
      <c r="BG458" s="91"/>
      <c r="BH458" s="91"/>
      <c r="BI458" s="91"/>
      <c r="BJ458" s="91"/>
      <c r="BK458" s="91"/>
      <c r="BL458" s="91"/>
      <c r="BM458" s="91"/>
      <c r="BN458" s="91"/>
      <c r="BO458" s="91"/>
      <c r="BP458" s="91"/>
      <c r="BQ458" s="91"/>
      <c r="BR458" s="91"/>
    </row>
    <row r="459" spans="1:70" ht="15.75" customHeight="1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  <c r="AU459" s="91"/>
      <c r="AV459" s="91"/>
      <c r="AW459" s="91"/>
      <c r="AX459" s="91"/>
      <c r="AY459" s="91"/>
      <c r="AZ459" s="91"/>
      <c r="BA459" s="91"/>
      <c r="BB459" s="91"/>
      <c r="BC459" s="91"/>
      <c r="BD459" s="91"/>
      <c r="BE459" s="91"/>
      <c r="BF459" s="91"/>
      <c r="BG459" s="91"/>
      <c r="BH459" s="91"/>
      <c r="BI459" s="91"/>
      <c r="BJ459" s="91"/>
      <c r="BK459" s="91"/>
      <c r="BL459" s="91"/>
      <c r="BM459" s="91"/>
      <c r="BN459" s="91"/>
      <c r="BO459" s="91"/>
      <c r="BP459" s="91"/>
      <c r="BQ459" s="91"/>
      <c r="BR459" s="91"/>
    </row>
    <row r="460" spans="1:70" ht="15.75" customHeight="1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  <c r="AU460" s="91"/>
      <c r="AV460" s="91"/>
      <c r="AW460" s="91"/>
      <c r="AX460" s="91"/>
      <c r="AY460" s="91"/>
      <c r="AZ460" s="91"/>
      <c r="BA460" s="91"/>
      <c r="BB460" s="91"/>
      <c r="BC460" s="91"/>
      <c r="BD460" s="91"/>
      <c r="BE460" s="91"/>
      <c r="BF460" s="91"/>
      <c r="BG460" s="91"/>
      <c r="BH460" s="91"/>
      <c r="BI460" s="91"/>
      <c r="BJ460" s="91"/>
      <c r="BK460" s="91"/>
      <c r="BL460" s="91"/>
      <c r="BM460" s="91"/>
      <c r="BN460" s="91"/>
      <c r="BO460" s="91"/>
      <c r="BP460" s="91"/>
      <c r="BQ460" s="91"/>
      <c r="BR460" s="91"/>
    </row>
    <row r="461" spans="1:70" ht="15.75" customHeight="1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  <c r="AU461" s="91"/>
      <c r="AV461" s="91"/>
      <c r="AW461" s="91"/>
      <c r="AX461" s="91"/>
      <c r="AY461" s="91"/>
      <c r="AZ461" s="91"/>
      <c r="BA461" s="91"/>
      <c r="BB461" s="91"/>
      <c r="BC461" s="91"/>
      <c r="BD461" s="91"/>
      <c r="BE461" s="91"/>
      <c r="BF461" s="91"/>
      <c r="BG461" s="91"/>
      <c r="BH461" s="91"/>
      <c r="BI461" s="91"/>
      <c r="BJ461" s="91"/>
      <c r="BK461" s="91"/>
      <c r="BL461" s="91"/>
      <c r="BM461" s="91"/>
      <c r="BN461" s="91"/>
      <c r="BO461" s="91"/>
      <c r="BP461" s="91"/>
      <c r="BQ461" s="91"/>
      <c r="BR461" s="91"/>
    </row>
    <row r="462" spans="1:70" ht="15.75" customHeight="1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  <c r="AU462" s="91"/>
      <c r="AV462" s="91"/>
      <c r="AW462" s="91"/>
      <c r="AX462" s="91"/>
      <c r="AY462" s="91"/>
      <c r="AZ462" s="91"/>
      <c r="BA462" s="91"/>
      <c r="BB462" s="91"/>
      <c r="BC462" s="91"/>
      <c r="BD462" s="91"/>
      <c r="BE462" s="91"/>
      <c r="BF462" s="91"/>
      <c r="BG462" s="91"/>
      <c r="BH462" s="91"/>
      <c r="BI462" s="91"/>
      <c r="BJ462" s="91"/>
      <c r="BK462" s="91"/>
      <c r="BL462" s="91"/>
      <c r="BM462" s="91"/>
      <c r="BN462" s="91"/>
      <c r="BO462" s="91"/>
      <c r="BP462" s="91"/>
      <c r="BQ462" s="91"/>
      <c r="BR462" s="91"/>
    </row>
    <row r="463" spans="1:70" ht="15.75" customHeight="1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  <c r="AU463" s="91"/>
      <c r="AV463" s="91"/>
      <c r="AW463" s="91"/>
      <c r="AX463" s="91"/>
      <c r="AY463" s="91"/>
      <c r="AZ463" s="91"/>
      <c r="BA463" s="91"/>
      <c r="BB463" s="91"/>
      <c r="BC463" s="91"/>
      <c r="BD463" s="91"/>
      <c r="BE463" s="91"/>
      <c r="BF463" s="91"/>
      <c r="BG463" s="91"/>
      <c r="BH463" s="91"/>
      <c r="BI463" s="91"/>
      <c r="BJ463" s="91"/>
      <c r="BK463" s="91"/>
      <c r="BL463" s="91"/>
      <c r="BM463" s="91"/>
      <c r="BN463" s="91"/>
      <c r="BO463" s="91"/>
      <c r="BP463" s="91"/>
      <c r="BQ463" s="91"/>
      <c r="BR463" s="91"/>
    </row>
    <row r="464" spans="1:70" ht="15.75" customHeight="1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  <c r="AU464" s="91"/>
      <c r="AV464" s="91"/>
      <c r="AW464" s="91"/>
      <c r="AX464" s="91"/>
      <c r="AY464" s="91"/>
      <c r="AZ464" s="91"/>
      <c r="BA464" s="91"/>
      <c r="BB464" s="91"/>
      <c r="BC464" s="91"/>
      <c r="BD464" s="91"/>
      <c r="BE464" s="91"/>
      <c r="BF464" s="91"/>
      <c r="BG464" s="91"/>
      <c r="BH464" s="91"/>
      <c r="BI464" s="91"/>
      <c r="BJ464" s="91"/>
      <c r="BK464" s="91"/>
      <c r="BL464" s="91"/>
      <c r="BM464" s="91"/>
      <c r="BN464" s="91"/>
      <c r="BO464" s="91"/>
      <c r="BP464" s="91"/>
      <c r="BQ464" s="91"/>
      <c r="BR464" s="91"/>
    </row>
    <row r="465" spans="1:70" ht="15.75" customHeight="1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  <c r="AU465" s="91"/>
      <c r="AV465" s="91"/>
      <c r="AW465" s="91"/>
      <c r="AX465" s="91"/>
      <c r="AY465" s="91"/>
      <c r="AZ465" s="91"/>
      <c r="BA465" s="91"/>
      <c r="BB465" s="91"/>
      <c r="BC465" s="91"/>
      <c r="BD465" s="91"/>
      <c r="BE465" s="91"/>
      <c r="BF465" s="91"/>
      <c r="BG465" s="91"/>
      <c r="BH465" s="91"/>
      <c r="BI465" s="91"/>
      <c r="BJ465" s="91"/>
      <c r="BK465" s="91"/>
      <c r="BL465" s="91"/>
      <c r="BM465" s="91"/>
      <c r="BN465" s="91"/>
      <c r="BO465" s="91"/>
      <c r="BP465" s="91"/>
      <c r="BQ465" s="91"/>
      <c r="BR465" s="91"/>
    </row>
    <row r="466" spans="1:70" ht="15.75" customHeight="1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  <c r="AU466" s="91"/>
      <c r="AV466" s="91"/>
      <c r="AW466" s="91"/>
      <c r="AX466" s="91"/>
      <c r="AY466" s="91"/>
      <c r="AZ466" s="91"/>
      <c r="BA466" s="91"/>
      <c r="BB466" s="91"/>
      <c r="BC466" s="91"/>
      <c r="BD466" s="91"/>
      <c r="BE466" s="91"/>
      <c r="BF466" s="91"/>
      <c r="BG466" s="91"/>
      <c r="BH466" s="91"/>
      <c r="BI466" s="91"/>
      <c r="BJ466" s="91"/>
      <c r="BK466" s="91"/>
      <c r="BL466" s="91"/>
      <c r="BM466" s="91"/>
      <c r="BN466" s="91"/>
      <c r="BO466" s="91"/>
      <c r="BP466" s="91"/>
      <c r="BQ466" s="91"/>
      <c r="BR466" s="91"/>
    </row>
    <row r="467" spans="1:70" ht="15.75" customHeight="1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  <c r="AU467" s="91"/>
      <c r="AV467" s="91"/>
      <c r="AW467" s="91"/>
      <c r="AX467" s="91"/>
      <c r="AY467" s="91"/>
      <c r="AZ467" s="91"/>
      <c r="BA467" s="91"/>
      <c r="BB467" s="91"/>
      <c r="BC467" s="91"/>
      <c r="BD467" s="91"/>
      <c r="BE467" s="91"/>
      <c r="BF467" s="91"/>
      <c r="BG467" s="91"/>
      <c r="BH467" s="91"/>
      <c r="BI467" s="91"/>
      <c r="BJ467" s="91"/>
      <c r="BK467" s="91"/>
      <c r="BL467" s="91"/>
      <c r="BM467" s="91"/>
      <c r="BN467" s="91"/>
      <c r="BO467" s="91"/>
      <c r="BP467" s="91"/>
      <c r="BQ467" s="91"/>
      <c r="BR467" s="91"/>
    </row>
    <row r="468" spans="1:70" ht="15.75" customHeight="1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  <c r="AU468" s="91"/>
      <c r="AV468" s="91"/>
      <c r="AW468" s="91"/>
      <c r="AX468" s="91"/>
      <c r="AY468" s="91"/>
      <c r="AZ468" s="91"/>
      <c r="BA468" s="91"/>
      <c r="BB468" s="91"/>
      <c r="BC468" s="91"/>
      <c r="BD468" s="91"/>
      <c r="BE468" s="91"/>
      <c r="BF468" s="91"/>
      <c r="BG468" s="91"/>
      <c r="BH468" s="91"/>
      <c r="BI468" s="91"/>
      <c r="BJ468" s="91"/>
      <c r="BK468" s="91"/>
      <c r="BL468" s="91"/>
      <c r="BM468" s="91"/>
      <c r="BN468" s="91"/>
      <c r="BO468" s="91"/>
      <c r="BP468" s="91"/>
      <c r="BQ468" s="91"/>
      <c r="BR468" s="91"/>
    </row>
    <row r="469" spans="1:70" ht="15.75" customHeight="1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  <c r="AU469" s="91"/>
      <c r="AV469" s="91"/>
      <c r="AW469" s="91"/>
      <c r="AX469" s="91"/>
      <c r="AY469" s="91"/>
      <c r="AZ469" s="91"/>
      <c r="BA469" s="91"/>
      <c r="BB469" s="91"/>
      <c r="BC469" s="91"/>
      <c r="BD469" s="91"/>
      <c r="BE469" s="91"/>
      <c r="BF469" s="91"/>
      <c r="BG469" s="91"/>
      <c r="BH469" s="91"/>
      <c r="BI469" s="91"/>
      <c r="BJ469" s="91"/>
      <c r="BK469" s="91"/>
      <c r="BL469" s="91"/>
      <c r="BM469" s="91"/>
      <c r="BN469" s="91"/>
      <c r="BO469" s="91"/>
      <c r="BP469" s="91"/>
      <c r="BQ469" s="91"/>
      <c r="BR469" s="91"/>
    </row>
    <row r="470" spans="1:70" ht="15.75" customHeight="1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  <c r="AU470" s="91"/>
      <c r="AV470" s="91"/>
      <c r="AW470" s="91"/>
      <c r="AX470" s="91"/>
      <c r="AY470" s="91"/>
      <c r="AZ470" s="91"/>
      <c r="BA470" s="91"/>
      <c r="BB470" s="91"/>
      <c r="BC470" s="91"/>
      <c r="BD470" s="91"/>
      <c r="BE470" s="91"/>
      <c r="BF470" s="91"/>
      <c r="BG470" s="91"/>
      <c r="BH470" s="91"/>
      <c r="BI470" s="91"/>
      <c r="BJ470" s="91"/>
      <c r="BK470" s="91"/>
      <c r="BL470" s="91"/>
      <c r="BM470" s="91"/>
      <c r="BN470" s="91"/>
      <c r="BO470" s="91"/>
      <c r="BP470" s="91"/>
      <c r="BQ470" s="91"/>
      <c r="BR470" s="91"/>
    </row>
    <row r="471" spans="1:70" ht="15.75" customHeight="1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  <c r="AU471" s="91"/>
      <c r="AV471" s="91"/>
      <c r="AW471" s="91"/>
      <c r="AX471" s="91"/>
      <c r="AY471" s="91"/>
      <c r="AZ471" s="91"/>
      <c r="BA471" s="91"/>
      <c r="BB471" s="91"/>
      <c r="BC471" s="91"/>
      <c r="BD471" s="91"/>
      <c r="BE471" s="91"/>
      <c r="BF471" s="91"/>
      <c r="BG471" s="91"/>
      <c r="BH471" s="91"/>
      <c r="BI471" s="91"/>
      <c r="BJ471" s="91"/>
      <c r="BK471" s="91"/>
      <c r="BL471" s="91"/>
      <c r="BM471" s="91"/>
      <c r="BN471" s="91"/>
      <c r="BO471" s="91"/>
      <c r="BP471" s="91"/>
      <c r="BQ471" s="91"/>
      <c r="BR471" s="91"/>
    </row>
    <row r="472" spans="1:70" ht="15.75" customHeight="1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  <c r="AU472" s="91"/>
      <c r="AV472" s="91"/>
      <c r="AW472" s="91"/>
      <c r="AX472" s="91"/>
      <c r="AY472" s="91"/>
      <c r="AZ472" s="91"/>
      <c r="BA472" s="91"/>
      <c r="BB472" s="91"/>
      <c r="BC472" s="91"/>
      <c r="BD472" s="91"/>
      <c r="BE472" s="91"/>
      <c r="BF472" s="91"/>
      <c r="BG472" s="91"/>
      <c r="BH472" s="91"/>
      <c r="BI472" s="91"/>
      <c r="BJ472" s="91"/>
      <c r="BK472" s="91"/>
      <c r="BL472" s="91"/>
      <c r="BM472" s="91"/>
      <c r="BN472" s="91"/>
      <c r="BO472" s="91"/>
      <c r="BP472" s="91"/>
      <c r="BQ472" s="91"/>
      <c r="BR472" s="91"/>
    </row>
    <row r="473" spans="1:70" ht="15.75" customHeight="1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  <c r="AU473" s="91"/>
      <c r="AV473" s="91"/>
      <c r="AW473" s="91"/>
      <c r="AX473" s="91"/>
      <c r="AY473" s="91"/>
      <c r="AZ473" s="91"/>
      <c r="BA473" s="91"/>
      <c r="BB473" s="91"/>
      <c r="BC473" s="91"/>
      <c r="BD473" s="91"/>
      <c r="BE473" s="91"/>
      <c r="BF473" s="91"/>
      <c r="BG473" s="91"/>
      <c r="BH473" s="91"/>
      <c r="BI473" s="91"/>
      <c r="BJ473" s="91"/>
      <c r="BK473" s="91"/>
      <c r="BL473" s="91"/>
      <c r="BM473" s="91"/>
      <c r="BN473" s="91"/>
      <c r="BO473" s="91"/>
      <c r="BP473" s="91"/>
      <c r="BQ473" s="91"/>
      <c r="BR473" s="91"/>
    </row>
    <row r="474" spans="1:70" ht="15.75" customHeight="1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  <c r="AU474" s="91"/>
      <c r="AV474" s="91"/>
      <c r="AW474" s="91"/>
      <c r="AX474" s="91"/>
      <c r="AY474" s="91"/>
      <c r="AZ474" s="91"/>
      <c r="BA474" s="91"/>
      <c r="BB474" s="91"/>
      <c r="BC474" s="91"/>
      <c r="BD474" s="91"/>
      <c r="BE474" s="91"/>
      <c r="BF474" s="91"/>
      <c r="BG474" s="91"/>
      <c r="BH474" s="91"/>
      <c r="BI474" s="91"/>
      <c r="BJ474" s="91"/>
      <c r="BK474" s="91"/>
      <c r="BL474" s="91"/>
      <c r="BM474" s="91"/>
      <c r="BN474" s="91"/>
      <c r="BO474" s="91"/>
      <c r="BP474" s="91"/>
      <c r="BQ474" s="91"/>
      <c r="BR474" s="91"/>
    </row>
    <row r="475" spans="1:70" ht="15.75" customHeight="1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  <c r="AU475" s="91"/>
      <c r="AV475" s="91"/>
      <c r="AW475" s="91"/>
      <c r="AX475" s="91"/>
      <c r="AY475" s="91"/>
      <c r="AZ475" s="91"/>
      <c r="BA475" s="91"/>
      <c r="BB475" s="91"/>
      <c r="BC475" s="91"/>
      <c r="BD475" s="91"/>
      <c r="BE475" s="91"/>
      <c r="BF475" s="91"/>
      <c r="BG475" s="91"/>
      <c r="BH475" s="91"/>
      <c r="BI475" s="91"/>
      <c r="BJ475" s="91"/>
      <c r="BK475" s="91"/>
      <c r="BL475" s="91"/>
      <c r="BM475" s="91"/>
      <c r="BN475" s="91"/>
      <c r="BO475" s="91"/>
      <c r="BP475" s="91"/>
      <c r="BQ475" s="91"/>
      <c r="BR475" s="91"/>
    </row>
    <row r="476" spans="1:70" ht="15.75" customHeight="1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  <c r="AU476" s="91"/>
      <c r="AV476" s="91"/>
      <c r="AW476" s="91"/>
      <c r="AX476" s="91"/>
      <c r="AY476" s="91"/>
      <c r="AZ476" s="91"/>
      <c r="BA476" s="91"/>
      <c r="BB476" s="91"/>
      <c r="BC476" s="91"/>
      <c r="BD476" s="91"/>
      <c r="BE476" s="91"/>
      <c r="BF476" s="91"/>
      <c r="BG476" s="91"/>
      <c r="BH476" s="91"/>
      <c r="BI476" s="91"/>
      <c r="BJ476" s="91"/>
      <c r="BK476" s="91"/>
      <c r="BL476" s="91"/>
      <c r="BM476" s="91"/>
      <c r="BN476" s="91"/>
      <c r="BO476" s="91"/>
      <c r="BP476" s="91"/>
      <c r="BQ476" s="91"/>
      <c r="BR476" s="91"/>
    </row>
    <row r="477" spans="1:70" ht="15.75" customHeight="1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  <c r="AU477" s="91"/>
      <c r="AV477" s="91"/>
      <c r="AW477" s="91"/>
      <c r="AX477" s="91"/>
      <c r="AY477" s="91"/>
      <c r="AZ477" s="91"/>
      <c r="BA477" s="91"/>
      <c r="BB477" s="91"/>
      <c r="BC477" s="91"/>
      <c r="BD477" s="91"/>
      <c r="BE477" s="91"/>
      <c r="BF477" s="91"/>
      <c r="BG477" s="91"/>
      <c r="BH477" s="91"/>
      <c r="BI477" s="91"/>
      <c r="BJ477" s="91"/>
      <c r="BK477" s="91"/>
      <c r="BL477" s="91"/>
      <c r="BM477" s="91"/>
      <c r="BN477" s="91"/>
      <c r="BO477" s="91"/>
      <c r="BP477" s="91"/>
      <c r="BQ477" s="91"/>
      <c r="BR477" s="91"/>
    </row>
    <row r="478" spans="1:70" ht="15.75" customHeight="1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  <c r="AU478" s="91"/>
      <c r="AV478" s="91"/>
      <c r="AW478" s="91"/>
      <c r="AX478" s="91"/>
      <c r="AY478" s="91"/>
      <c r="AZ478" s="91"/>
      <c r="BA478" s="91"/>
      <c r="BB478" s="91"/>
      <c r="BC478" s="91"/>
      <c r="BD478" s="91"/>
      <c r="BE478" s="91"/>
      <c r="BF478" s="91"/>
      <c r="BG478" s="91"/>
      <c r="BH478" s="91"/>
      <c r="BI478" s="91"/>
      <c r="BJ478" s="91"/>
      <c r="BK478" s="91"/>
      <c r="BL478" s="91"/>
      <c r="BM478" s="91"/>
      <c r="BN478" s="91"/>
      <c r="BO478" s="91"/>
      <c r="BP478" s="91"/>
      <c r="BQ478" s="91"/>
      <c r="BR478" s="91"/>
    </row>
    <row r="479" spans="1:70" ht="15.75" customHeight="1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  <c r="AU479" s="91"/>
      <c r="AV479" s="91"/>
      <c r="AW479" s="91"/>
      <c r="AX479" s="91"/>
      <c r="AY479" s="91"/>
      <c r="AZ479" s="91"/>
      <c r="BA479" s="91"/>
      <c r="BB479" s="91"/>
      <c r="BC479" s="91"/>
      <c r="BD479" s="91"/>
      <c r="BE479" s="91"/>
      <c r="BF479" s="91"/>
      <c r="BG479" s="91"/>
      <c r="BH479" s="91"/>
      <c r="BI479" s="91"/>
      <c r="BJ479" s="91"/>
      <c r="BK479" s="91"/>
      <c r="BL479" s="91"/>
      <c r="BM479" s="91"/>
      <c r="BN479" s="91"/>
      <c r="BO479" s="91"/>
      <c r="BP479" s="91"/>
      <c r="BQ479" s="91"/>
      <c r="BR479" s="91"/>
    </row>
    <row r="480" spans="1:70" ht="15.75" customHeight="1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  <c r="AU480" s="91"/>
      <c r="AV480" s="91"/>
      <c r="AW480" s="91"/>
      <c r="AX480" s="91"/>
      <c r="AY480" s="91"/>
      <c r="AZ480" s="91"/>
      <c r="BA480" s="91"/>
      <c r="BB480" s="91"/>
      <c r="BC480" s="91"/>
      <c r="BD480" s="91"/>
      <c r="BE480" s="91"/>
      <c r="BF480" s="91"/>
      <c r="BG480" s="91"/>
      <c r="BH480" s="91"/>
      <c r="BI480" s="91"/>
      <c r="BJ480" s="91"/>
      <c r="BK480" s="91"/>
      <c r="BL480" s="91"/>
      <c r="BM480" s="91"/>
      <c r="BN480" s="91"/>
      <c r="BO480" s="91"/>
      <c r="BP480" s="91"/>
      <c r="BQ480" s="91"/>
      <c r="BR480" s="91"/>
    </row>
    <row r="481" spans="1:70" ht="15.75" customHeight="1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  <c r="AU481" s="91"/>
      <c r="AV481" s="91"/>
      <c r="AW481" s="91"/>
      <c r="AX481" s="91"/>
      <c r="AY481" s="91"/>
      <c r="AZ481" s="91"/>
      <c r="BA481" s="91"/>
      <c r="BB481" s="91"/>
      <c r="BC481" s="91"/>
      <c r="BD481" s="91"/>
      <c r="BE481" s="91"/>
      <c r="BF481" s="91"/>
      <c r="BG481" s="91"/>
      <c r="BH481" s="91"/>
      <c r="BI481" s="91"/>
      <c r="BJ481" s="91"/>
      <c r="BK481" s="91"/>
      <c r="BL481" s="91"/>
      <c r="BM481" s="91"/>
      <c r="BN481" s="91"/>
      <c r="BO481" s="91"/>
      <c r="BP481" s="91"/>
      <c r="BQ481" s="91"/>
      <c r="BR481" s="91"/>
    </row>
    <row r="482" spans="1:70" ht="15.75" customHeight="1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  <c r="AU482" s="91"/>
      <c r="AV482" s="91"/>
      <c r="AW482" s="91"/>
      <c r="AX482" s="91"/>
      <c r="AY482" s="91"/>
      <c r="AZ482" s="91"/>
      <c r="BA482" s="91"/>
      <c r="BB482" s="91"/>
      <c r="BC482" s="91"/>
      <c r="BD482" s="91"/>
      <c r="BE482" s="91"/>
      <c r="BF482" s="91"/>
      <c r="BG482" s="91"/>
      <c r="BH482" s="91"/>
      <c r="BI482" s="91"/>
      <c r="BJ482" s="91"/>
      <c r="BK482" s="91"/>
      <c r="BL482" s="91"/>
      <c r="BM482" s="91"/>
      <c r="BN482" s="91"/>
      <c r="BO482" s="91"/>
      <c r="BP482" s="91"/>
      <c r="BQ482" s="91"/>
      <c r="BR482" s="91"/>
    </row>
    <row r="483" spans="1:70" ht="15.75" customHeight="1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  <c r="AU483" s="91"/>
      <c r="AV483" s="91"/>
      <c r="AW483" s="91"/>
      <c r="AX483" s="91"/>
      <c r="AY483" s="91"/>
      <c r="AZ483" s="91"/>
      <c r="BA483" s="91"/>
      <c r="BB483" s="91"/>
      <c r="BC483" s="91"/>
      <c r="BD483" s="91"/>
      <c r="BE483" s="91"/>
      <c r="BF483" s="91"/>
      <c r="BG483" s="91"/>
      <c r="BH483" s="91"/>
      <c r="BI483" s="91"/>
      <c r="BJ483" s="91"/>
      <c r="BK483" s="91"/>
      <c r="BL483" s="91"/>
      <c r="BM483" s="91"/>
      <c r="BN483" s="91"/>
      <c r="BO483" s="91"/>
      <c r="BP483" s="91"/>
      <c r="BQ483" s="91"/>
      <c r="BR483" s="91"/>
    </row>
    <row r="484" spans="1:70" ht="15.75" customHeight="1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  <c r="AU484" s="91"/>
      <c r="AV484" s="91"/>
      <c r="AW484" s="91"/>
      <c r="AX484" s="91"/>
      <c r="AY484" s="91"/>
      <c r="AZ484" s="91"/>
      <c r="BA484" s="91"/>
      <c r="BB484" s="91"/>
      <c r="BC484" s="91"/>
      <c r="BD484" s="91"/>
      <c r="BE484" s="91"/>
      <c r="BF484" s="91"/>
      <c r="BG484" s="91"/>
      <c r="BH484" s="91"/>
      <c r="BI484" s="91"/>
      <c r="BJ484" s="91"/>
      <c r="BK484" s="91"/>
      <c r="BL484" s="91"/>
      <c r="BM484" s="91"/>
      <c r="BN484" s="91"/>
      <c r="BO484" s="91"/>
      <c r="BP484" s="91"/>
      <c r="BQ484" s="91"/>
      <c r="BR484" s="91"/>
    </row>
    <row r="485" spans="1:70" ht="15.75" customHeight="1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  <c r="AU485" s="91"/>
      <c r="AV485" s="91"/>
      <c r="AW485" s="91"/>
      <c r="AX485" s="91"/>
      <c r="AY485" s="91"/>
      <c r="AZ485" s="91"/>
      <c r="BA485" s="91"/>
      <c r="BB485" s="91"/>
      <c r="BC485" s="91"/>
      <c r="BD485" s="91"/>
      <c r="BE485" s="91"/>
      <c r="BF485" s="91"/>
      <c r="BG485" s="91"/>
      <c r="BH485" s="91"/>
      <c r="BI485" s="91"/>
      <c r="BJ485" s="91"/>
      <c r="BK485" s="91"/>
      <c r="BL485" s="91"/>
      <c r="BM485" s="91"/>
      <c r="BN485" s="91"/>
      <c r="BO485" s="91"/>
      <c r="BP485" s="91"/>
      <c r="BQ485" s="91"/>
      <c r="BR485" s="91"/>
    </row>
    <row r="486" spans="1:70" ht="15.75" customHeight="1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  <c r="AU486" s="91"/>
      <c r="AV486" s="91"/>
      <c r="AW486" s="91"/>
      <c r="AX486" s="91"/>
      <c r="AY486" s="91"/>
      <c r="AZ486" s="91"/>
      <c r="BA486" s="91"/>
      <c r="BB486" s="91"/>
      <c r="BC486" s="91"/>
      <c r="BD486" s="91"/>
      <c r="BE486" s="91"/>
      <c r="BF486" s="91"/>
      <c r="BG486" s="91"/>
      <c r="BH486" s="91"/>
      <c r="BI486" s="91"/>
      <c r="BJ486" s="91"/>
      <c r="BK486" s="91"/>
      <c r="BL486" s="91"/>
      <c r="BM486" s="91"/>
      <c r="BN486" s="91"/>
      <c r="BO486" s="91"/>
      <c r="BP486" s="91"/>
      <c r="BQ486" s="91"/>
      <c r="BR486" s="91"/>
    </row>
    <row r="487" spans="1:70" ht="15.75" customHeight="1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  <c r="AU487" s="91"/>
      <c r="AV487" s="91"/>
      <c r="AW487" s="91"/>
      <c r="AX487" s="91"/>
      <c r="AY487" s="91"/>
      <c r="AZ487" s="91"/>
      <c r="BA487" s="91"/>
      <c r="BB487" s="91"/>
      <c r="BC487" s="91"/>
      <c r="BD487" s="91"/>
      <c r="BE487" s="91"/>
      <c r="BF487" s="91"/>
      <c r="BG487" s="91"/>
      <c r="BH487" s="91"/>
      <c r="BI487" s="91"/>
      <c r="BJ487" s="91"/>
      <c r="BK487" s="91"/>
      <c r="BL487" s="91"/>
      <c r="BM487" s="91"/>
      <c r="BN487" s="91"/>
      <c r="BO487" s="91"/>
      <c r="BP487" s="91"/>
      <c r="BQ487" s="91"/>
      <c r="BR487" s="91"/>
    </row>
    <row r="488" spans="1:70" ht="15.75" customHeight="1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  <c r="AU488" s="91"/>
      <c r="AV488" s="91"/>
      <c r="AW488" s="91"/>
      <c r="AX488" s="91"/>
      <c r="AY488" s="91"/>
      <c r="AZ488" s="91"/>
      <c r="BA488" s="91"/>
      <c r="BB488" s="91"/>
      <c r="BC488" s="91"/>
      <c r="BD488" s="91"/>
      <c r="BE488" s="91"/>
      <c r="BF488" s="91"/>
      <c r="BG488" s="91"/>
      <c r="BH488" s="91"/>
      <c r="BI488" s="91"/>
      <c r="BJ488" s="91"/>
      <c r="BK488" s="91"/>
      <c r="BL488" s="91"/>
      <c r="BM488" s="91"/>
      <c r="BN488" s="91"/>
      <c r="BO488" s="91"/>
      <c r="BP488" s="91"/>
      <c r="BQ488" s="91"/>
      <c r="BR488" s="91"/>
    </row>
    <row r="489" spans="1:70" ht="15.75" customHeight="1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  <c r="AU489" s="91"/>
      <c r="AV489" s="91"/>
      <c r="AW489" s="91"/>
      <c r="AX489" s="91"/>
      <c r="AY489" s="91"/>
      <c r="AZ489" s="91"/>
      <c r="BA489" s="91"/>
      <c r="BB489" s="91"/>
      <c r="BC489" s="91"/>
      <c r="BD489" s="91"/>
      <c r="BE489" s="91"/>
      <c r="BF489" s="91"/>
      <c r="BG489" s="91"/>
      <c r="BH489" s="91"/>
      <c r="BI489" s="91"/>
      <c r="BJ489" s="91"/>
      <c r="BK489" s="91"/>
      <c r="BL489" s="91"/>
      <c r="BM489" s="91"/>
      <c r="BN489" s="91"/>
      <c r="BO489" s="91"/>
      <c r="BP489" s="91"/>
      <c r="BQ489" s="91"/>
      <c r="BR489" s="91"/>
    </row>
    <row r="490" spans="1:70" ht="15.75" customHeight="1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  <c r="AU490" s="91"/>
      <c r="AV490" s="91"/>
      <c r="AW490" s="91"/>
      <c r="AX490" s="91"/>
      <c r="AY490" s="91"/>
      <c r="AZ490" s="91"/>
      <c r="BA490" s="91"/>
      <c r="BB490" s="91"/>
      <c r="BC490" s="91"/>
      <c r="BD490" s="91"/>
      <c r="BE490" s="91"/>
      <c r="BF490" s="91"/>
      <c r="BG490" s="91"/>
      <c r="BH490" s="91"/>
      <c r="BI490" s="91"/>
      <c r="BJ490" s="91"/>
      <c r="BK490" s="91"/>
      <c r="BL490" s="91"/>
      <c r="BM490" s="91"/>
      <c r="BN490" s="91"/>
      <c r="BO490" s="91"/>
      <c r="BP490" s="91"/>
      <c r="BQ490" s="91"/>
      <c r="BR490" s="91"/>
    </row>
    <row r="491" spans="1:70" ht="15.75" customHeight="1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  <c r="AU491" s="91"/>
      <c r="AV491" s="91"/>
      <c r="AW491" s="91"/>
      <c r="AX491" s="91"/>
      <c r="AY491" s="91"/>
      <c r="AZ491" s="91"/>
      <c r="BA491" s="91"/>
      <c r="BB491" s="91"/>
      <c r="BC491" s="91"/>
      <c r="BD491" s="91"/>
      <c r="BE491" s="91"/>
      <c r="BF491" s="91"/>
      <c r="BG491" s="91"/>
      <c r="BH491" s="91"/>
      <c r="BI491" s="91"/>
      <c r="BJ491" s="91"/>
      <c r="BK491" s="91"/>
      <c r="BL491" s="91"/>
      <c r="BM491" s="91"/>
      <c r="BN491" s="91"/>
      <c r="BO491" s="91"/>
      <c r="BP491" s="91"/>
      <c r="BQ491" s="91"/>
      <c r="BR491" s="91"/>
    </row>
    <row r="492" spans="1:70" ht="15.75" customHeight="1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  <c r="AU492" s="91"/>
      <c r="AV492" s="91"/>
      <c r="AW492" s="91"/>
      <c r="AX492" s="91"/>
      <c r="AY492" s="91"/>
      <c r="AZ492" s="91"/>
      <c r="BA492" s="91"/>
      <c r="BB492" s="91"/>
      <c r="BC492" s="91"/>
      <c r="BD492" s="91"/>
      <c r="BE492" s="91"/>
      <c r="BF492" s="91"/>
      <c r="BG492" s="91"/>
      <c r="BH492" s="91"/>
      <c r="BI492" s="91"/>
      <c r="BJ492" s="91"/>
      <c r="BK492" s="91"/>
      <c r="BL492" s="91"/>
      <c r="BM492" s="91"/>
      <c r="BN492" s="91"/>
      <c r="BO492" s="91"/>
      <c r="BP492" s="91"/>
      <c r="BQ492" s="91"/>
      <c r="BR492" s="91"/>
    </row>
    <row r="493" spans="1:70" ht="15.75" customHeight="1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  <c r="AU493" s="91"/>
      <c r="AV493" s="91"/>
      <c r="AW493" s="91"/>
      <c r="AX493" s="91"/>
      <c r="AY493" s="91"/>
      <c r="AZ493" s="91"/>
      <c r="BA493" s="91"/>
      <c r="BB493" s="91"/>
      <c r="BC493" s="91"/>
      <c r="BD493" s="91"/>
      <c r="BE493" s="91"/>
      <c r="BF493" s="91"/>
      <c r="BG493" s="91"/>
      <c r="BH493" s="91"/>
      <c r="BI493" s="91"/>
      <c r="BJ493" s="91"/>
      <c r="BK493" s="91"/>
      <c r="BL493" s="91"/>
      <c r="BM493" s="91"/>
      <c r="BN493" s="91"/>
      <c r="BO493" s="91"/>
      <c r="BP493" s="91"/>
      <c r="BQ493" s="91"/>
      <c r="BR493" s="91"/>
    </row>
    <row r="494" spans="1:70" ht="15.75" customHeight="1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  <c r="AU494" s="91"/>
      <c r="AV494" s="91"/>
      <c r="AW494" s="91"/>
      <c r="AX494" s="91"/>
      <c r="AY494" s="91"/>
      <c r="AZ494" s="91"/>
      <c r="BA494" s="91"/>
      <c r="BB494" s="91"/>
      <c r="BC494" s="91"/>
      <c r="BD494" s="91"/>
      <c r="BE494" s="91"/>
      <c r="BF494" s="91"/>
      <c r="BG494" s="91"/>
      <c r="BH494" s="91"/>
      <c r="BI494" s="91"/>
      <c r="BJ494" s="91"/>
      <c r="BK494" s="91"/>
      <c r="BL494" s="91"/>
      <c r="BM494" s="91"/>
      <c r="BN494" s="91"/>
      <c r="BO494" s="91"/>
      <c r="BP494" s="91"/>
      <c r="BQ494" s="91"/>
      <c r="BR494" s="91"/>
    </row>
    <row r="495" spans="1:70" ht="15.75" customHeight="1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  <c r="AU495" s="91"/>
      <c r="AV495" s="91"/>
      <c r="AW495" s="91"/>
      <c r="AX495" s="91"/>
      <c r="AY495" s="91"/>
      <c r="AZ495" s="91"/>
      <c r="BA495" s="91"/>
      <c r="BB495" s="91"/>
      <c r="BC495" s="91"/>
      <c r="BD495" s="91"/>
      <c r="BE495" s="91"/>
      <c r="BF495" s="91"/>
      <c r="BG495" s="91"/>
      <c r="BH495" s="91"/>
      <c r="BI495" s="91"/>
      <c r="BJ495" s="91"/>
      <c r="BK495" s="91"/>
      <c r="BL495" s="91"/>
      <c r="BM495" s="91"/>
      <c r="BN495" s="91"/>
      <c r="BO495" s="91"/>
      <c r="BP495" s="91"/>
      <c r="BQ495" s="91"/>
      <c r="BR495" s="91"/>
    </row>
    <row r="496" spans="1:70" ht="15.75" customHeight="1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  <c r="AU496" s="91"/>
      <c r="AV496" s="91"/>
      <c r="AW496" s="91"/>
      <c r="AX496" s="91"/>
      <c r="AY496" s="91"/>
      <c r="AZ496" s="91"/>
      <c r="BA496" s="91"/>
      <c r="BB496" s="91"/>
      <c r="BC496" s="91"/>
      <c r="BD496" s="91"/>
      <c r="BE496" s="91"/>
      <c r="BF496" s="91"/>
      <c r="BG496" s="91"/>
      <c r="BH496" s="91"/>
      <c r="BI496" s="91"/>
      <c r="BJ496" s="91"/>
      <c r="BK496" s="91"/>
      <c r="BL496" s="91"/>
      <c r="BM496" s="91"/>
      <c r="BN496" s="91"/>
      <c r="BO496" s="91"/>
      <c r="BP496" s="91"/>
      <c r="BQ496" s="91"/>
      <c r="BR496" s="91"/>
    </row>
    <row r="497" spans="1:70" ht="15.75" customHeight="1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  <c r="AU497" s="91"/>
      <c r="AV497" s="91"/>
      <c r="AW497" s="91"/>
      <c r="AX497" s="91"/>
      <c r="AY497" s="91"/>
      <c r="AZ497" s="91"/>
      <c r="BA497" s="91"/>
      <c r="BB497" s="91"/>
      <c r="BC497" s="91"/>
      <c r="BD497" s="91"/>
      <c r="BE497" s="91"/>
      <c r="BF497" s="91"/>
      <c r="BG497" s="91"/>
      <c r="BH497" s="91"/>
      <c r="BI497" s="91"/>
      <c r="BJ497" s="91"/>
      <c r="BK497" s="91"/>
      <c r="BL497" s="91"/>
      <c r="BM497" s="91"/>
      <c r="BN497" s="91"/>
      <c r="BO497" s="91"/>
      <c r="BP497" s="91"/>
      <c r="BQ497" s="91"/>
      <c r="BR497" s="91"/>
    </row>
    <row r="498" spans="1:70" ht="15.75" customHeight="1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  <c r="AU498" s="91"/>
      <c r="AV498" s="91"/>
      <c r="AW498" s="91"/>
      <c r="AX498" s="91"/>
      <c r="AY498" s="91"/>
      <c r="AZ498" s="91"/>
      <c r="BA498" s="91"/>
      <c r="BB498" s="91"/>
      <c r="BC498" s="91"/>
      <c r="BD498" s="91"/>
      <c r="BE498" s="91"/>
      <c r="BF498" s="91"/>
      <c r="BG498" s="91"/>
      <c r="BH498" s="91"/>
      <c r="BI498" s="91"/>
      <c r="BJ498" s="91"/>
      <c r="BK498" s="91"/>
      <c r="BL498" s="91"/>
      <c r="BM498" s="91"/>
      <c r="BN498" s="91"/>
      <c r="BO498" s="91"/>
      <c r="BP498" s="91"/>
      <c r="BQ498" s="91"/>
      <c r="BR498" s="91"/>
    </row>
    <row r="499" spans="1:70" ht="15.75" customHeight="1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  <c r="AU499" s="91"/>
      <c r="AV499" s="91"/>
      <c r="AW499" s="91"/>
      <c r="AX499" s="91"/>
      <c r="AY499" s="91"/>
      <c r="AZ499" s="91"/>
      <c r="BA499" s="91"/>
      <c r="BB499" s="91"/>
      <c r="BC499" s="91"/>
      <c r="BD499" s="91"/>
      <c r="BE499" s="91"/>
      <c r="BF499" s="91"/>
      <c r="BG499" s="91"/>
      <c r="BH499" s="91"/>
      <c r="BI499" s="91"/>
      <c r="BJ499" s="91"/>
      <c r="BK499" s="91"/>
      <c r="BL499" s="91"/>
      <c r="BM499" s="91"/>
      <c r="BN499" s="91"/>
      <c r="BO499" s="91"/>
      <c r="BP499" s="91"/>
      <c r="BQ499" s="91"/>
      <c r="BR499" s="91"/>
    </row>
    <row r="500" spans="1:70" ht="15.75" customHeight="1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  <c r="AU500" s="91"/>
      <c r="AV500" s="91"/>
      <c r="AW500" s="91"/>
      <c r="AX500" s="91"/>
      <c r="AY500" s="91"/>
      <c r="AZ500" s="91"/>
      <c r="BA500" s="91"/>
      <c r="BB500" s="91"/>
      <c r="BC500" s="91"/>
      <c r="BD500" s="91"/>
      <c r="BE500" s="91"/>
      <c r="BF500" s="91"/>
      <c r="BG500" s="91"/>
      <c r="BH500" s="91"/>
      <c r="BI500" s="91"/>
      <c r="BJ500" s="91"/>
      <c r="BK500" s="91"/>
      <c r="BL500" s="91"/>
      <c r="BM500" s="91"/>
      <c r="BN500" s="91"/>
      <c r="BO500" s="91"/>
      <c r="BP500" s="91"/>
      <c r="BQ500" s="91"/>
      <c r="BR500" s="91"/>
    </row>
    <row r="501" spans="1:70" ht="15.75" customHeight="1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  <c r="AU501" s="91"/>
      <c r="AV501" s="91"/>
      <c r="AW501" s="91"/>
      <c r="AX501" s="91"/>
      <c r="AY501" s="91"/>
      <c r="AZ501" s="91"/>
      <c r="BA501" s="91"/>
      <c r="BB501" s="91"/>
      <c r="BC501" s="91"/>
      <c r="BD501" s="91"/>
      <c r="BE501" s="91"/>
      <c r="BF501" s="91"/>
      <c r="BG501" s="91"/>
      <c r="BH501" s="91"/>
      <c r="BI501" s="91"/>
      <c r="BJ501" s="91"/>
      <c r="BK501" s="91"/>
      <c r="BL501" s="91"/>
      <c r="BM501" s="91"/>
      <c r="BN501" s="91"/>
      <c r="BO501" s="91"/>
      <c r="BP501" s="91"/>
      <c r="BQ501" s="91"/>
      <c r="BR501" s="91"/>
    </row>
    <row r="502" spans="1:70" ht="15.75" customHeight="1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  <c r="AU502" s="91"/>
      <c r="AV502" s="91"/>
      <c r="AW502" s="91"/>
      <c r="AX502" s="91"/>
      <c r="AY502" s="91"/>
      <c r="AZ502" s="91"/>
      <c r="BA502" s="91"/>
      <c r="BB502" s="91"/>
      <c r="BC502" s="91"/>
      <c r="BD502" s="91"/>
      <c r="BE502" s="91"/>
      <c r="BF502" s="91"/>
      <c r="BG502" s="91"/>
      <c r="BH502" s="91"/>
      <c r="BI502" s="91"/>
      <c r="BJ502" s="91"/>
      <c r="BK502" s="91"/>
      <c r="BL502" s="91"/>
      <c r="BM502" s="91"/>
      <c r="BN502" s="91"/>
      <c r="BO502" s="91"/>
      <c r="BP502" s="91"/>
      <c r="BQ502" s="91"/>
      <c r="BR502" s="91"/>
    </row>
    <row r="503" spans="1:70" ht="15.75" customHeight="1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  <c r="AU503" s="91"/>
      <c r="AV503" s="91"/>
      <c r="AW503" s="91"/>
      <c r="AX503" s="91"/>
      <c r="AY503" s="91"/>
      <c r="AZ503" s="91"/>
      <c r="BA503" s="91"/>
      <c r="BB503" s="91"/>
      <c r="BC503" s="91"/>
      <c r="BD503" s="91"/>
      <c r="BE503" s="91"/>
      <c r="BF503" s="91"/>
      <c r="BG503" s="91"/>
      <c r="BH503" s="91"/>
      <c r="BI503" s="91"/>
      <c r="BJ503" s="91"/>
      <c r="BK503" s="91"/>
      <c r="BL503" s="91"/>
      <c r="BM503" s="91"/>
      <c r="BN503" s="91"/>
      <c r="BO503" s="91"/>
      <c r="BP503" s="91"/>
      <c r="BQ503" s="91"/>
      <c r="BR503" s="91"/>
    </row>
    <row r="504" spans="1:70" ht="15.75" customHeight="1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  <c r="AU504" s="91"/>
      <c r="AV504" s="91"/>
      <c r="AW504" s="91"/>
      <c r="AX504" s="91"/>
      <c r="AY504" s="91"/>
      <c r="AZ504" s="91"/>
      <c r="BA504" s="91"/>
      <c r="BB504" s="91"/>
      <c r="BC504" s="91"/>
      <c r="BD504" s="91"/>
      <c r="BE504" s="91"/>
      <c r="BF504" s="91"/>
      <c r="BG504" s="91"/>
      <c r="BH504" s="91"/>
      <c r="BI504" s="91"/>
      <c r="BJ504" s="91"/>
      <c r="BK504" s="91"/>
      <c r="BL504" s="91"/>
      <c r="BM504" s="91"/>
      <c r="BN504" s="91"/>
      <c r="BO504" s="91"/>
      <c r="BP504" s="91"/>
      <c r="BQ504" s="91"/>
      <c r="BR504" s="91"/>
    </row>
    <row r="505" spans="1:70" ht="15.75" customHeight="1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  <c r="AU505" s="91"/>
      <c r="AV505" s="91"/>
      <c r="AW505" s="91"/>
      <c r="AX505" s="91"/>
      <c r="AY505" s="91"/>
      <c r="AZ505" s="91"/>
      <c r="BA505" s="91"/>
      <c r="BB505" s="91"/>
      <c r="BC505" s="91"/>
      <c r="BD505" s="91"/>
      <c r="BE505" s="91"/>
      <c r="BF505" s="91"/>
      <c r="BG505" s="91"/>
      <c r="BH505" s="91"/>
      <c r="BI505" s="91"/>
      <c r="BJ505" s="91"/>
      <c r="BK505" s="91"/>
      <c r="BL505" s="91"/>
      <c r="BM505" s="91"/>
      <c r="BN505" s="91"/>
      <c r="BO505" s="91"/>
      <c r="BP505" s="91"/>
      <c r="BQ505" s="91"/>
      <c r="BR505" s="91"/>
    </row>
    <row r="506" spans="1:70" ht="15.75" customHeight="1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  <c r="AU506" s="91"/>
      <c r="AV506" s="91"/>
      <c r="AW506" s="91"/>
      <c r="AX506" s="91"/>
      <c r="AY506" s="91"/>
      <c r="AZ506" s="91"/>
      <c r="BA506" s="91"/>
      <c r="BB506" s="91"/>
      <c r="BC506" s="91"/>
      <c r="BD506" s="91"/>
      <c r="BE506" s="91"/>
      <c r="BF506" s="91"/>
      <c r="BG506" s="91"/>
      <c r="BH506" s="91"/>
      <c r="BI506" s="91"/>
      <c r="BJ506" s="91"/>
      <c r="BK506" s="91"/>
      <c r="BL506" s="91"/>
      <c r="BM506" s="91"/>
      <c r="BN506" s="91"/>
      <c r="BO506" s="91"/>
      <c r="BP506" s="91"/>
      <c r="BQ506" s="91"/>
      <c r="BR506" s="91"/>
    </row>
    <row r="507" spans="1:70" ht="15.75" customHeight="1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  <c r="AU507" s="91"/>
      <c r="AV507" s="91"/>
      <c r="AW507" s="91"/>
      <c r="AX507" s="91"/>
      <c r="AY507" s="91"/>
      <c r="AZ507" s="91"/>
      <c r="BA507" s="91"/>
      <c r="BB507" s="91"/>
      <c r="BC507" s="91"/>
      <c r="BD507" s="91"/>
      <c r="BE507" s="91"/>
      <c r="BF507" s="91"/>
      <c r="BG507" s="91"/>
      <c r="BH507" s="91"/>
      <c r="BI507" s="91"/>
      <c r="BJ507" s="91"/>
      <c r="BK507" s="91"/>
      <c r="BL507" s="91"/>
      <c r="BM507" s="91"/>
      <c r="BN507" s="91"/>
      <c r="BO507" s="91"/>
      <c r="BP507" s="91"/>
      <c r="BQ507" s="91"/>
      <c r="BR507" s="91"/>
    </row>
    <row r="508" spans="1:70" ht="15.75" customHeight="1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  <c r="AU508" s="91"/>
      <c r="AV508" s="91"/>
      <c r="AW508" s="91"/>
      <c r="AX508" s="91"/>
      <c r="AY508" s="91"/>
      <c r="AZ508" s="91"/>
      <c r="BA508" s="91"/>
      <c r="BB508" s="91"/>
      <c r="BC508" s="91"/>
      <c r="BD508" s="91"/>
      <c r="BE508" s="91"/>
      <c r="BF508" s="91"/>
      <c r="BG508" s="91"/>
      <c r="BH508" s="91"/>
      <c r="BI508" s="91"/>
      <c r="BJ508" s="91"/>
      <c r="BK508" s="91"/>
      <c r="BL508" s="91"/>
      <c r="BM508" s="91"/>
      <c r="BN508" s="91"/>
      <c r="BO508" s="91"/>
      <c r="BP508" s="91"/>
      <c r="BQ508" s="91"/>
      <c r="BR508" s="91"/>
    </row>
    <row r="509" spans="1:70" ht="15.75" customHeight="1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  <c r="AU509" s="91"/>
      <c r="AV509" s="91"/>
      <c r="AW509" s="91"/>
      <c r="AX509" s="91"/>
      <c r="AY509" s="91"/>
      <c r="AZ509" s="91"/>
      <c r="BA509" s="91"/>
      <c r="BB509" s="91"/>
      <c r="BC509" s="91"/>
      <c r="BD509" s="91"/>
      <c r="BE509" s="91"/>
      <c r="BF509" s="91"/>
      <c r="BG509" s="91"/>
      <c r="BH509" s="91"/>
      <c r="BI509" s="91"/>
      <c r="BJ509" s="91"/>
      <c r="BK509" s="91"/>
      <c r="BL509" s="91"/>
      <c r="BM509" s="91"/>
      <c r="BN509" s="91"/>
      <c r="BO509" s="91"/>
      <c r="BP509" s="91"/>
      <c r="BQ509" s="91"/>
      <c r="BR509" s="91"/>
    </row>
    <row r="510" spans="1:70" ht="15.75" customHeight="1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  <c r="AU510" s="91"/>
      <c r="AV510" s="91"/>
      <c r="AW510" s="91"/>
      <c r="AX510" s="91"/>
      <c r="AY510" s="91"/>
      <c r="AZ510" s="91"/>
      <c r="BA510" s="91"/>
      <c r="BB510" s="91"/>
      <c r="BC510" s="91"/>
      <c r="BD510" s="91"/>
      <c r="BE510" s="91"/>
      <c r="BF510" s="91"/>
      <c r="BG510" s="91"/>
      <c r="BH510" s="91"/>
      <c r="BI510" s="91"/>
      <c r="BJ510" s="91"/>
      <c r="BK510" s="91"/>
      <c r="BL510" s="91"/>
      <c r="BM510" s="91"/>
      <c r="BN510" s="91"/>
      <c r="BO510" s="91"/>
      <c r="BP510" s="91"/>
      <c r="BQ510" s="91"/>
      <c r="BR510" s="91"/>
    </row>
    <row r="511" spans="1:70" ht="15.75" customHeight="1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  <c r="AU511" s="91"/>
      <c r="AV511" s="91"/>
      <c r="AW511" s="91"/>
      <c r="AX511" s="91"/>
      <c r="AY511" s="91"/>
      <c r="AZ511" s="91"/>
      <c r="BA511" s="91"/>
      <c r="BB511" s="91"/>
      <c r="BC511" s="91"/>
      <c r="BD511" s="91"/>
      <c r="BE511" s="91"/>
      <c r="BF511" s="91"/>
      <c r="BG511" s="91"/>
      <c r="BH511" s="91"/>
      <c r="BI511" s="91"/>
      <c r="BJ511" s="91"/>
      <c r="BK511" s="91"/>
      <c r="BL511" s="91"/>
      <c r="BM511" s="91"/>
      <c r="BN511" s="91"/>
      <c r="BO511" s="91"/>
      <c r="BP511" s="91"/>
      <c r="BQ511" s="91"/>
      <c r="BR511" s="91"/>
    </row>
    <row r="512" spans="1:70" ht="15.75" customHeight="1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  <c r="AU512" s="91"/>
      <c r="AV512" s="91"/>
      <c r="AW512" s="91"/>
      <c r="AX512" s="91"/>
      <c r="AY512" s="91"/>
      <c r="AZ512" s="91"/>
      <c r="BA512" s="91"/>
      <c r="BB512" s="91"/>
      <c r="BC512" s="91"/>
      <c r="BD512" s="91"/>
      <c r="BE512" s="91"/>
      <c r="BF512" s="91"/>
      <c r="BG512" s="91"/>
      <c r="BH512" s="91"/>
      <c r="BI512" s="91"/>
      <c r="BJ512" s="91"/>
      <c r="BK512" s="91"/>
      <c r="BL512" s="91"/>
      <c r="BM512" s="91"/>
      <c r="BN512" s="91"/>
      <c r="BO512" s="91"/>
      <c r="BP512" s="91"/>
      <c r="BQ512" s="91"/>
      <c r="BR512" s="91"/>
    </row>
    <row r="513" spans="1:70" ht="15.75" customHeight="1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  <c r="AU513" s="91"/>
      <c r="AV513" s="91"/>
      <c r="AW513" s="91"/>
      <c r="AX513" s="91"/>
      <c r="AY513" s="91"/>
      <c r="AZ513" s="91"/>
      <c r="BA513" s="91"/>
      <c r="BB513" s="91"/>
      <c r="BC513" s="91"/>
      <c r="BD513" s="91"/>
      <c r="BE513" s="91"/>
      <c r="BF513" s="91"/>
      <c r="BG513" s="91"/>
      <c r="BH513" s="91"/>
      <c r="BI513" s="91"/>
      <c r="BJ513" s="91"/>
      <c r="BK513" s="91"/>
      <c r="BL513" s="91"/>
      <c r="BM513" s="91"/>
      <c r="BN513" s="91"/>
      <c r="BO513" s="91"/>
      <c r="BP513" s="91"/>
      <c r="BQ513" s="91"/>
      <c r="BR513" s="91"/>
    </row>
    <row r="514" spans="1:70" ht="15.75" customHeight="1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  <c r="AU514" s="91"/>
      <c r="AV514" s="91"/>
      <c r="AW514" s="91"/>
      <c r="AX514" s="91"/>
      <c r="AY514" s="91"/>
      <c r="AZ514" s="91"/>
      <c r="BA514" s="91"/>
      <c r="BB514" s="91"/>
      <c r="BC514" s="91"/>
      <c r="BD514" s="91"/>
      <c r="BE514" s="91"/>
      <c r="BF514" s="91"/>
      <c r="BG514" s="91"/>
      <c r="BH514" s="91"/>
      <c r="BI514" s="91"/>
      <c r="BJ514" s="91"/>
      <c r="BK514" s="91"/>
      <c r="BL514" s="91"/>
      <c r="BM514" s="91"/>
      <c r="BN514" s="91"/>
      <c r="BO514" s="91"/>
      <c r="BP514" s="91"/>
      <c r="BQ514" s="91"/>
      <c r="BR514" s="91"/>
    </row>
    <row r="515" spans="1:70" ht="15.75" customHeight="1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  <c r="AU515" s="91"/>
      <c r="AV515" s="91"/>
      <c r="AW515" s="91"/>
      <c r="AX515" s="91"/>
      <c r="AY515" s="91"/>
      <c r="AZ515" s="91"/>
      <c r="BA515" s="91"/>
      <c r="BB515" s="91"/>
      <c r="BC515" s="91"/>
      <c r="BD515" s="91"/>
      <c r="BE515" s="91"/>
      <c r="BF515" s="91"/>
      <c r="BG515" s="91"/>
      <c r="BH515" s="91"/>
      <c r="BI515" s="91"/>
      <c r="BJ515" s="91"/>
      <c r="BK515" s="91"/>
      <c r="BL515" s="91"/>
      <c r="BM515" s="91"/>
      <c r="BN515" s="91"/>
      <c r="BO515" s="91"/>
      <c r="BP515" s="91"/>
      <c r="BQ515" s="91"/>
      <c r="BR515" s="91"/>
    </row>
    <row r="516" spans="1:70" ht="15.75" customHeight="1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  <c r="AU516" s="91"/>
      <c r="AV516" s="91"/>
      <c r="AW516" s="91"/>
      <c r="AX516" s="91"/>
      <c r="AY516" s="91"/>
      <c r="AZ516" s="91"/>
      <c r="BA516" s="91"/>
      <c r="BB516" s="91"/>
      <c r="BC516" s="91"/>
      <c r="BD516" s="91"/>
      <c r="BE516" s="91"/>
      <c r="BF516" s="91"/>
      <c r="BG516" s="91"/>
      <c r="BH516" s="91"/>
      <c r="BI516" s="91"/>
      <c r="BJ516" s="91"/>
      <c r="BK516" s="91"/>
      <c r="BL516" s="91"/>
      <c r="BM516" s="91"/>
      <c r="BN516" s="91"/>
      <c r="BO516" s="91"/>
      <c r="BP516" s="91"/>
      <c r="BQ516" s="91"/>
      <c r="BR516" s="91"/>
    </row>
    <row r="517" spans="1:70" ht="15.75" customHeight="1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  <c r="AU517" s="91"/>
      <c r="AV517" s="91"/>
      <c r="AW517" s="91"/>
      <c r="AX517" s="91"/>
      <c r="AY517" s="91"/>
      <c r="AZ517" s="91"/>
      <c r="BA517" s="91"/>
      <c r="BB517" s="91"/>
      <c r="BC517" s="91"/>
      <c r="BD517" s="91"/>
      <c r="BE517" s="91"/>
      <c r="BF517" s="91"/>
      <c r="BG517" s="91"/>
      <c r="BH517" s="91"/>
      <c r="BI517" s="91"/>
      <c r="BJ517" s="91"/>
      <c r="BK517" s="91"/>
      <c r="BL517" s="91"/>
      <c r="BM517" s="91"/>
      <c r="BN517" s="91"/>
      <c r="BO517" s="91"/>
      <c r="BP517" s="91"/>
      <c r="BQ517" s="91"/>
      <c r="BR517" s="91"/>
    </row>
    <row r="518" spans="1:70" ht="15.75" customHeight="1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  <c r="AU518" s="91"/>
      <c r="AV518" s="91"/>
      <c r="AW518" s="91"/>
      <c r="AX518" s="91"/>
      <c r="AY518" s="91"/>
      <c r="AZ518" s="91"/>
      <c r="BA518" s="91"/>
      <c r="BB518" s="91"/>
      <c r="BC518" s="91"/>
      <c r="BD518" s="91"/>
      <c r="BE518" s="91"/>
      <c r="BF518" s="91"/>
      <c r="BG518" s="91"/>
      <c r="BH518" s="91"/>
      <c r="BI518" s="91"/>
      <c r="BJ518" s="91"/>
      <c r="BK518" s="91"/>
      <c r="BL518" s="91"/>
      <c r="BM518" s="91"/>
      <c r="BN518" s="91"/>
      <c r="BO518" s="91"/>
      <c r="BP518" s="91"/>
      <c r="BQ518" s="91"/>
      <c r="BR518" s="91"/>
    </row>
    <row r="519" spans="1:70" ht="15.75" customHeight="1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  <c r="AU519" s="91"/>
      <c r="AV519" s="91"/>
      <c r="AW519" s="91"/>
      <c r="AX519" s="91"/>
      <c r="AY519" s="91"/>
      <c r="AZ519" s="91"/>
      <c r="BA519" s="91"/>
      <c r="BB519" s="91"/>
      <c r="BC519" s="91"/>
      <c r="BD519" s="91"/>
      <c r="BE519" s="91"/>
      <c r="BF519" s="91"/>
      <c r="BG519" s="91"/>
      <c r="BH519" s="91"/>
      <c r="BI519" s="91"/>
      <c r="BJ519" s="91"/>
      <c r="BK519" s="91"/>
      <c r="BL519" s="91"/>
      <c r="BM519" s="91"/>
      <c r="BN519" s="91"/>
      <c r="BO519" s="91"/>
      <c r="BP519" s="91"/>
      <c r="BQ519" s="91"/>
      <c r="BR519" s="91"/>
    </row>
    <row r="520" spans="1:70" ht="15.75" customHeight="1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  <c r="AU520" s="91"/>
      <c r="AV520" s="91"/>
      <c r="AW520" s="91"/>
      <c r="AX520" s="91"/>
      <c r="AY520" s="91"/>
      <c r="AZ520" s="91"/>
      <c r="BA520" s="91"/>
      <c r="BB520" s="91"/>
      <c r="BC520" s="91"/>
      <c r="BD520" s="91"/>
      <c r="BE520" s="91"/>
      <c r="BF520" s="91"/>
      <c r="BG520" s="91"/>
      <c r="BH520" s="91"/>
      <c r="BI520" s="91"/>
      <c r="BJ520" s="91"/>
      <c r="BK520" s="91"/>
      <c r="BL520" s="91"/>
      <c r="BM520" s="91"/>
      <c r="BN520" s="91"/>
      <c r="BO520" s="91"/>
      <c r="BP520" s="91"/>
      <c r="BQ520" s="91"/>
      <c r="BR520" s="91"/>
    </row>
    <row r="521" spans="1:70" ht="15.75" customHeight="1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  <c r="AU521" s="91"/>
      <c r="AV521" s="91"/>
      <c r="AW521" s="91"/>
      <c r="AX521" s="91"/>
      <c r="AY521" s="91"/>
      <c r="AZ521" s="91"/>
      <c r="BA521" s="91"/>
      <c r="BB521" s="91"/>
      <c r="BC521" s="91"/>
      <c r="BD521" s="91"/>
      <c r="BE521" s="91"/>
      <c r="BF521" s="91"/>
      <c r="BG521" s="91"/>
      <c r="BH521" s="91"/>
      <c r="BI521" s="91"/>
      <c r="BJ521" s="91"/>
      <c r="BK521" s="91"/>
      <c r="BL521" s="91"/>
      <c r="BM521" s="91"/>
      <c r="BN521" s="91"/>
      <c r="BO521" s="91"/>
      <c r="BP521" s="91"/>
      <c r="BQ521" s="91"/>
      <c r="BR521" s="91"/>
    </row>
    <row r="522" spans="1:70" ht="15.75" customHeight="1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  <c r="AU522" s="91"/>
      <c r="AV522" s="91"/>
      <c r="AW522" s="91"/>
      <c r="AX522" s="91"/>
      <c r="AY522" s="91"/>
      <c r="AZ522" s="91"/>
      <c r="BA522" s="91"/>
      <c r="BB522" s="91"/>
      <c r="BC522" s="91"/>
      <c r="BD522" s="91"/>
      <c r="BE522" s="91"/>
      <c r="BF522" s="91"/>
      <c r="BG522" s="91"/>
      <c r="BH522" s="91"/>
      <c r="BI522" s="91"/>
      <c r="BJ522" s="91"/>
      <c r="BK522" s="91"/>
      <c r="BL522" s="91"/>
      <c r="BM522" s="91"/>
      <c r="BN522" s="91"/>
      <c r="BO522" s="91"/>
      <c r="BP522" s="91"/>
      <c r="BQ522" s="91"/>
      <c r="BR522" s="91"/>
    </row>
    <row r="523" spans="1:70" ht="15.75" customHeight="1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  <c r="AU523" s="91"/>
      <c r="AV523" s="91"/>
      <c r="AW523" s="91"/>
      <c r="AX523" s="91"/>
      <c r="AY523" s="91"/>
      <c r="AZ523" s="91"/>
      <c r="BA523" s="91"/>
      <c r="BB523" s="91"/>
      <c r="BC523" s="91"/>
      <c r="BD523" s="91"/>
      <c r="BE523" s="91"/>
      <c r="BF523" s="91"/>
      <c r="BG523" s="91"/>
      <c r="BH523" s="91"/>
      <c r="BI523" s="91"/>
      <c r="BJ523" s="91"/>
      <c r="BK523" s="91"/>
      <c r="BL523" s="91"/>
      <c r="BM523" s="91"/>
      <c r="BN523" s="91"/>
      <c r="BO523" s="91"/>
      <c r="BP523" s="91"/>
      <c r="BQ523" s="91"/>
      <c r="BR523" s="91"/>
    </row>
    <row r="524" spans="1:70" ht="15.75" customHeight="1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  <c r="AU524" s="91"/>
      <c r="AV524" s="91"/>
      <c r="AW524" s="91"/>
      <c r="AX524" s="91"/>
      <c r="AY524" s="91"/>
      <c r="AZ524" s="91"/>
      <c r="BA524" s="91"/>
      <c r="BB524" s="91"/>
      <c r="BC524" s="91"/>
      <c r="BD524" s="91"/>
      <c r="BE524" s="91"/>
      <c r="BF524" s="91"/>
      <c r="BG524" s="91"/>
      <c r="BH524" s="91"/>
      <c r="BI524" s="91"/>
      <c r="BJ524" s="91"/>
      <c r="BK524" s="91"/>
      <c r="BL524" s="91"/>
      <c r="BM524" s="91"/>
      <c r="BN524" s="91"/>
      <c r="BO524" s="91"/>
      <c r="BP524" s="91"/>
      <c r="BQ524" s="91"/>
      <c r="BR524" s="91"/>
    </row>
    <row r="525" spans="1:70" ht="15.75" customHeight="1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  <c r="AU525" s="91"/>
      <c r="AV525" s="91"/>
      <c r="AW525" s="91"/>
      <c r="AX525" s="91"/>
      <c r="AY525" s="91"/>
      <c r="AZ525" s="91"/>
      <c r="BA525" s="91"/>
      <c r="BB525" s="91"/>
      <c r="BC525" s="91"/>
      <c r="BD525" s="91"/>
      <c r="BE525" s="91"/>
      <c r="BF525" s="91"/>
      <c r="BG525" s="91"/>
      <c r="BH525" s="91"/>
      <c r="BI525" s="91"/>
      <c r="BJ525" s="91"/>
      <c r="BK525" s="91"/>
      <c r="BL525" s="91"/>
      <c r="BM525" s="91"/>
      <c r="BN525" s="91"/>
      <c r="BO525" s="91"/>
      <c r="BP525" s="91"/>
      <c r="BQ525" s="91"/>
      <c r="BR525" s="91"/>
    </row>
    <row r="526" spans="1:70" ht="15.75" customHeight="1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  <c r="AU526" s="91"/>
      <c r="AV526" s="91"/>
      <c r="AW526" s="91"/>
      <c r="AX526" s="91"/>
      <c r="AY526" s="91"/>
      <c r="AZ526" s="91"/>
      <c r="BA526" s="91"/>
      <c r="BB526" s="91"/>
      <c r="BC526" s="91"/>
      <c r="BD526" s="91"/>
      <c r="BE526" s="91"/>
      <c r="BF526" s="91"/>
      <c r="BG526" s="91"/>
      <c r="BH526" s="91"/>
      <c r="BI526" s="91"/>
      <c r="BJ526" s="91"/>
      <c r="BK526" s="91"/>
      <c r="BL526" s="91"/>
      <c r="BM526" s="91"/>
      <c r="BN526" s="91"/>
      <c r="BO526" s="91"/>
      <c r="BP526" s="91"/>
      <c r="BQ526" s="91"/>
      <c r="BR526" s="91"/>
    </row>
    <row r="527" spans="1:70" ht="15.75" customHeight="1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  <c r="AU527" s="91"/>
      <c r="AV527" s="91"/>
      <c r="AW527" s="91"/>
      <c r="AX527" s="91"/>
      <c r="AY527" s="91"/>
      <c r="AZ527" s="91"/>
      <c r="BA527" s="91"/>
      <c r="BB527" s="91"/>
      <c r="BC527" s="91"/>
      <c r="BD527" s="91"/>
      <c r="BE527" s="91"/>
      <c r="BF527" s="91"/>
      <c r="BG527" s="91"/>
      <c r="BH527" s="91"/>
      <c r="BI527" s="91"/>
      <c r="BJ527" s="91"/>
      <c r="BK527" s="91"/>
      <c r="BL527" s="91"/>
      <c r="BM527" s="91"/>
      <c r="BN527" s="91"/>
      <c r="BO527" s="91"/>
      <c r="BP527" s="91"/>
      <c r="BQ527" s="91"/>
      <c r="BR527" s="91"/>
    </row>
    <row r="528" spans="1:70" ht="15.75" customHeight="1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  <c r="AU528" s="91"/>
      <c r="AV528" s="91"/>
      <c r="AW528" s="91"/>
      <c r="AX528" s="91"/>
      <c r="AY528" s="91"/>
      <c r="AZ528" s="91"/>
      <c r="BA528" s="91"/>
      <c r="BB528" s="91"/>
      <c r="BC528" s="91"/>
      <c r="BD528" s="91"/>
      <c r="BE528" s="91"/>
      <c r="BF528" s="91"/>
      <c r="BG528" s="91"/>
      <c r="BH528" s="91"/>
      <c r="BI528" s="91"/>
      <c r="BJ528" s="91"/>
      <c r="BK528" s="91"/>
      <c r="BL528" s="91"/>
      <c r="BM528" s="91"/>
      <c r="BN528" s="91"/>
      <c r="BO528" s="91"/>
      <c r="BP528" s="91"/>
      <c r="BQ528" s="91"/>
      <c r="BR528" s="91"/>
    </row>
    <row r="529" spans="1:70" ht="15.75" customHeight="1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  <c r="AU529" s="91"/>
      <c r="AV529" s="91"/>
      <c r="AW529" s="91"/>
      <c r="AX529" s="91"/>
      <c r="AY529" s="91"/>
      <c r="AZ529" s="91"/>
      <c r="BA529" s="91"/>
      <c r="BB529" s="91"/>
      <c r="BC529" s="91"/>
      <c r="BD529" s="91"/>
      <c r="BE529" s="91"/>
      <c r="BF529" s="91"/>
      <c r="BG529" s="91"/>
      <c r="BH529" s="91"/>
      <c r="BI529" s="91"/>
      <c r="BJ529" s="91"/>
      <c r="BK529" s="91"/>
      <c r="BL529" s="91"/>
      <c r="BM529" s="91"/>
      <c r="BN529" s="91"/>
      <c r="BO529" s="91"/>
      <c r="BP529" s="91"/>
      <c r="BQ529" s="91"/>
      <c r="BR529" s="91"/>
    </row>
    <row r="530" spans="1:70" ht="15.75" customHeight="1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  <c r="AU530" s="91"/>
      <c r="AV530" s="91"/>
      <c r="AW530" s="91"/>
      <c r="AX530" s="91"/>
      <c r="AY530" s="91"/>
      <c r="AZ530" s="91"/>
      <c r="BA530" s="91"/>
      <c r="BB530" s="91"/>
      <c r="BC530" s="91"/>
      <c r="BD530" s="91"/>
      <c r="BE530" s="91"/>
      <c r="BF530" s="91"/>
      <c r="BG530" s="91"/>
      <c r="BH530" s="91"/>
      <c r="BI530" s="91"/>
      <c r="BJ530" s="91"/>
      <c r="BK530" s="91"/>
      <c r="BL530" s="91"/>
      <c r="BM530" s="91"/>
      <c r="BN530" s="91"/>
      <c r="BO530" s="91"/>
      <c r="BP530" s="91"/>
      <c r="BQ530" s="91"/>
      <c r="BR530" s="91"/>
    </row>
    <row r="531" spans="1:70" ht="15.75" customHeight="1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  <c r="AU531" s="91"/>
      <c r="AV531" s="91"/>
      <c r="AW531" s="91"/>
      <c r="AX531" s="91"/>
      <c r="AY531" s="91"/>
      <c r="AZ531" s="91"/>
      <c r="BA531" s="91"/>
      <c r="BB531" s="91"/>
      <c r="BC531" s="91"/>
      <c r="BD531" s="91"/>
      <c r="BE531" s="91"/>
      <c r="BF531" s="91"/>
      <c r="BG531" s="91"/>
      <c r="BH531" s="91"/>
      <c r="BI531" s="91"/>
      <c r="BJ531" s="91"/>
      <c r="BK531" s="91"/>
      <c r="BL531" s="91"/>
      <c r="BM531" s="91"/>
      <c r="BN531" s="91"/>
      <c r="BO531" s="91"/>
      <c r="BP531" s="91"/>
      <c r="BQ531" s="91"/>
      <c r="BR531" s="91"/>
    </row>
    <row r="532" spans="1:70" ht="15.75" customHeight="1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  <c r="AU532" s="91"/>
      <c r="AV532" s="91"/>
      <c r="AW532" s="91"/>
      <c r="AX532" s="91"/>
      <c r="AY532" s="91"/>
      <c r="AZ532" s="91"/>
      <c r="BA532" s="91"/>
      <c r="BB532" s="91"/>
      <c r="BC532" s="91"/>
      <c r="BD532" s="91"/>
      <c r="BE532" s="91"/>
      <c r="BF532" s="91"/>
      <c r="BG532" s="91"/>
      <c r="BH532" s="91"/>
      <c r="BI532" s="91"/>
      <c r="BJ532" s="91"/>
      <c r="BK532" s="91"/>
      <c r="BL532" s="91"/>
      <c r="BM532" s="91"/>
      <c r="BN532" s="91"/>
      <c r="BO532" s="91"/>
      <c r="BP532" s="91"/>
      <c r="BQ532" s="91"/>
      <c r="BR532" s="91"/>
    </row>
    <row r="533" spans="1:70" ht="15.75" customHeight="1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  <c r="AU533" s="91"/>
      <c r="AV533" s="91"/>
      <c r="AW533" s="91"/>
      <c r="AX533" s="91"/>
      <c r="AY533" s="91"/>
      <c r="AZ533" s="91"/>
      <c r="BA533" s="91"/>
      <c r="BB533" s="91"/>
      <c r="BC533" s="91"/>
      <c r="BD533" s="91"/>
      <c r="BE533" s="91"/>
      <c r="BF533" s="91"/>
      <c r="BG533" s="91"/>
      <c r="BH533" s="91"/>
      <c r="BI533" s="91"/>
      <c r="BJ533" s="91"/>
      <c r="BK533" s="91"/>
      <c r="BL533" s="91"/>
      <c r="BM533" s="91"/>
      <c r="BN533" s="91"/>
      <c r="BO533" s="91"/>
      <c r="BP533" s="91"/>
      <c r="BQ533" s="91"/>
      <c r="BR533" s="91"/>
    </row>
    <row r="534" spans="1:70" ht="15.75" customHeight="1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  <c r="AU534" s="91"/>
      <c r="AV534" s="91"/>
      <c r="AW534" s="91"/>
      <c r="AX534" s="91"/>
      <c r="AY534" s="91"/>
      <c r="AZ534" s="91"/>
      <c r="BA534" s="91"/>
      <c r="BB534" s="91"/>
      <c r="BC534" s="91"/>
      <c r="BD534" s="91"/>
      <c r="BE534" s="91"/>
      <c r="BF534" s="91"/>
      <c r="BG534" s="91"/>
      <c r="BH534" s="91"/>
      <c r="BI534" s="91"/>
      <c r="BJ534" s="91"/>
      <c r="BK534" s="91"/>
      <c r="BL534" s="91"/>
      <c r="BM534" s="91"/>
      <c r="BN534" s="91"/>
      <c r="BO534" s="91"/>
      <c r="BP534" s="91"/>
      <c r="BQ534" s="91"/>
      <c r="BR534" s="91"/>
    </row>
    <row r="535" spans="1:70" ht="15.75" customHeight="1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  <c r="AU535" s="91"/>
      <c r="AV535" s="91"/>
      <c r="AW535" s="91"/>
      <c r="AX535" s="91"/>
      <c r="AY535" s="91"/>
      <c r="AZ535" s="91"/>
      <c r="BA535" s="91"/>
      <c r="BB535" s="91"/>
      <c r="BC535" s="91"/>
      <c r="BD535" s="91"/>
      <c r="BE535" s="91"/>
      <c r="BF535" s="91"/>
      <c r="BG535" s="91"/>
      <c r="BH535" s="91"/>
      <c r="BI535" s="91"/>
      <c r="BJ535" s="91"/>
      <c r="BK535" s="91"/>
      <c r="BL535" s="91"/>
      <c r="BM535" s="91"/>
      <c r="BN535" s="91"/>
      <c r="BO535" s="91"/>
      <c r="BP535" s="91"/>
      <c r="BQ535" s="91"/>
      <c r="BR535" s="91"/>
    </row>
    <row r="536" spans="1:70" ht="15.75" customHeight="1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  <c r="AU536" s="91"/>
      <c r="AV536" s="91"/>
      <c r="AW536" s="91"/>
      <c r="AX536" s="91"/>
      <c r="AY536" s="91"/>
      <c r="AZ536" s="91"/>
      <c r="BA536" s="91"/>
      <c r="BB536" s="91"/>
      <c r="BC536" s="91"/>
      <c r="BD536" s="91"/>
      <c r="BE536" s="91"/>
      <c r="BF536" s="91"/>
      <c r="BG536" s="91"/>
      <c r="BH536" s="91"/>
      <c r="BI536" s="91"/>
      <c r="BJ536" s="91"/>
      <c r="BK536" s="91"/>
      <c r="BL536" s="91"/>
      <c r="BM536" s="91"/>
      <c r="BN536" s="91"/>
      <c r="BO536" s="91"/>
      <c r="BP536" s="91"/>
      <c r="BQ536" s="91"/>
      <c r="BR536" s="91"/>
    </row>
    <row r="537" spans="1:70" ht="15.75" customHeight="1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  <c r="AU537" s="91"/>
      <c r="AV537" s="91"/>
      <c r="AW537" s="91"/>
      <c r="AX537" s="91"/>
      <c r="AY537" s="91"/>
      <c r="AZ537" s="91"/>
      <c r="BA537" s="91"/>
      <c r="BB537" s="91"/>
      <c r="BC537" s="91"/>
      <c r="BD537" s="91"/>
      <c r="BE537" s="91"/>
      <c r="BF537" s="91"/>
      <c r="BG537" s="91"/>
      <c r="BH537" s="91"/>
      <c r="BI537" s="91"/>
      <c r="BJ537" s="91"/>
      <c r="BK537" s="91"/>
      <c r="BL537" s="91"/>
      <c r="BM537" s="91"/>
      <c r="BN537" s="91"/>
      <c r="BO537" s="91"/>
      <c r="BP537" s="91"/>
      <c r="BQ537" s="91"/>
      <c r="BR537" s="91"/>
    </row>
    <row r="538" spans="1:70" ht="15.75" customHeight="1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  <c r="AU538" s="91"/>
      <c r="AV538" s="91"/>
      <c r="AW538" s="91"/>
      <c r="AX538" s="91"/>
      <c r="AY538" s="91"/>
      <c r="AZ538" s="91"/>
      <c r="BA538" s="91"/>
      <c r="BB538" s="91"/>
      <c r="BC538" s="91"/>
      <c r="BD538" s="91"/>
      <c r="BE538" s="91"/>
      <c r="BF538" s="91"/>
      <c r="BG538" s="91"/>
      <c r="BH538" s="91"/>
      <c r="BI538" s="91"/>
      <c r="BJ538" s="91"/>
      <c r="BK538" s="91"/>
      <c r="BL538" s="91"/>
      <c r="BM538" s="91"/>
      <c r="BN538" s="91"/>
      <c r="BO538" s="91"/>
      <c r="BP538" s="91"/>
      <c r="BQ538" s="91"/>
      <c r="BR538" s="91"/>
    </row>
    <row r="539" spans="1:70" ht="15.75" customHeight="1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  <c r="AU539" s="91"/>
      <c r="AV539" s="91"/>
      <c r="AW539" s="91"/>
      <c r="AX539" s="91"/>
      <c r="AY539" s="91"/>
      <c r="AZ539" s="91"/>
      <c r="BA539" s="91"/>
      <c r="BB539" s="91"/>
      <c r="BC539" s="91"/>
      <c r="BD539" s="91"/>
      <c r="BE539" s="91"/>
      <c r="BF539" s="91"/>
      <c r="BG539" s="91"/>
      <c r="BH539" s="91"/>
      <c r="BI539" s="91"/>
      <c r="BJ539" s="91"/>
      <c r="BK539" s="91"/>
      <c r="BL539" s="91"/>
      <c r="BM539" s="91"/>
      <c r="BN539" s="91"/>
      <c r="BO539" s="91"/>
      <c r="BP539" s="91"/>
      <c r="BQ539" s="91"/>
      <c r="BR539" s="91"/>
    </row>
    <row r="540" spans="1:70" ht="15.75" customHeight="1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  <c r="AU540" s="91"/>
      <c r="AV540" s="91"/>
      <c r="AW540" s="91"/>
      <c r="AX540" s="91"/>
      <c r="AY540" s="91"/>
      <c r="AZ540" s="91"/>
      <c r="BA540" s="91"/>
      <c r="BB540" s="91"/>
      <c r="BC540" s="91"/>
      <c r="BD540" s="91"/>
      <c r="BE540" s="91"/>
      <c r="BF540" s="91"/>
      <c r="BG540" s="91"/>
      <c r="BH540" s="91"/>
      <c r="BI540" s="91"/>
      <c r="BJ540" s="91"/>
      <c r="BK540" s="91"/>
      <c r="BL540" s="91"/>
      <c r="BM540" s="91"/>
      <c r="BN540" s="91"/>
      <c r="BO540" s="91"/>
      <c r="BP540" s="91"/>
      <c r="BQ540" s="91"/>
      <c r="BR540" s="91"/>
    </row>
    <row r="541" spans="1:70" ht="15.75" customHeight="1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  <c r="AU541" s="91"/>
      <c r="AV541" s="91"/>
      <c r="AW541" s="91"/>
      <c r="AX541" s="91"/>
      <c r="AY541" s="91"/>
      <c r="AZ541" s="91"/>
      <c r="BA541" s="91"/>
      <c r="BB541" s="91"/>
      <c r="BC541" s="91"/>
      <c r="BD541" s="91"/>
      <c r="BE541" s="91"/>
      <c r="BF541" s="91"/>
      <c r="BG541" s="91"/>
      <c r="BH541" s="91"/>
      <c r="BI541" s="91"/>
      <c r="BJ541" s="91"/>
      <c r="BK541" s="91"/>
      <c r="BL541" s="91"/>
      <c r="BM541" s="91"/>
      <c r="BN541" s="91"/>
      <c r="BO541" s="91"/>
      <c r="BP541" s="91"/>
      <c r="BQ541" s="91"/>
      <c r="BR541" s="91"/>
    </row>
    <row r="542" spans="1:70" ht="15.75" customHeight="1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  <c r="AU542" s="91"/>
      <c r="AV542" s="91"/>
      <c r="AW542" s="91"/>
      <c r="AX542" s="91"/>
      <c r="AY542" s="91"/>
      <c r="AZ542" s="91"/>
      <c r="BA542" s="91"/>
      <c r="BB542" s="91"/>
      <c r="BC542" s="91"/>
      <c r="BD542" s="91"/>
      <c r="BE542" s="91"/>
      <c r="BF542" s="91"/>
      <c r="BG542" s="91"/>
      <c r="BH542" s="91"/>
      <c r="BI542" s="91"/>
      <c r="BJ542" s="91"/>
      <c r="BK542" s="91"/>
      <c r="BL542" s="91"/>
      <c r="BM542" s="91"/>
      <c r="BN542" s="91"/>
      <c r="BO542" s="91"/>
      <c r="BP542" s="91"/>
      <c r="BQ542" s="91"/>
      <c r="BR542" s="91"/>
    </row>
    <row r="543" spans="1:70" ht="15.75" customHeight="1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  <c r="AU543" s="91"/>
      <c r="AV543" s="91"/>
      <c r="AW543" s="91"/>
      <c r="AX543" s="91"/>
      <c r="AY543" s="91"/>
      <c r="AZ543" s="91"/>
      <c r="BA543" s="91"/>
      <c r="BB543" s="91"/>
      <c r="BC543" s="91"/>
      <c r="BD543" s="91"/>
      <c r="BE543" s="91"/>
      <c r="BF543" s="91"/>
      <c r="BG543" s="91"/>
      <c r="BH543" s="91"/>
      <c r="BI543" s="91"/>
      <c r="BJ543" s="91"/>
      <c r="BK543" s="91"/>
      <c r="BL543" s="91"/>
      <c r="BM543" s="91"/>
      <c r="BN543" s="91"/>
      <c r="BO543" s="91"/>
      <c r="BP543" s="91"/>
      <c r="BQ543" s="91"/>
      <c r="BR543" s="91"/>
    </row>
    <row r="544" spans="1:70" ht="15.75" customHeight="1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  <c r="AU544" s="91"/>
      <c r="AV544" s="91"/>
      <c r="AW544" s="91"/>
      <c r="AX544" s="91"/>
      <c r="AY544" s="91"/>
      <c r="AZ544" s="91"/>
      <c r="BA544" s="91"/>
      <c r="BB544" s="91"/>
      <c r="BC544" s="91"/>
      <c r="BD544" s="91"/>
      <c r="BE544" s="91"/>
      <c r="BF544" s="91"/>
      <c r="BG544" s="91"/>
      <c r="BH544" s="91"/>
      <c r="BI544" s="91"/>
      <c r="BJ544" s="91"/>
      <c r="BK544" s="91"/>
      <c r="BL544" s="91"/>
      <c r="BM544" s="91"/>
      <c r="BN544" s="91"/>
      <c r="BO544" s="91"/>
      <c r="BP544" s="91"/>
      <c r="BQ544" s="91"/>
      <c r="BR544" s="91"/>
    </row>
    <row r="545" spans="1:70" ht="15.75" customHeight="1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  <c r="AU545" s="91"/>
      <c r="AV545" s="91"/>
      <c r="AW545" s="91"/>
      <c r="AX545" s="91"/>
      <c r="AY545" s="91"/>
      <c r="AZ545" s="91"/>
      <c r="BA545" s="91"/>
      <c r="BB545" s="91"/>
      <c r="BC545" s="91"/>
      <c r="BD545" s="91"/>
      <c r="BE545" s="91"/>
      <c r="BF545" s="91"/>
      <c r="BG545" s="91"/>
      <c r="BH545" s="91"/>
      <c r="BI545" s="91"/>
      <c r="BJ545" s="91"/>
      <c r="BK545" s="91"/>
      <c r="BL545" s="91"/>
      <c r="BM545" s="91"/>
      <c r="BN545" s="91"/>
      <c r="BO545" s="91"/>
      <c r="BP545" s="91"/>
      <c r="BQ545" s="91"/>
      <c r="BR545" s="91"/>
    </row>
    <row r="546" spans="1:70" ht="15.75" customHeight="1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  <c r="AU546" s="91"/>
      <c r="AV546" s="91"/>
      <c r="AW546" s="91"/>
      <c r="AX546" s="91"/>
      <c r="AY546" s="91"/>
      <c r="AZ546" s="91"/>
      <c r="BA546" s="91"/>
      <c r="BB546" s="91"/>
      <c r="BC546" s="91"/>
      <c r="BD546" s="91"/>
      <c r="BE546" s="91"/>
      <c r="BF546" s="91"/>
      <c r="BG546" s="91"/>
      <c r="BH546" s="91"/>
      <c r="BI546" s="91"/>
      <c r="BJ546" s="91"/>
      <c r="BK546" s="91"/>
      <c r="BL546" s="91"/>
      <c r="BM546" s="91"/>
      <c r="BN546" s="91"/>
      <c r="BO546" s="91"/>
      <c r="BP546" s="91"/>
      <c r="BQ546" s="91"/>
      <c r="BR546" s="91"/>
    </row>
    <row r="547" spans="1:70" ht="15.75" customHeight="1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  <c r="AU547" s="91"/>
      <c r="AV547" s="91"/>
      <c r="AW547" s="91"/>
      <c r="AX547" s="91"/>
      <c r="AY547" s="91"/>
      <c r="AZ547" s="91"/>
      <c r="BA547" s="91"/>
      <c r="BB547" s="91"/>
      <c r="BC547" s="91"/>
      <c r="BD547" s="91"/>
      <c r="BE547" s="91"/>
      <c r="BF547" s="91"/>
      <c r="BG547" s="91"/>
      <c r="BH547" s="91"/>
      <c r="BI547" s="91"/>
      <c r="BJ547" s="91"/>
      <c r="BK547" s="91"/>
      <c r="BL547" s="91"/>
      <c r="BM547" s="91"/>
      <c r="BN547" s="91"/>
      <c r="BO547" s="91"/>
      <c r="BP547" s="91"/>
      <c r="BQ547" s="91"/>
      <c r="BR547" s="91"/>
    </row>
    <row r="548" spans="1:70" ht="15.75" customHeight="1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  <c r="AU548" s="91"/>
      <c r="AV548" s="91"/>
      <c r="AW548" s="91"/>
      <c r="AX548" s="91"/>
      <c r="AY548" s="91"/>
      <c r="AZ548" s="91"/>
      <c r="BA548" s="91"/>
      <c r="BB548" s="91"/>
      <c r="BC548" s="91"/>
      <c r="BD548" s="91"/>
      <c r="BE548" s="91"/>
      <c r="BF548" s="91"/>
      <c r="BG548" s="91"/>
      <c r="BH548" s="91"/>
      <c r="BI548" s="91"/>
      <c r="BJ548" s="91"/>
      <c r="BK548" s="91"/>
      <c r="BL548" s="91"/>
      <c r="BM548" s="91"/>
      <c r="BN548" s="91"/>
      <c r="BO548" s="91"/>
      <c r="BP548" s="91"/>
      <c r="BQ548" s="91"/>
      <c r="BR548" s="91"/>
    </row>
    <row r="549" spans="1:70" ht="15.75" customHeight="1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  <c r="AU549" s="91"/>
      <c r="AV549" s="91"/>
      <c r="AW549" s="91"/>
      <c r="AX549" s="91"/>
      <c r="AY549" s="91"/>
      <c r="AZ549" s="91"/>
      <c r="BA549" s="91"/>
      <c r="BB549" s="91"/>
      <c r="BC549" s="91"/>
      <c r="BD549" s="91"/>
      <c r="BE549" s="91"/>
      <c r="BF549" s="91"/>
      <c r="BG549" s="91"/>
      <c r="BH549" s="91"/>
      <c r="BI549" s="91"/>
      <c r="BJ549" s="91"/>
      <c r="BK549" s="91"/>
      <c r="BL549" s="91"/>
      <c r="BM549" s="91"/>
      <c r="BN549" s="91"/>
      <c r="BO549" s="91"/>
      <c r="BP549" s="91"/>
      <c r="BQ549" s="91"/>
      <c r="BR549" s="91"/>
    </row>
    <row r="550" spans="1:70" ht="15.75" customHeight="1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  <c r="AU550" s="91"/>
      <c r="AV550" s="91"/>
      <c r="AW550" s="91"/>
      <c r="AX550" s="91"/>
      <c r="AY550" s="91"/>
      <c r="AZ550" s="91"/>
      <c r="BA550" s="91"/>
      <c r="BB550" s="91"/>
      <c r="BC550" s="91"/>
      <c r="BD550" s="91"/>
      <c r="BE550" s="91"/>
      <c r="BF550" s="91"/>
      <c r="BG550" s="91"/>
      <c r="BH550" s="91"/>
      <c r="BI550" s="91"/>
      <c r="BJ550" s="91"/>
      <c r="BK550" s="91"/>
      <c r="BL550" s="91"/>
      <c r="BM550" s="91"/>
      <c r="BN550" s="91"/>
      <c r="BO550" s="91"/>
      <c r="BP550" s="91"/>
      <c r="BQ550" s="91"/>
      <c r="BR550" s="91"/>
    </row>
    <row r="551" spans="1:70" ht="15.75" customHeight="1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  <c r="AU551" s="91"/>
      <c r="AV551" s="91"/>
      <c r="AW551" s="91"/>
      <c r="AX551" s="91"/>
      <c r="AY551" s="91"/>
      <c r="AZ551" s="91"/>
      <c r="BA551" s="91"/>
      <c r="BB551" s="91"/>
      <c r="BC551" s="91"/>
      <c r="BD551" s="91"/>
      <c r="BE551" s="91"/>
      <c r="BF551" s="91"/>
      <c r="BG551" s="91"/>
      <c r="BH551" s="91"/>
      <c r="BI551" s="91"/>
      <c r="BJ551" s="91"/>
      <c r="BK551" s="91"/>
      <c r="BL551" s="91"/>
      <c r="BM551" s="91"/>
      <c r="BN551" s="91"/>
      <c r="BO551" s="91"/>
      <c r="BP551" s="91"/>
      <c r="BQ551" s="91"/>
      <c r="BR551" s="91"/>
    </row>
    <row r="552" spans="1:70" ht="15.75" customHeight="1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  <c r="AU552" s="91"/>
      <c r="AV552" s="91"/>
      <c r="AW552" s="91"/>
      <c r="AX552" s="91"/>
      <c r="AY552" s="91"/>
      <c r="AZ552" s="91"/>
      <c r="BA552" s="91"/>
      <c r="BB552" s="91"/>
      <c r="BC552" s="91"/>
      <c r="BD552" s="91"/>
      <c r="BE552" s="91"/>
      <c r="BF552" s="91"/>
      <c r="BG552" s="91"/>
      <c r="BH552" s="91"/>
      <c r="BI552" s="91"/>
      <c r="BJ552" s="91"/>
      <c r="BK552" s="91"/>
      <c r="BL552" s="91"/>
      <c r="BM552" s="91"/>
      <c r="BN552" s="91"/>
      <c r="BO552" s="91"/>
      <c r="BP552" s="91"/>
      <c r="BQ552" s="91"/>
      <c r="BR552" s="91"/>
    </row>
    <row r="553" spans="1:70" ht="15.75" customHeight="1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  <c r="AU553" s="91"/>
      <c r="AV553" s="91"/>
      <c r="AW553" s="91"/>
      <c r="AX553" s="91"/>
      <c r="AY553" s="91"/>
      <c r="AZ553" s="91"/>
      <c r="BA553" s="91"/>
      <c r="BB553" s="91"/>
      <c r="BC553" s="91"/>
      <c r="BD553" s="91"/>
      <c r="BE553" s="91"/>
      <c r="BF553" s="91"/>
      <c r="BG553" s="91"/>
      <c r="BH553" s="91"/>
      <c r="BI553" s="91"/>
      <c r="BJ553" s="91"/>
      <c r="BK553" s="91"/>
      <c r="BL553" s="91"/>
      <c r="BM553" s="91"/>
      <c r="BN553" s="91"/>
      <c r="BO553" s="91"/>
      <c r="BP553" s="91"/>
      <c r="BQ553" s="91"/>
      <c r="BR553" s="91"/>
    </row>
    <row r="554" spans="1:70" ht="15.75" customHeight="1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  <c r="AU554" s="91"/>
      <c r="AV554" s="91"/>
      <c r="AW554" s="91"/>
      <c r="AX554" s="91"/>
      <c r="AY554" s="91"/>
      <c r="AZ554" s="91"/>
      <c r="BA554" s="91"/>
      <c r="BB554" s="91"/>
      <c r="BC554" s="91"/>
      <c r="BD554" s="91"/>
      <c r="BE554" s="91"/>
      <c r="BF554" s="91"/>
      <c r="BG554" s="91"/>
      <c r="BH554" s="91"/>
      <c r="BI554" s="91"/>
      <c r="BJ554" s="91"/>
      <c r="BK554" s="91"/>
      <c r="BL554" s="91"/>
      <c r="BM554" s="91"/>
      <c r="BN554" s="91"/>
      <c r="BO554" s="91"/>
      <c r="BP554" s="91"/>
      <c r="BQ554" s="91"/>
      <c r="BR554" s="91"/>
    </row>
    <row r="555" spans="1:70" ht="15.75" customHeight="1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  <c r="AU555" s="91"/>
      <c r="AV555" s="91"/>
      <c r="AW555" s="91"/>
      <c r="AX555" s="91"/>
      <c r="AY555" s="91"/>
      <c r="AZ555" s="91"/>
      <c r="BA555" s="91"/>
      <c r="BB555" s="91"/>
      <c r="BC555" s="91"/>
      <c r="BD555" s="91"/>
      <c r="BE555" s="91"/>
      <c r="BF555" s="91"/>
      <c r="BG555" s="91"/>
      <c r="BH555" s="91"/>
      <c r="BI555" s="91"/>
      <c r="BJ555" s="91"/>
      <c r="BK555" s="91"/>
      <c r="BL555" s="91"/>
      <c r="BM555" s="91"/>
      <c r="BN555" s="91"/>
      <c r="BO555" s="91"/>
      <c r="BP555" s="91"/>
      <c r="BQ555" s="91"/>
      <c r="BR555" s="91"/>
    </row>
    <row r="556" spans="1:70" ht="15.75" customHeight="1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  <c r="AU556" s="91"/>
      <c r="AV556" s="91"/>
      <c r="AW556" s="91"/>
      <c r="AX556" s="91"/>
      <c r="AY556" s="91"/>
      <c r="AZ556" s="91"/>
      <c r="BA556" s="91"/>
      <c r="BB556" s="91"/>
      <c r="BC556" s="91"/>
      <c r="BD556" s="91"/>
      <c r="BE556" s="91"/>
      <c r="BF556" s="91"/>
      <c r="BG556" s="91"/>
      <c r="BH556" s="91"/>
      <c r="BI556" s="91"/>
      <c r="BJ556" s="91"/>
      <c r="BK556" s="91"/>
      <c r="BL556" s="91"/>
      <c r="BM556" s="91"/>
      <c r="BN556" s="91"/>
      <c r="BO556" s="91"/>
      <c r="BP556" s="91"/>
      <c r="BQ556" s="91"/>
      <c r="BR556" s="91"/>
    </row>
    <row r="557" spans="1:70" ht="15.75" customHeight="1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  <c r="AU557" s="91"/>
      <c r="AV557" s="91"/>
      <c r="AW557" s="91"/>
      <c r="AX557" s="91"/>
      <c r="AY557" s="91"/>
      <c r="AZ557" s="91"/>
      <c r="BA557" s="91"/>
      <c r="BB557" s="91"/>
      <c r="BC557" s="91"/>
      <c r="BD557" s="91"/>
      <c r="BE557" s="91"/>
      <c r="BF557" s="91"/>
      <c r="BG557" s="91"/>
      <c r="BH557" s="91"/>
      <c r="BI557" s="91"/>
      <c r="BJ557" s="91"/>
      <c r="BK557" s="91"/>
      <c r="BL557" s="91"/>
      <c r="BM557" s="91"/>
      <c r="BN557" s="91"/>
      <c r="BO557" s="91"/>
      <c r="BP557" s="91"/>
      <c r="BQ557" s="91"/>
      <c r="BR557" s="91"/>
    </row>
    <row r="558" spans="1:70" ht="15.75" customHeight="1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  <c r="AU558" s="91"/>
      <c r="AV558" s="91"/>
      <c r="AW558" s="91"/>
      <c r="AX558" s="91"/>
      <c r="AY558" s="91"/>
      <c r="AZ558" s="91"/>
      <c r="BA558" s="91"/>
      <c r="BB558" s="91"/>
      <c r="BC558" s="91"/>
      <c r="BD558" s="91"/>
      <c r="BE558" s="91"/>
      <c r="BF558" s="91"/>
      <c r="BG558" s="91"/>
      <c r="BH558" s="91"/>
      <c r="BI558" s="91"/>
      <c r="BJ558" s="91"/>
      <c r="BK558" s="91"/>
      <c r="BL558" s="91"/>
      <c r="BM558" s="91"/>
      <c r="BN558" s="91"/>
      <c r="BO558" s="91"/>
      <c r="BP558" s="91"/>
      <c r="BQ558" s="91"/>
      <c r="BR558" s="91"/>
    </row>
    <row r="559" spans="1:70" ht="15.75" customHeight="1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  <c r="AU559" s="91"/>
      <c r="AV559" s="91"/>
      <c r="AW559" s="91"/>
      <c r="AX559" s="91"/>
      <c r="AY559" s="91"/>
      <c r="AZ559" s="91"/>
      <c r="BA559" s="91"/>
      <c r="BB559" s="91"/>
      <c r="BC559" s="91"/>
      <c r="BD559" s="91"/>
      <c r="BE559" s="91"/>
      <c r="BF559" s="91"/>
      <c r="BG559" s="91"/>
      <c r="BH559" s="91"/>
      <c r="BI559" s="91"/>
      <c r="BJ559" s="91"/>
      <c r="BK559" s="91"/>
      <c r="BL559" s="91"/>
      <c r="BM559" s="91"/>
      <c r="BN559" s="91"/>
      <c r="BO559" s="91"/>
      <c r="BP559" s="91"/>
      <c r="BQ559" s="91"/>
      <c r="BR559" s="91"/>
    </row>
    <row r="560" spans="1:70" ht="15.75" customHeight="1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  <c r="AU560" s="91"/>
      <c r="AV560" s="91"/>
      <c r="AW560" s="91"/>
      <c r="AX560" s="91"/>
      <c r="AY560" s="91"/>
      <c r="AZ560" s="91"/>
      <c r="BA560" s="91"/>
      <c r="BB560" s="91"/>
      <c r="BC560" s="91"/>
      <c r="BD560" s="91"/>
      <c r="BE560" s="91"/>
      <c r="BF560" s="91"/>
      <c r="BG560" s="91"/>
      <c r="BH560" s="91"/>
      <c r="BI560" s="91"/>
      <c r="BJ560" s="91"/>
      <c r="BK560" s="91"/>
      <c r="BL560" s="91"/>
      <c r="BM560" s="91"/>
      <c r="BN560" s="91"/>
      <c r="BO560" s="91"/>
      <c r="BP560" s="91"/>
      <c r="BQ560" s="91"/>
      <c r="BR560" s="91"/>
    </row>
    <row r="561" spans="1:70" ht="15.75" customHeight="1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  <c r="AU561" s="91"/>
      <c r="AV561" s="91"/>
      <c r="AW561" s="91"/>
      <c r="AX561" s="91"/>
      <c r="AY561" s="91"/>
      <c r="AZ561" s="91"/>
      <c r="BA561" s="91"/>
      <c r="BB561" s="91"/>
      <c r="BC561" s="91"/>
      <c r="BD561" s="91"/>
      <c r="BE561" s="91"/>
      <c r="BF561" s="91"/>
      <c r="BG561" s="91"/>
      <c r="BH561" s="91"/>
      <c r="BI561" s="91"/>
      <c r="BJ561" s="91"/>
      <c r="BK561" s="91"/>
      <c r="BL561" s="91"/>
      <c r="BM561" s="91"/>
      <c r="BN561" s="91"/>
      <c r="BO561" s="91"/>
      <c r="BP561" s="91"/>
      <c r="BQ561" s="91"/>
      <c r="BR561" s="91"/>
    </row>
    <row r="562" spans="1:70" ht="15.75" customHeight="1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  <c r="AU562" s="91"/>
      <c r="AV562" s="91"/>
      <c r="AW562" s="91"/>
      <c r="AX562" s="91"/>
      <c r="AY562" s="91"/>
      <c r="AZ562" s="91"/>
      <c r="BA562" s="91"/>
      <c r="BB562" s="91"/>
      <c r="BC562" s="91"/>
      <c r="BD562" s="91"/>
      <c r="BE562" s="91"/>
      <c r="BF562" s="91"/>
      <c r="BG562" s="91"/>
      <c r="BH562" s="91"/>
      <c r="BI562" s="91"/>
      <c r="BJ562" s="91"/>
      <c r="BK562" s="91"/>
      <c r="BL562" s="91"/>
      <c r="BM562" s="91"/>
      <c r="BN562" s="91"/>
      <c r="BO562" s="91"/>
      <c r="BP562" s="91"/>
      <c r="BQ562" s="91"/>
      <c r="BR562" s="91"/>
    </row>
    <row r="563" spans="1:70" ht="15.75" customHeight="1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  <c r="AU563" s="91"/>
      <c r="AV563" s="91"/>
      <c r="AW563" s="91"/>
      <c r="AX563" s="91"/>
      <c r="AY563" s="91"/>
      <c r="AZ563" s="91"/>
      <c r="BA563" s="91"/>
      <c r="BB563" s="91"/>
      <c r="BC563" s="91"/>
      <c r="BD563" s="91"/>
      <c r="BE563" s="91"/>
      <c r="BF563" s="91"/>
      <c r="BG563" s="91"/>
      <c r="BH563" s="91"/>
      <c r="BI563" s="91"/>
      <c r="BJ563" s="91"/>
      <c r="BK563" s="91"/>
      <c r="BL563" s="91"/>
      <c r="BM563" s="91"/>
      <c r="BN563" s="91"/>
      <c r="BO563" s="91"/>
      <c r="BP563" s="91"/>
      <c r="BQ563" s="91"/>
      <c r="BR563" s="91"/>
    </row>
    <row r="564" spans="1:70" ht="15.75" customHeight="1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  <c r="AU564" s="91"/>
      <c r="AV564" s="91"/>
      <c r="AW564" s="91"/>
      <c r="AX564" s="91"/>
      <c r="AY564" s="91"/>
      <c r="AZ564" s="91"/>
      <c r="BA564" s="91"/>
      <c r="BB564" s="91"/>
      <c r="BC564" s="91"/>
      <c r="BD564" s="91"/>
      <c r="BE564" s="91"/>
      <c r="BF564" s="91"/>
      <c r="BG564" s="91"/>
      <c r="BH564" s="91"/>
      <c r="BI564" s="91"/>
      <c r="BJ564" s="91"/>
      <c r="BK564" s="91"/>
      <c r="BL564" s="91"/>
      <c r="BM564" s="91"/>
      <c r="BN564" s="91"/>
      <c r="BO564" s="91"/>
      <c r="BP564" s="91"/>
      <c r="BQ564" s="91"/>
      <c r="BR564" s="91"/>
    </row>
    <row r="565" spans="1:70" ht="15.75" customHeight="1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  <c r="AU565" s="91"/>
      <c r="AV565" s="91"/>
      <c r="AW565" s="91"/>
      <c r="AX565" s="91"/>
      <c r="AY565" s="91"/>
      <c r="AZ565" s="91"/>
      <c r="BA565" s="91"/>
      <c r="BB565" s="91"/>
      <c r="BC565" s="91"/>
      <c r="BD565" s="91"/>
      <c r="BE565" s="91"/>
      <c r="BF565" s="91"/>
      <c r="BG565" s="91"/>
      <c r="BH565" s="91"/>
      <c r="BI565" s="91"/>
      <c r="BJ565" s="91"/>
      <c r="BK565" s="91"/>
      <c r="BL565" s="91"/>
      <c r="BM565" s="91"/>
      <c r="BN565" s="91"/>
      <c r="BO565" s="91"/>
      <c r="BP565" s="91"/>
      <c r="BQ565" s="91"/>
      <c r="BR565" s="91"/>
    </row>
    <row r="566" spans="1:70" ht="15.75" customHeight="1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  <c r="AU566" s="91"/>
      <c r="AV566" s="91"/>
      <c r="AW566" s="91"/>
      <c r="AX566" s="91"/>
      <c r="AY566" s="91"/>
      <c r="AZ566" s="91"/>
      <c r="BA566" s="91"/>
      <c r="BB566" s="91"/>
      <c r="BC566" s="91"/>
      <c r="BD566" s="91"/>
      <c r="BE566" s="91"/>
      <c r="BF566" s="91"/>
      <c r="BG566" s="91"/>
      <c r="BH566" s="91"/>
      <c r="BI566" s="91"/>
      <c r="BJ566" s="91"/>
      <c r="BK566" s="91"/>
      <c r="BL566" s="91"/>
      <c r="BM566" s="91"/>
      <c r="BN566" s="91"/>
      <c r="BO566" s="91"/>
      <c r="BP566" s="91"/>
      <c r="BQ566" s="91"/>
      <c r="BR566" s="91"/>
    </row>
    <row r="567" spans="1:70" ht="15.75" customHeight="1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  <c r="AU567" s="91"/>
      <c r="AV567" s="91"/>
      <c r="AW567" s="91"/>
      <c r="AX567" s="91"/>
      <c r="AY567" s="91"/>
      <c r="AZ567" s="91"/>
      <c r="BA567" s="91"/>
      <c r="BB567" s="91"/>
      <c r="BC567" s="91"/>
      <c r="BD567" s="91"/>
      <c r="BE567" s="91"/>
      <c r="BF567" s="91"/>
      <c r="BG567" s="91"/>
      <c r="BH567" s="91"/>
      <c r="BI567" s="91"/>
      <c r="BJ567" s="91"/>
      <c r="BK567" s="91"/>
      <c r="BL567" s="91"/>
      <c r="BM567" s="91"/>
      <c r="BN567" s="91"/>
      <c r="BO567" s="91"/>
      <c r="BP567" s="91"/>
      <c r="BQ567" s="91"/>
      <c r="BR567" s="91"/>
    </row>
    <row r="568" spans="1:70" ht="15.75" customHeight="1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  <c r="AU568" s="91"/>
      <c r="AV568" s="91"/>
      <c r="AW568" s="91"/>
      <c r="AX568" s="91"/>
      <c r="AY568" s="91"/>
      <c r="AZ568" s="91"/>
      <c r="BA568" s="91"/>
      <c r="BB568" s="91"/>
      <c r="BC568" s="91"/>
      <c r="BD568" s="91"/>
      <c r="BE568" s="91"/>
      <c r="BF568" s="91"/>
      <c r="BG568" s="91"/>
      <c r="BH568" s="91"/>
      <c r="BI568" s="91"/>
      <c r="BJ568" s="91"/>
      <c r="BK568" s="91"/>
      <c r="BL568" s="91"/>
      <c r="BM568" s="91"/>
      <c r="BN568" s="91"/>
      <c r="BO568" s="91"/>
      <c r="BP568" s="91"/>
      <c r="BQ568" s="91"/>
      <c r="BR568" s="91"/>
    </row>
    <row r="569" spans="1:70" ht="15.75" customHeight="1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  <c r="AU569" s="91"/>
      <c r="AV569" s="91"/>
      <c r="AW569" s="91"/>
      <c r="AX569" s="91"/>
      <c r="AY569" s="91"/>
      <c r="AZ569" s="91"/>
      <c r="BA569" s="91"/>
      <c r="BB569" s="91"/>
      <c r="BC569" s="91"/>
      <c r="BD569" s="91"/>
      <c r="BE569" s="91"/>
      <c r="BF569" s="91"/>
      <c r="BG569" s="91"/>
      <c r="BH569" s="91"/>
      <c r="BI569" s="91"/>
      <c r="BJ569" s="91"/>
      <c r="BK569" s="91"/>
      <c r="BL569" s="91"/>
      <c r="BM569" s="91"/>
      <c r="BN569" s="91"/>
      <c r="BO569" s="91"/>
      <c r="BP569" s="91"/>
      <c r="BQ569" s="91"/>
      <c r="BR569" s="91"/>
    </row>
    <row r="570" spans="1:70" ht="15.75" customHeight="1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  <c r="AU570" s="91"/>
      <c r="AV570" s="91"/>
      <c r="AW570" s="91"/>
      <c r="AX570" s="91"/>
      <c r="AY570" s="91"/>
      <c r="AZ570" s="91"/>
      <c r="BA570" s="91"/>
      <c r="BB570" s="91"/>
      <c r="BC570" s="91"/>
      <c r="BD570" s="91"/>
      <c r="BE570" s="91"/>
      <c r="BF570" s="91"/>
      <c r="BG570" s="91"/>
      <c r="BH570" s="91"/>
      <c r="BI570" s="91"/>
      <c r="BJ570" s="91"/>
      <c r="BK570" s="91"/>
      <c r="BL570" s="91"/>
      <c r="BM570" s="91"/>
      <c r="BN570" s="91"/>
      <c r="BO570" s="91"/>
      <c r="BP570" s="91"/>
      <c r="BQ570" s="91"/>
      <c r="BR570" s="91"/>
    </row>
    <row r="571" spans="1:70" ht="15.75" customHeight="1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  <c r="AU571" s="91"/>
      <c r="AV571" s="91"/>
      <c r="AW571" s="91"/>
      <c r="AX571" s="91"/>
      <c r="AY571" s="91"/>
      <c r="AZ571" s="91"/>
      <c r="BA571" s="91"/>
      <c r="BB571" s="91"/>
      <c r="BC571" s="91"/>
      <c r="BD571" s="91"/>
      <c r="BE571" s="91"/>
      <c r="BF571" s="91"/>
      <c r="BG571" s="91"/>
      <c r="BH571" s="91"/>
      <c r="BI571" s="91"/>
      <c r="BJ571" s="91"/>
      <c r="BK571" s="91"/>
      <c r="BL571" s="91"/>
      <c r="BM571" s="91"/>
      <c r="BN571" s="91"/>
      <c r="BO571" s="91"/>
      <c r="BP571" s="91"/>
      <c r="BQ571" s="91"/>
      <c r="BR571" s="91"/>
    </row>
    <row r="572" spans="1:70" ht="15.75" customHeight="1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  <c r="AU572" s="91"/>
      <c r="AV572" s="91"/>
      <c r="AW572" s="91"/>
      <c r="AX572" s="91"/>
      <c r="AY572" s="91"/>
      <c r="AZ572" s="91"/>
      <c r="BA572" s="91"/>
      <c r="BB572" s="91"/>
      <c r="BC572" s="91"/>
      <c r="BD572" s="91"/>
      <c r="BE572" s="91"/>
      <c r="BF572" s="91"/>
      <c r="BG572" s="91"/>
      <c r="BH572" s="91"/>
      <c r="BI572" s="91"/>
      <c r="BJ572" s="91"/>
      <c r="BK572" s="91"/>
      <c r="BL572" s="91"/>
      <c r="BM572" s="91"/>
      <c r="BN572" s="91"/>
      <c r="BO572" s="91"/>
      <c r="BP572" s="91"/>
      <c r="BQ572" s="91"/>
      <c r="BR572" s="91"/>
    </row>
    <row r="573" spans="1:70" ht="15.75" customHeight="1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  <c r="AU573" s="91"/>
      <c r="AV573" s="91"/>
      <c r="AW573" s="91"/>
      <c r="AX573" s="91"/>
      <c r="AY573" s="91"/>
      <c r="AZ573" s="91"/>
      <c r="BA573" s="91"/>
      <c r="BB573" s="91"/>
      <c r="BC573" s="91"/>
      <c r="BD573" s="91"/>
      <c r="BE573" s="91"/>
      <c r="BF573" s="91"/>
      <c r="BG573" s="91"/>
      <c r="BH573" s="91"/>
      <c r="BI573" s="91"/>
      <c r="BJ573" s="91"/>
      <c r="BK573" s="91"/>
      <c r="BL573" s="91"/>
      <c r="BM573" s="91"/>
      <c r="BN573" s="91"/>
      <c r="BO573" s="91"/>
      <c r="BP573" s="91"/>
      <c r="BQ573" s="91"/>
      <c r="BR573" s="91"/>
    </row>
    <row r="574" spans="1:70" ht="15.75" customHeight="1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  <c r="AU574" s="91"/>
      <c r="AV574" s="91"/>
      <c r="AW574" s="91"/>
      <c r="AX574" s="91"/>
      <c r="AY574" s="91"/>
      <c r="AZ574" s="91"/>
      <c r="BA574" s="91"/>
      <c r="BB574" s="91"/>
      <c r="BC574" s="91"/>
      <c r="BD574" s="91"/>
      <c r="BE574" s="91"/>
      <c r="BF574" s="91"/>
      <c r="BG574" s="91"/>
      <c r="BH574" s="91"/>
      <c r="BI574" s="91"/>
      <c r="BJ574" s="91"/>
      <c r="BK574" s="91"/>
      <c r="BL574" s="91"/>
      <c r="BM574" s="91"/>
      <c r="BN574" s="91"/>
      <c r="BO574" s="91"/>
      <c r="BP574" s="91"/>
      <c r="BQ574" s="91"/>
      <c r="BR574" s="91"/>
    </row>
    <row r="575" spans="1:70" ht="15.75" customHeight="1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  <c r="AU575" s="91"/>
      <c r="AV575" s="91"/>
      <c r="AW575" s="91"/>
      <c r="AX575" s="91"/>
      <c r="AY575" s="91"/>
      <c r="AZ575" s="91"/>
      <c r="BA575" s="91"/>
      <c r="BB575" s="91"/>
      <c r="BC575" s="91"/>
      <c r="BD575" s="91"/>
      <c r="BE575" s="91"/>
      <c r="BF575" s="91"/>
      <c r="BG575" s="91"/>
      <c r="BH575" s="91"/>
      <c r="BI575" s="91"/>
      <c r="BJ575" s="91"/>
      <c r="BK575" s="91"/>
      <c r="BL575" s="91"/>
      <c r="BM575" s="91"/>
      <c r="BN575" s="91"/>
      <c r="BO575" s="91"/>
      <c r="BP575" s="91"/>
      <c r="BQ575" s="91"/>
      <c r="BR575" s="91"/>
    </row>
    <row r="576" spans="1:70" ht="15.75" customHeight="1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  <c r="AU576" s="91"/>
      <c r="AV576" s="91"/>
      <c r="AW576" s="91"/>
      <c r="AX576" s="91"/>
      <c r="AY576" s="91"/>
      <c r="AZ576" s="91"/>
      <c r="BA576" s="91"/>
      <c r="BB576" s="91"/>
      <c r="BC576" s="91"/>
      <c r="BD576" s="91"/>
      <c r="BE576" s="91"/>
      <c r="BF576" s="91"/>
      <c r="BG576" s="91"/>
      <c r="BH576" s="91"/>
      <c r="BI576" s="91"/>
      <c r="BJ576" s="91"/>
      <c r="BK576" s="91"/>
      <c r="BL576" s="91"/>
      <c r="BM576" s="91"/>
      <c r="BN576" s="91"/>
      <c r="BO576" s="91"/>
      <c r="BP576" s="91"/>
      <c r="BQ576" s="91"/>
      <c r="BR576" s="91"/>
    </row>
    <row r="577" spans="1:70" ht="15.75" customHeight="1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  <c r="AU577" s="91"/>
      <c r="AV577" s="91"/>
      <c r="AW577" s="91"/>
      <c r="AX577" s="91"/>
      <c r="AY577" s="91"/>
      <c r="AZ577" s="91"/>
      <c r="BA577" s="91"/>
      <c r="BB577" s="91"/>
      <c r="BC577" s="91"/>
      <c r="BD577" s="91"/>
      <c r="BE577" s="91"/>
      <c r="BF577" s="91"/>
      <c r="BG577" s="91"/>
      <c r="BH577" s="91"/>
      <c r="BI577" s="91"/>
      <c r="BJ577" s="91"/>
      <c r="BK577" s="91"/>
      <c r="BL577" s="91"/>
      <c r="BM577" s="91"/>
      <c r="BN577" s="91"/>
      <c r="BO577" s="91"/>
      <c r="BP577" s="91"/>
      <c r="BQ577" s="91"/>
      <c r="BR577" s="91"/>
    </row>
    <row r="578" spans="1:70" ht="15.75" customHeight="1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  <c r="AU578" s="91"/>
      <c r="AV578" s="91"/>
      <c r="AW578" s="91"/>
      <c r="AX578" s="91"/>
      <c r="AY578" s="91"/>
      <c r="AZ578" s="91"/>
      <c r="BA578" s="91"/>
      <c r="BB578" s="91"/>
      <c r="BC578" s="91"/>
      <c r="BD578" s="91"/>
      <c r="BE578" s="91"/>
      <c r="BF578" s="91"/>
      <c r="BG578" s="91"/>
      <c r="BH578" s="91"/>
      <c r="BI578" s="91"/>
      <c r="BJ578" s="91"/>
      <c r="BK578" s="91"/>
      <c r="BL578" s="91"/>
      <c r="BM578" s="91"/>
      <c r="BN578" s="91"/>
      <c r="BO578" s="91"/>
      <c r="BP578" s="91"/>
      <c r="BQ578" s="91"/>
      <c r="BR578" s="91"/>
    </row>
    <row r="579" spans="1:70" ht="15.75" customHeight="1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  <c r="AU579" s="91"/>
      <c r="AV579" s="91"/>
      <c r="AW579" s="91"/>
      <c r="AX579" s="91"/>
      <c r="AY579" s="91"/>
      <c r="AZ579" s="91"/>
      <c r="BA579" s="91"/>
      <c r="BB579" s="91"/>
      <c r="BC579" s="91"/>
      <c r="BD579" s="91"/>
      <c r="BE579" s="91"/>
      <c r="BF579" s="91"/>
      <c r="BG579" s="91"/>
      <c r="BH579" s="91"/>
      <c r="BI579" s="91"/>
      <c r="BJ579" s="91"/>
      <c r="BK579" s="91"/>
      <c r="BL579" s="91"/>
      <c r="BM579" s="91"/>
      <c r="BN579" s="91"/>
      <c r="BO579" s="91"/>
      <c r="BP579" s="91"/>
      <c r="BQ579" s="91"/>
      <c r="BR579" s="91"/>
    </row>
    <row r="580" spans="1:70" ht="15.75" customHeight="1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  <c r="AU580" s="91"/>
      <c r="AV580" s="91"/>
      <c r="AW580" s="91"/>
      <c r="AX580" s="91"/>
      <c r="AY580" s="91"/>
      <c r="AZ580" s="91"/>
      <c r="BA580" s="91"/>
      <c r="BB580" s="91"/>
      <c r="BC580" s="91"/>
      <c r="BD580" s="91"/>
      <c r="BE580" s="91"/>
      <c r="BF580" s="91"/>
      <c r="BG580" s="91"/>
      <c r="BH580" s="91"/>
      <c r="BI580" s="91"/>
      <c r="BJ580" s="91"/>
      <c r="BK580" s="91"/>
      <c r="BL580" s="91"/>
      <c r="BM580" s="91"/>
      <c r="BN580" s="91"/>
      <c r="BO580" s="91"/>
      <c r="BP580" s="91"/>
      <c r="BQ580" s="91"/>
      <c r="BR580" s="91"/>
    </row>
    <row r="581" spans="1:70" ht="15.75" customHeight="1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  <c r="AU581" s="91"/>
      <c r="AV581" s="91"/>
      <c r="AW581" s="91"/>
      <c r="AX581" s="91"/>
      <c r="AY581" s="91"/>
      <c r="AZ581" s="91"/>
      <c r="BA581" s="91"/>
      <c r="BB581" s="91"/>
      <c r="BC581" s="91"/>
      <c r="BD581" s="91"/>
      <c r="BE581" s="91"/>
      <c r="BF581" s="91"/>
      <c r="BG581" s="91"/>
      <c r="BH581" s="91"/>
      <c r="BI581" s="91"/>
      <c r="BJ581" s="91"/>
      <c r="BK581" s="91"/>
      <c r="BL581" s="91"/>
      <c r="BM581" s="91"/>
      <c r="BN581" s="91"/>
      <c r="BO581" s="91"/>
      <c r="BP581" s="91"/>
      <c r="BQ581" s="91"/>
      <c r="BR581" s="91"/>
    </row>
    <row r="582" spans="1:70" ht="15.75" customHeight="1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  <c r="AU582" s="91"/>
      <c r="AV582" s="91"/>
      <c r="AW582" s="91"/>
      <c r="AX582" s="91"/>
      <c r="AY582" s="91"/>
      <c r="AZ582" s="91"/>
      <c r="BA582" s="91"/>
      <c r="BB582" s="91"/>
      <c r="BC582" s="91"/>
      <c r="BD582" s="91"/>
      <c r="BE582" s="91"/>
      <c r="BF582" s="91"/>
      <c r="BG582" s="91"/>
      <c r="BH582" s="91"/>
      <c r="BI582" s="91"/>
      <c r="BJ582" s="91"/>
      <c r="BK582" s="91"/>
      <c r="BL582" s="91"/>
      <c r="BM582" s="91"/>
      <c r="BN582" s="91"/>
      <c r="BO582" s="91"/>
      <c r="BP582" s="91"/>
      <c r="BQ582" s="91"/>
      <c r="BR582" s="91"/>
    </row>
    <row r="583" spans="1:70" ht="15.75" customHeight="1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  <c r="AU583" s="91"/>
      <c r="AV583" s="91"/>
      <c r="AW583" s="91"/>
      <c r="AX583" s="91"/>
      <c r="AY583" s="91"/>
      <c r="AZ583" s="91"/>
      <c r="BA583" s="91"/>
      <c r="BB583" s="91"/>
      <c r="BC583" s="91"/>
      <c r="BD583" s="91"/>
      <c r="BE583" s="91"/>
      <c r="BF583" s="91"/>
      <c r="BG583" s="91"/>
      <c r="BH583" s="91"/>
      <c r="BI583" s="91"/>
      <c r="BJ583" s="91"/>
      <c r="BK583" s="91"/>
      <c r="BL583" s="91"/>
      <c r="BM583" s="91"/>
      <c r="BN583" s="91"/>
      <c r="BO583" s="91"/>
      <c r="BP583" s="91"/>
      <c r="BQ583" s="91"/>
      <c r="BR583" s="91"/>
    </row>
    <row r="584" spans="1:70" ht="15.75" customHeight="1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  <c r="AU584" s="91"/>
      <c r="AV584" s="91"/>
      <c r="AW584" s="91"/>
      <c r="AX584" s="91"/>
      <c r="AY584" s="91"/>
      <c r="AZ584" s="91"/>
      <c r="BA584" s="91"/>
      <c r="BB584" s="91"/>
      <c r="BC584" s="91"/>
      <c r="BD584" s="91"/>
      <c r="BE584" s="91"/>
      <c r="BF584" s="91"/>
      <c r="BG584" s="91"/>
      <c r="BH584" s="91"/>
      <c r="BI584" s="91"/>
      <c r="BJ584" s="91"/>
      <c r="BK584" s="91"/>
      <c r="BL584" s="91"/>
      <c r="BM584" s="91"/>
      <c r="BN584" s="91"/>
      <c r="BO584" s="91"/>
      <c r="BP584" s="91"/>
      <c r="BQ584" s="91"/>
      <c r="BR584" s="91"/>
    </row>
    <row r="585" spans="1:70" ht="15.75" customHeight="1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  <c r="AU585" s="91"/>
      <c r="AV585" s="91"/>
      <c r="AW585" s="91"/>
      <c r="AX585" s="91"/>
      <c r="AY585" s="91"/>
      <c r="AZ585" s="91"/>
      <c r="BA585" s="91"/>
      <c r="BB585" s="91"/>
      <c r="BC585" s="91"/>
      <c r="BD585" s="91"/>
      <c r="BE585" s="91"/>
      <c r="BF585" s="91"/>
      <c r="BG585" s="91"/>
      <c r="BH585" s="91"/>
      <c r="BI585" s="91"/>
      <c r="BJ585" s="91"/>
      <c r="BK585" s="91"/>
      <c r="BL585" s="91"/>
      <c r="BM585" s="91"/>
      <c r="BN585" s="91"/>
      <c r="BO585" s="91"/>
      <c r="BP585" s="91"/>
      <c r="BQ585" s="91"/>
      <c r="BR585" s="91"/>
    </row>
    <row r="586" spans="1:70" ht="15.75" customHeight="1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  <c r="AU586" s="91"/>
      <c r="AV586" s="91"/>
      <c r="AW586" s="91"/>
      <c r="AX586" s="91"/>
      <c r="AY586" s="91"/>
      <c r="AZ586" s="91"/>
      <c r="BA586" s="91"/>
      <c r="BB586" s="91"/>
      <c r="BC586" s="91"/>
      <c r="BD586" s="91"/>
      <c r="BE586" s="91"/>
      <c r="BF586" s="91"/>
      <c r="BG586" s="91"/>
      <c r="BH586" s="91"/>
      <c r="BI586" s="91"/>
      <c r="BJ586" s="91"/>
      <c r="BK586" s="91"/>
      <c r="BL586" s="91"/>
      <c r="BM586" s="91"/>
      <c r="BN586" s="91"/>
      <c r="BO586" s="91"/>
      <c r="BP586" s="91"/>
      <c r="BQ586" s="91"/>
      <c r="BR586" s="91"/>
    </row>
    <row r="587" spans="1:70" ht="15.75" customHeight="1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  <c r="AU587" s="91"/>
      <c r="AV587" s="91"/>
      <c r="AW587" s="91"/>
      <c r="AX587" s="91"/>
      <c r="AY587" s="91"/>
      <c r="AZ587" s="91"/>
      <c r="BA587" s="91"/>
      <c r="BB587" s="91"/>
      <c r="BC587" s="91"/>
      <c r="BD587" s="91"/>
      <c r="BE587" s="91"/>
      <c r="BF587" s="91"/>
      <c r="BG587" s="91"/>
      <c r="BH587" s="91"/>
      <c r="BI587" s="91"/>
      <c r="BJ587" s="91"/>
      <c r="BK587" s="91"/>
      <c r="BL587" s="91"/>
      <c r="BM587" s="91"/>
      <c r="BN587" s="91"/>
      <c r="BO587" s="91"/>
      <c r="BP587" s="91"/>
      <c r="BQ587" s="91"/>
      <c r="BR587" s="91"/>
    </row>
    <row r="588" spans="1:70" ht="15.75" customHeight="1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  <c r="AU588" s="91"/>
      <c r="AV588" s="91"/>
      <c r="AW588" s="91"/>
      <c r="AX588" s="91"/>
      <c r="AY588" s="91"/>
      <c r="AZ588" s="91"/>
      <c r="BA588" s="91"/>
      <c r="BB588" s="91"/>
      <c r="BC588" s="91"/>
      <c r="BD588" s="91"/>
      <c r="BE588" s="91"/>
      <c r="BF588" s="91"/>
      <c r="BG588" s="91"/>
      <c r="BH588" s="91"/>
      <c r="BI588" s="91"/>
      <c r="BJ588" s="91"/>
      <c r="BK588" s="91"/>
      <c r="BL588" s="91"/>
      <c r="BM588" s="91"/>
      <c r="BN588" s="91"/>
      <c r="BO588" s="91"/>
      <c r="BP588" s="91"/>
      <c r="BQ588" s="91"/>
      <c r="BR588" s="91"/>
    </row>
    <row r="589" spans="1:70" ht="15.75" customHeight="1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  <c r="AU589" s="91"/>
      <c r="AV589" s="91"/>
      <c r="AW589" s="91"/>
      <c r="AX589" s="91"/>
      <c r="AY589" s="91"/>
      <c r="AZ589" s="91"/>
      <c r="BA589" s="91"/>
      <c r="BB589" s="91"/>
      <c r="BC589" s="91"/>
      <c r="BD589" s="91"/>
      <c r="BE589" s="91"/>
      <c r="BF589" s="91"/>
      <c r="BG589" s="91"/>
      <c r="BH589" s="91"/>
      <c r="BI589" s="91"/>
      <c r="BJ589" s="91"/>
      <c r="BK589" s="91"/>
      <c r="BL589" s="91"/>
      <c r="BM589" s="91"/>
      <c r="BN589" s="91"/>
      <c r="BO589" s="91"/>
      <c r="BP589" s="91"/>
      <c r="BQ589" s="91"/>
      <c r="BR589" s="91"/>
    </row>
    <row r="590" spans="1:70" ht="15.75" customHeight="1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  <c r="AU590" s="91"/>
      <c r="AV590" s="91"/>
      <c r="AW590" s="91"/>
      <c r="AX590" s="91"/>
      <c r="AY590" s="91"/>
      <c r="AZ590" s="91"/>
      <c r="BA590" s="91"/>
      <c r="BB590" s="91"/>
      <c r="BC590" s="91"/>
      <c r="BD590" s="91"/>
      <c r="BE590" s="91"/>
      <c r="BF590" s="91"/>
      <c r="BG590" s="91"/>
      <c r="BH590" s="91"/>
      <c r="BI590" s="91"/>
      <c r="BJ590" s="91"/>
      <c r="BK590" s="91"/>
      <c r="BL590" s="91"/>
      <c r="BM590" s="91"/>
      <c r="BN590" s="91"/>
      <c r="BO590" s="91"/>
      <c r="BP590" s="91"/>
      <c r="BQ590" s="91"/>
      <c r="BR590" s="91"/>
    </row>
    <row r="591" spans="1:70" ht="15.75" customHeight="1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  <c r="AU591" s="91"/>
      <c r="AV591" s="91"/>
      <c r="AW591" s="91"/>
      <c r="AX591" s="91"/>
      <c r="AY591" s="91"/>
      <c r="AZ591" s="91"/>
      <c r="BA591" s="91"/>
      <c r="BB591" s="91"/>
      <c r="BC591" s="91"/>
      <c r="BD591" s="91"/>
      <c r="BE591" s="91"/>
      <c r="BF591" s="91"/>
      <c r="BG591" s="91"/>
      <c r="BH591" s="91"/>
      <c r="BI591" s="91"/>
      <c r="BJ591" s="91"/>
      <c r="BK591" s="91"/>
      <c r="BL591" s="91"/>
      <c r="BM591" s="91"/>
      <c r="BN591" s="91"/>
      <c r="BO591" s="91"/>
      <c r="BP591" s="91"/>
      <c r="BQ591" s="91"/>
      <c r="BR591" s="91"/>
    </row>
    <row r="592" spans="1:70" ht="15.75" customHeight="1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  <c r="AU592" s="91"/>
      <c r="AV592" s="91"/>
      <c r="AW592" s="91"/>
      <c r="AX592" s="91"/>
      <c r="AY592" s="91"/>
      <c r="AZ592" s="91"/>
      <c r="BA592" s="91"/>
      <c r="BB592" s="91"/>
      <c r="BC592" s="91"/>
      <c r="BD592" s="91"/>
      <c r="BE592" s="91"/>
      <c r="BF592" s="91"/>
      <c r="BG592" s="91"/>
      <c r="BH592" s="91"/>
      <c r="BI592" s="91"/>
      <c r="BJ592" s="91"/>
      <c r="BK592" s="91"/>
      <c r="BL592" s="91"/>
      <c r="BM592" s="91"/>
      <c r="BN592" s="91"/>
      <c r="BO592" s="91"/>
      <c r="BP592" s="91"/>
      <c r="BQ592" s="91"/>
      <c r="BR592" s="91"/>
    </row>
    <row r="593" spans="1:70" ht="15.75" customHeight="1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  <c r="AU593" s="91"/>
      <c r="AV593" s="91"/>
      <c r="AW593" s="91"/>
      <c r="AX593" s="91"/>
      <c r="AY593" s="91"/>
      <c r="AZ593" s="91"/>
      <c r="BA593" s="91"/>
      <c r="BB593" s="91"/>
      <c r="BC593" s="91"/>
      <c r="BD593" s="91"/>
      <c r="BE593" s="91"/>
      <c r="BF593" s="91"/>
      <c r="BG593" s="91"/>
      <c r="BH593" s="91"/>
      <c r="BI593" s="91"/>
      <c r="BJ593" s="91"/>
      <c r="BK593" s="91"/>
      <c r="BL593" s="91"/>
      <c r="BM593" s="91"/>
      <c r="BN593" s="91"/>
      <c r="BO593" s="91"/>
      <c r="BP593" s="91"/>
      <c r="BQ593" s="91"/>
      <c r="BR593" s="91"/>
    </row>
    <row r="594" spans="1:70" ht="15.75" customHeight="1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  <c r="AU594" s="91"/>
      <c r="AV594" s="91"/>
      <c r="AW594" s="91"/>
      <c r="AX594" s="91"/>
      <c r="AY594" s="91"/>
      <c r="AZ594" s="91"/>
      <c r="BA594" s="91"/>
      <c r="BB594" s="91"/>
      <c r="BC594" s="91"/>
      <c r="BD594" s="91"/>
      <c r="BE594" s="91"/>
      <c r="BF594" s="91"/>
      <c r="BG594" s="91"/>
      <c r="BH594" s="91"/>
      <c r="BI594" s="91"/>
      <c r="BJ594" s="91"/>
      <c r="BK594" s="91"/>
      <c r="BL594" s="91"/>
      <c r="BM594" s="91"/>
      <c r="BN594" s="91"/>
      <c r="BO594" s="91"/>
      <c r="BP594" s="91"/>
      <c r="BQ594" s="91"/>
      <c r="BR594" s="91"/>
    </row>
    <row r="595" spans="1:70" ht="15.75" customHeight="1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  <c r="AU595" s="91"/>
      <c r="AV595" s="91"/>
      <c r="AW595" s="91"/>
      <c r="AX595" s="91"/>
      <c r="AY595" s="91"/>
      <c r="AZ595" s="91"/>
      <c r="BA595" s="91"/>
      <c r="BB595" s="91"/>
      <c r="BC595" s="91"/>
      <c r="BD595" s="91"/>
      <c r="BE595" s="91"/>
      <c r="BF595" s="91"/>
      <c r="BG595" s="91"/>
      <c r="BH595" s="91"/>
      <c r="BI595" s="91"/>
      <c r="BJ595" s="91"/>
      <c r="BK595" s="91"/>
      <c r="BL595" s="91"/>
      <c r="BM595" s="91"/>
      <c r="BN595" s="91"/>
      <c r="BO595" s="91"/>
      <c r="BP595" s="91"/>
      <c r="BQ595" s="91"/>
      <c r="BR595" s="91"/>
    </row>
    <row r="596" spans="1:70" ht="15.75" customHeight="1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  <c r="AU596" s="91"/>
      <c r="AV596" s="91"/>
      <c r="AW596" s="91"/>
      <c r="AX596" s="91"/>
      <c r="AY596" s="91"/>
      <c r="AZ596" s="91"/>
      <c r="BA596" s="91"/>
      <c r="BB596" s="91"/>
      <c r="BC596" s="91"/>
      <c r="BD596" s="91"/>
      <c r="BE596" s="91"/>
      <c r="BF596" s="91"/>
      <c r="BG596" s="91"/>
      <c r="BH596" s="91"/>
      <c r="BI596" s="91"/>
      <c r="BJ596" s="91"/>
      <c r="BK596" s="91"/>
      <c r="BL596" s="91"/>
      <c r="BM596" s="91"/>
      <c r="BN596" s="91"/>
      <c r="BO596" s="91"/>
      <c r="BP596" s="91"/>
      <c r="BQ596" s="91"/>
      <c r="BR596" s="91"/>
    </row>
    <row r="597" spans="1:70" ht="15.75" customHeight="1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  <c r="AU597" s="91"/>
      <c r="AV597" s="91"/>
      <c r="AW597" s="91"/>
      <c r="AX597" s="91"/>
      <c r="AY597" s="91"/>
      <c r="AZ597" s="91"/>
      <c r="BA597" s="91"/>
      <c r="BB597" s="91"/>
      <c r="BC597" s="91"/>
      <c r="BD597" s="91"/>
      <c r="BE597" s="91"/>
      <c r="BF597" s="91"/>
      <c r="BG597" s="91"/>
      <c r="BH597" s="91"/>
      <c r="BI597" s="91"/>
      <c r="BJ597" s="91"/>
      <c r="BK597" s="91"/>
      <c r="BL597" s="91"/>
      <c r="BM597" s="91"/>
      <c r="BN597" s="91"/>
      <c r="BO597" s="91"/>
      <c r="BP597" s="91"/>
      <c r="BQ597" s="91"/>
      <c r="BR597" s="91"/>
    </row>
    <row r="598" spans="1:70" ht="15.75" customHeight="1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  <c r="AU598" s="91"/>
      <c r="AV598" s="91"/>
      <c r="AW598" s="91"/>
      <c r="AX598" s="91"/>
      <c r="AY598" s="91"/>
      <c r="AZ598" s="91"/>
      <c r="BA598" s="91"/>
      <c r="BB598" s="91"/>
      <c r="BC598" s="91"/>
      <c r="BD598" s="91"/>
      <c r="BE598" s="91"/>
      <c r="BF598" s="91"/>
      <c r="BG598" s="91"/>
      <c r="BH598" s="91"/>
      <c r="BI598" s="91"/>
      <c r="BJ598" s="91"/>
      <c r="BK598" s="91"/>
      <c r="BL598" s="91"/>
      <c r="BM598" s="91"/>
      <c r="BN598" s="91"/>
      <c r="BO598" s="91"/>
      <c r="BP598" s="91"/>
      <c r="BQ598" s="91"/>
      <c r="BR598" s="91"/>
    </row>
    <row r="599" spans="1:70" ht="15.75" customHeight="1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  <c r="AU599" s="91"/>
      <c r="AV599" s="91"/>
      <c r="AW599" s="91"/>
      <c r="AX599" s="91"/>
      <c r="AY599" s="91"/>
      <c r="AZ599" s="91"/>
      <c r="BA599" s="91"/>
      <c r="BB599" s="91"/>
      <c r="BC599" s="91"/>
      <c r="BD599" s="91"/>
      <c r="BE599" s="91"/>
      <c r="BF599" s="91"/>
      <c r="BG599" s="91"/>
      <c r="BH599" s="91"/>
      <c r="BI599" s="91"/>
      <c r="BJ599" s="91"/>
      <c r="BK599" s="91"/>
      <c r="BL599" s="91"/>
      <c r="BM599" s="91"/>
      <c r="BN599" s="91"/>
      <c r="BO599" s="91"/>
      <c r="BP599" s="91"/>
      <c r="BQ599" s="91"/>
      <c r="BR599" s="91"/>
    </row>
    <row r="600" spans="1:70" ht="15.75" customHeight="1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  <c r="AU600" s="91"/>
      <c r="AV600" s="91"/>
      <c r="AW600" s="91"/>
      <c r="AX600" s="91"/>
      <c r="AY600" s="91"/>
      <c r="AZ600" s="91"/>
      <c r="BA600" s="91"/>
      <c r="BB600" s="91"/>
      <c r="BC600" s="91"/>
      <c r="BD600" s="91"/>
      <c r="BE600" s="91"/>
      <c r="BF600" s="91"/>
      <c r="BG600" s="91"/>
      <c r="BH600" s="91"/>
      <c r="BI600" s="91"/>
      <c r="BJ600" s="91"/>
      <c r="BK600" s="91"/>
      <c r="BL600" s="91"/>
      <c r="BM600" s="91"/>
      <c r="BN600" s="91"/>
      <c r="BO600" s="91"/>
      <c r="BP600" s="91"/>
      <c r="BQ600" s="91"/>
      <c r="BR600" s="91"/>
    </row>
    <row r="601" spans="1:70" ht="15.75" customHeight="1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  <c r="AU601" s="91"/>
      <c r="AV601" s="91"/>
      <c r="AW601" s="91"/>
      <c r="AX601" s="91"/>
      <c r="AY601" s="91"/>
      <c r="AZ601" s="91"/>
      <c r="BA601" s="91"/>
      <c r="BB601" s="91"/>
      <c r="BC601" s="91"/>
      <c r="BD601" s="91"/>
      <c r="BE601" s="91"/>
      <c r="BF601" s="91"/>
      <c r="BG601" s="91"/>
      <c r="BH601" s="91"/>
      <c r="BI601" s="91"/>
      <c r="BJ601" s="91"/>
      <c r="BK601" s="91"/>
      <c r="BL601" s="91"/>
      <c r="BM601" s="91"/>
      <c r="BN601" s="91"/>
      <c r="BO601" s="91"/>
      <c r="BP601" s="91"/>
      <c r="BQ601" s="91"/>
      <c r="BR601" s="91"/>
    </row>
    <row r="602" spans="1:70" ht="15.75" customHeight="1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  <c r="AU602" s="91"/>
      <c r="AV602" s="91"/>
      <c r="AW602" s="91"/>
      <c r="AX602" s="91"/>
      <c r="AY602" s="91"/>
      <c r="AZ602" s="91"/>
      <c r="BA602" s="91"/>
      <c r="BB602" s="91"/>
      <c r="BC602" s="91"/>
      <c r="BD602" s="91"/>
      <c r="BE602" s="91"/>
      <c r="BF602" s="91"/>
      <c r="BG602" s="91"/>
      <c r="BH602" s="91"/>
      <c r="BI602" s="91"/>
      <c r="BJ602" s="91"/>
      <c r="BK602" s="91"/>
      <c r="BL602" s="91"/>
      <c r="BM602" s="91"/>
      <c r="BN602" s="91"/>
      <c r="BO602" s="91"/>
      <c r="BP602" s="91"/>
      <c r="BQ602" s="91"/>
      <c r="BR602" s="91"/>
    </row>
    <row r="603" spans="1:70" ht="15.75" customHeight="1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  <c r="AU603" s="91"/>
      <c r="AV603" s="91"/>
      <c r="AW603" s="91"/>
      <c r="AX603" s="91"/>
      <c r="AY603" s="91"/>
      <c r="AZ603" s="91"/>
      <c r="BA603" s="91"/>
      <c r="BB603" s="91"/>
      <c r="BC603" s="91"/>
      <c r="BD603" s="91"/>
      <c r="BE603" s="91"/>
      <c r="BF603" s="91"/>
      <c r="BG603" s="91"/>
      <c r="BH603" s="91"/>
      <c r="BI603" s="91"/>
      <c r="BJ603" s="91"/>
      <c r="BK603" s="91"/>
      <c r="BL603" s="91"/>
      <c r="BM603" s="91"/>
      <c r="BN603" s="91"/>
      <c r="BO603" s="91"/>
      <c r="BP603" s="91"/>
      <c r="BQ603" s="91"/>
      <c r="BR603" s="91"/>
    </row>
    <row r="604" spans="1:70" ht="15.75" customHeight="1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  <c r="AU604" s="91"/>
      <c r="AV604" s="91"/>
      <c r="AW604" s="91"/>
      <c r="AX604" s="91"/>
      <c r="AY604" s="91"/>
      <c r="AZ604" s="91"/>
      <c r="BA604" s="91"/>
      <c r="BB604" s="91"/>
      <c r="BC604" s="91"/>
      <c r="BD604" s="91"/>
      <c r="BE604" s="91"/>
      <c r="BF604" s="91"/>
      <c r="BG604" s="91"/>
      <c r="BH604" s="91"/>
      <c r="BI604" s="91"/>
      <c r="BJ604" s="91"/>
      <c r="BK604" s="91"/>
      <c r="BL604" s="91"/>
      <c r="BM604" s="91"/>
      <c r="BN604" s="91"/>
      <c r="BO604" s="91"/>
      <c r="BP604" s="91"/>
      <c r="BQ604" s="91"/>
      <c r="BR604" s="91"/>
    </row>
    <row r="605" spans="1:70" ht="15.75" customHeight="1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  <c r="AU605" s="91"/>
      <c r="AV605" s="91"/>
      <c r="AW605" s="91"/>
      <c r="AX605" s="91"/>
      <c r="AY605" s="91"/>
      <c r="AZ605" s="91"/>
      <c r="BA605" s="91"/>
      <c r="BB605" s="91"/>
      <c r="BC605" s="91"/>
      <c r="BD605" s="91"/>
      <c r="BE605" s="91"/>
      <c r="BF605" s="91"/>
      <c r="BG605" s="91"/>
      <c r="BH605" s="91"/>
      <c r="BI605" s="91"/>
      <c r="BJ605" s="91"/>
      <c r="BK605" s="91"/>
      <c r="BL605" s="91"/>
      <c r="BM605" s="91"/>
      <c r="BN605" s="91"/>
      <c r="BO605" s="91"/>
      <c r="BP605" s="91"/>
      <c r="BQ605" s="91"/>
      <c r="BR605" s="91"/>
    </row>
    <row r="606" spans="1:70" ht="15.75" customHeight="1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  <c r="AU606" s="91"/>
      <c r="AV606" s="91"/>
      <c r="AW606" s="91"/>
      <c r="AX606" s="91"/>
      <c r="AY606" s="91"/>
      <c r="AZ606" s="91"/>
      <c r="BA606" s="91"/>
      <c r="BB606" s="91"/>
      <c r="BC606" s="91"/>
      <c r="BD606" s="91"/>
      <c r="BE606" s="91"/>
      <c r="BF606" s="91"/>
      <c r="BG606" s="91"/>
      <c r="BH606" s="91"/>
      <c r="BI606" s="91"/>
      <c r="BJ606" s="91"/>
      <c r="BK606" s="91"/>
      <c r="BL606" s="91"/>
      <c r="BM606" s="91"/>
      <c r="BN606" s="91"/>
      <c r="BO606" s="91"/>
      <c r="BP606" s="91"/>
      <c r="BQ606" s="91"/>
      <c r="BR606" s="91"/>
    </row>
    <row r="607" spans="1:70" ht="15.75" customHeight="1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  <c r="AU607" s="91"/>
      <c r="AV607" s="91"/>
      <c r="AW607" s="91"/>
      <c r="AX607" s="91"/>
      <c r="AY607" s="91"/>
      <c r="AZ607" s="91"/>
      <c r="BA607" s="91"/>
      <c r="BB607" s="91"/>
      <c r="BC607" s="91"/>
      <c r="BD607" s="91"/>
      <c r="BE607" s="91"/>
      <c r="BF607" s="91"/>
      <c r="BG607" s="91"/>
      <c r="BH607" s="91"/>
      <c r="BI607" s="91"/>
      <c r="BJ607" s="91"/>
      <c r="BK607" s="91"/>
      <c r="BL607" s="91"/>
      <c r="BM607" s="91"/>
      <c r="BN607" s="91"/>
      <c r="BO607" s="91"/>
      <c r="BP607" s="91"/>
      <c r="BQ607" s="91"/>
      <c r="BR607" s="91"/>
    </row>
    <row r="608" spans="1:70" ht="15.75" customHeight="1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  <c r="AU608" s="91"/>
      <c r="AV608" s="91"/>
      <c r="AW608" s="91"/>
      <c r="AX608" s="91"/>
      <c r="AY608" s="91"/>
      <c r="AZ608" s="91"/>
      <c r="BA608" s="91"/>
      <c r="BB608" s="91"/>
      <c r="BC608" s="91"/>
      <c r="BD608" s="91"/>
      <c r="BE608" s="91"/>
      <c r="BF608" s="91"/>
      <c r="BG608" s="91"/>
      <c r="BH608" s="91"/>
      <c r="BI608" s="91"/>
      <c r="BJ608" s="91"/>
      <c r="BK608" s="91"/>
      <c r="BL608" s="91"/>
      <c r="BM608" s="91"/>
      <c r="BN608" s="91"/>
      <c r="BO608" s="91"/>
      <c r="BP608" s="91"/>
      <c r="BQ608" s="91"/>
      <c r="BR608" s="91"/>
    </row>
    <row r="609" spans="1:70" ht="15.75" customHeight="1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  <c r="AU609" s="91"/>
      <c r="AV609" s="91"/>
      <c r="AW609" s="91"/>
      <c r="AX609" s="91"/>
      <c r="AY609" s="91"/>
      <c r="AZ609" s="91"/>
      <c r="BA609" s="91"/>
      <c r="BB609" s="91"/>
      <c r="BC609" s="91"/>
      <c r="BD609" s="91"/>
      <c r="BE609" s="91"/>
      <c r="BF609" s="91"/>
      <c r="BG609" s="91"/>
      <c r="BH609" s="91"/>
      <c r="BI609" s="91"/>
      <c r="BJ609" s="91"/>
      <c r="BK609" s="91"/>
      <c r="BL609" s="91"/>
      <c r="BM609" s="91"/>
      <c r="BN609" s="91"/>
      <c r="BO609" s="91"/>
      <c r="BP609" s="91"/>
      <c r="BQ609" s="91"/>
      <c r="BR609" s="91"/>
    </row>
    <row r="610" spans="1:70" ht="15.75" customHeight="1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  <c r="AU610" s="91"/>
      <c r="AV610" s="91"/>
      <c r="AW610" s="91"/>
      <c r="AX610" s="91"/>
      <c r="AY610" s="91"/>
      <c r="AZ610" s="91"/>
      <c r="BA610" s="91"/>
      <c r="BB610" s="91"/>
      <c r="BC610" s="91"/>
      <c r="BD610" s="91"/>
      <c r="BE610" s="91"/>
      <c r="BF610" s="91"/>
      <c r="BG610" s="91"/>
      <c r="BH610" s="91"/>
      <c r="BI610" s="91"/>
      <c r="BJ610" s="91"/>
      <c r="BK610" s="91"/>
      <c r="BL610" s="91"/>
      <c r="BM610" s="91"/>
      <c r="BN610" s="91"/>
      <c r="BO610" s="91"/>
      <c r="BP610" s="91"/>
      <c r="BQ610" s="91"/>
      <c r="BR610" s="91"/>
    </row>
    <row r="611" spans="1:70" ht="15.75" customHeight="1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  <c r="AU611" s="91"/>
      <c r="AV611" s="91"/>
      <c r="AW611" s="91"/>
      <c r="AX611" s="91"/>
      <c r="AY611" s="91"/>
      <c r="AZ611" s="91"/>
      <c r="BA611" s="91"/>
      <c r="BB611" s="91"/>
      <c r="BC611" s="91"/>
      <c r="BD611" s="91"/>
      <c r="BE611" s="91"/>
      <c r="BF611" s="91"/>
      <c r="BG611" s="91"/>
      <c r="BH611" s="91"/>
      <c r="BI611" s="91"/>
      <c r="BJ611" s="91"/>
      <c r="BK611" s="91"/>
      <c r="BL611" s="91"/>
      <c r="BM611" s="91"/>
      <c r="BN611" s="91"/>
      <c r="BO611" s="91"/>
      <c r="BP611" s="91"/>
      <c r="BQ611" s="91"/>
      <c r="BR611" s="91"/>
    </row>
    <row r="612" spans="1:70" ht="15.75" customHeight="1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  <c r="AU612" s="91"/>
      <c r="AV612" s="91"/>
      <c r="AW612" s="91"/>
      <c r="AX612" s="91"/>
      <c r="AY612" s="91"/>
      <c r="AZ612" s="91"/>
      <c r="BA612" s="91"/>
      <c r="BB612" s="91"/>
      <c r="BC612" s="91"/>
      <c r="BD612" s="91"/>
      <c r="BE612" s="91"/>
      <c r="BF612" s="91"/>
      <c r="BG612" s="91"/>
      <c r="BH612" s="91"/>
      <c r="BI612" s="91"/>
      <c r="BJ612" s="91"/>
      <c r="BK612" s="91"/>
      <c r="BL612" s="91"/>
      <c r="BM612" s="91"/>
      <c r="BN612" s="91"/>
      <c r="BO612" s="91"/>
      <c r="BP612" s="91"/>
      <c r="BQ612" s="91"/>
      <c r="BR612" s="91"/>
    </row>
    <row r="613" spans="1:70" ht="15.75" customHeight="1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  <c r="AU613" s="91"/>
      <c r="AV613" s="91"/>
      <c r="AW613" s="91"/>
      <c r="AX613" s="91"/>
      <c r="AY613" s="91"/>
      <c r="AZ613" s="91"/>
      <c r="BA613" s="91"/>
      <c r="BB613" s="91"/>
      <c r="BC613" s="91"/>
      <c r="BD613" s="91"/>
      <c r="BE613" s="91"/>
      <c r="BF613" s="91"/>
      <c r="BG613" s="91"/>
      <c r="BH613" s="91"/>
      <c r="BI613" s="91"/>
      <c r="BJ613" s="91"/>
      <c r="BK613" s="91"/>
      <c r="BL613" s="91"/>
      <c r="BM613" s="91"/>
      <c r="BN613" s="91"/>
      <c r="BO613" s="91"/>
      <c r="BP613" s="91"/>
      <c r="BQ613" s="91"/>
      <c r="BR613" s="91"/>
    </row>
    <row r="614" spans="1:70" ht="15.75" customHeight="1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  <c r="AU614" s="91"/>
      <c r="AV614" s="91"/>
      <c r="AW614" s="91"/>
      <c r="AX614" s="91"/>
      <c r="AY614" s="91"/>
      <c r="AZ614" s="91"/>
      <c r="BA614" s="91"/>
      <c r="BB614" s="91"/>
      <c r="BC614" s="91"/>
      <c r="BD614" s="91"/>
      <c r="BE614" s="91"/>
      <c r="BF614" s="91"/>
      <c r="BG614" s="91"/>
      <c r="BH614" s="91"/>
      <c r="BI614" s="91"/>
      <c r="BJ614" s="91"/>
      <c r="BK614" s="91"/>
      <c r="BL614" s="91"/>
      <c r="BM614" s="91"/>
      <c r="BN614" s="91"/>
      <c r="BO614" s="91"/>
      <c r="BP614" s="91"/>
      <c r="BQ614" s="91"/>
      <c r="BR614" s="91"/>
    </row>
    <row r="615" spans="1:70" ht="15.75" customHeight="1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  <c r="AU615" s="91"/>
      <c r="AV615" s="91"/>
      <c r="AW615" s="91"/>
      <c r="AX615" s="91"/>
      <c r="AY615" s="91"/>
      <c r="AZ615" s="91"/>
      <c r="BA615" s="91"/>
      <c r="BB615" s="91"/>
      <c r="BC615" s="91"/>
      <c r="BD615" s="91"/>
      <c r="BE615" s="91"/>
      <c r="BF615" s="91"/>
      <c r="BG615" s="91"/>
      <c r="BH615" s="91"/>
      <c r="BI615" s="91"/>
      <c r="BJ615" s="91"/>
      <c r="BK615" s="91"/>
      <c r="BL615" s="91"/>
      <c r="BM615" s="91"/>
      <c r="BN615" s="91"/>
      <c r="BO615" s="91"/>
      <c r="BP615" s="91"/>
      <c r="BQ615" s="91"/>
      <c r="BR615" s="91"/>
    </row>
    <row r="616" spans="1:70" ht="15.75" customHeight="1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  <c r="AU616" s="91"/>
      <c r="AV616" s="91"/>
      <c r="AW616" s="91"/>
      <c r="AX616" s="91"/>
      <c r="AY616" s="91"/>
      <c r="AZ616" s="91"/>
      <c r="BA616" s="91"/>
      <c r="BB616" s="91"/>
      <c r="BC616" s="91"/>
      <c r="BD616" s="91"/>
      <c r="BE616" s="91"/>
      <c r="BF616" s="91"/>
      <c r="BG616" s="91"/>
      <c r="BH616" s="91"/>
      <c r="BI616" s="91"/>
      <c r="BJ616" s="91"/>
      <c r="BK616" s="91"/>
      <c r="BL616" s="91"/>
      <c r="BM616" s="91"/>
      <c r="BN616" s="91"/>
      <c r="BO616" s="91"/>
      <c r="BP616" s="91"/>
      <c r="BQ616" s="91"/>
      <c r="BR616" s="91"/>
    </row>
    <row r="617" spans="1:70" ht="15.75" customHeight="1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  <c r="AU617" s="91"/>
      <c r="AV617" s="91"/>
      <c r="AW617" s="91"/>
      <c r="AX617" s="91"/>
      <c r="AY617" s="91"/>
      <c r="AZ617" s="91"/>
      <c r="BA617" s="91"/>
      <c r="BB617" s="91"/>
      <c r="BC617" s="91"/>
      <c r="BD617" s="91"/>
      <c r="BE617" s="91"/>
      <c r="BF617" s="91"/>
      <c r="BG617" s="91"/>
      <c r="BH617" s="91"/>
      <c r="BI617" s="91"/>
      <c r="BJ617" s="91"/>
      <c r="BK617" s="91"/>
      <c r="BL617" s="91"/>
      <c r="BM617" s="91"/>
      <c r="BN617" s="91"/>
      <c r="BO617" s="91"/>
      <c r="BP617" s="91"/>
      <c r="BQ617" s="91"/>
      <c r="BR617" s="91"/>
    </row>
    <row r="618" spans="1:70" ht="15.75" customHeight="1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  <c r="AU618" s="91"/>
      <c r="AV618" s="91"/>
      <c r="AW618" s="91"/>
      <c r="AX618" s="91"/>
      <c r="AY618" s="91"/>
      <c r="AZ618" s="91"/>
      <c r="BA618" s="91"/>
      <c r="BB618" s="91"/>
      <c r="BC618" s="91"/>
      <c r="BD618" s="91"/>
      <c r="BE618" s="91"/>
      <c r="BF618" s="91"/>
      <c r="BG618" s="91"/>
      <c r="BH618" s="91"/>
      <c r="BI618" s="91"/>
      <c r="BJ618" s="91"/>
      <c r="BK618" s="91"/>
      <c r="BL618" s="91"/>
      <c r="BM618" s="91"/>
      <c r="BN618" s="91"/>
      <c r="BO618" s="91"/>
      <c r="BP618" s="91"/>
      <c r="BQ618" s="91"/>
      <c r="BR618" s="91"/>
    </row>
    <row r="619" spans="1:70" ht="15.75" customHeight="1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  <c r="AU619" s="91"/>
      <c r="AV619" s="91"/>
      <c r="AW619" s="91"/>
      <c r="AX619" s="91"/>
      <c r="AY619" s="91"/>
      <c r="AZ619" s="91"/>
      <c r="BA619" s="91"/>
      <c r="BB619" s="91"/>
      <c r="BC619" s="91"/>
      <c r="BD619" s="91"/>
      <c r="BE619" s="91"/>
      <c r="BF619" s="91"/>
      <c r="BG619" s="91"/>
      <c r="BH619" s="91"/>
      <c r="BI619" s="91"/>
      <c r="BJ619" s="91"/>
      <c r="BK619" s="91"/>
      <c r="BL619" s="91"/>
      <c r="BM619" s="91"/>
      <c r="BN619" s="91"/>
      <c r="BO619" s="91"/>
      <c r="BP619" s="91"/>
      <c r="BQ619" s="91"/>
      <c r="BR619" s="91"/>
    </row>
    <row r="620" spans="1:70" ht="15.75" customHeight="1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  <c r="AU620" s="91"/>
      <c r="AV620" s="91"/>
      <c r="AW620" s="91"/>
      <c r="AX620" s="91"/>
      <c r="AY620" s="91"/>
      <c r="AZ620" s="91"/>
      <c r="BA620" s="91"/>
      <c r="BB620" s="91"/>
      <c r="BC620" s="91"/>
      <c r="BD620" s="91"/>
      <c r="BE620" s="91"/>
      <c r="BF620" s="91"/>
      <c r="BG620" s="91"/>
      <c r="BH620" s="91"/>
      <c r="BI620" s="91"/>
      <c r="BJ620" s="91"/>
      <c r="BK620" s="91"/>
      <c r="BL620" s="91"/>
      <c r="BM620" s="91"/>
      <c r="BN620" s="91"/>
      <c r="BO620" s="91"/>
      <c r="BP620" s="91"/>
      <c r="BQ620" s="91"/>
      <c r="BR620" s="91"/>
    </row>
    <row r="621" spans="1:70" ht="15.75" customHeight="1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  <c r="AU621" s="91"/>
      <c r="AV621" s="91"/>
      <c r="AW621" s="91"/>
      <c r="AX621" s="91"/>
      <c r="AY621" s="91"/>
      <c r="AZ621" s="91"/>
      <c r="BA621" s="91"/>
      <c r="BB621" s="91"/>
      <c r="BC621" s="91"/>
      <c r="BD621" s="91"/>
      <c r="BE621" s="91"/>
      <c r="BF621" s="91"/>
      <c r="BG621" s="91"/>
      <c r="BH621" s="91"/>
      <c r="BI621" s="91"/>
      <c r="BJ621" s="91"/>
      <c r="BK621" s="91"/>
      <c r="BL621" s="91"/>
      <c r="BM621" s="91"/>
      <c r="BN621" s="91"/>
      <c r="BO621" s="91"/>
      <c r="BP621" s="91"/>
      <c r="BQ621" s="91"/>
      <c r="BR621" s="91"/>
    </row>
    <row r="622" spans="1:70" ht="15.75" customHeight="1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  <c r="AU622" s="91"/>
      <c r="AV622" s="91"/>
      <c r="AW622" s="91"/>
      <c r="AX622" s="91"/>
      <c r="AY622" s="91"/>
      <c r="AZ622" s="91"/>
      <c r="BA622" s="91"/>
      <c r="BB622" s="91"/>
      <c r="BC622" s="91"/>
      <c r="BD622" s="91"/>
      <c r="BE622" s="91"/>
      <c r="BF622" s="91"/>
      <c r="BG622" s="91"/>
      <c r="BH622" s="91"/>
      <c r="BI622" s="91"/>
      <c r="BJ622" s="91"/>
      <c r="BK622" s="91"/>
      <c r="BL622" s="91"/>
      <c r="BM622" s="91"/>
      <c r="BN622" s="91"/>
      <c r="BO622" s="91"/>
      <c r="BP622" s="91"/>
      <c r="BQ622" s="91"/>
      <c r="BR622" s="91"/>
    </row>
    <row r="623" spans="1:70" ht="15.75" customHeight="1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  <c r="AU623" s="91"/>
      <c r="AV623" s="91"/>
      <c r="AW623" s="91"/>
      <c r="AX623" s="91"/>
      <c r="AY623" s="91"/>
      <c r="AZ623" s="91"/>
      <c r="BA623" s="91"/>
      <c r="BB623" s="91"/>
      <c r="BC623" s="91"/>
      <c r="BD623" s="91"/>
      <c r="BE623" s="91"/>
      <c r="BF623" s="91"/>
      <c r="BG623" s="91"/>
      <c r="BH623" s="91"/>
      <c r="BI623" s="91"/>
      <c r="BJ623" s="91"/>
      <c r="BK623" s="91"/>
      <c r="BL623" s="91"/>
      <c r="BM623" s="91"/>
      <c r="BN623" s="91"/>
      <c r="BO623" s="91"/>
      <c r="BP623" s="91"/>
      <c r="BQ623" s="91"/>
      <c r="BR623" s="91"/>
    </row>
    <row r="624" spans="1:70" ht="15.75" customHeight="1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  <c r="AU624" s="91"/>
      <c r="AV624" s="91"/>
      <c r="AW624" s="91"/>
      <c r="AX624" s="91"/>
      <c r="AY624" s="91"/>
      <c r="AZ624" s="91"/>
      <c r="BA624" s="91"/>
      <c r="BB624" s="91"/>
      <c r="BC624" s="91"/>
      <c r="BD624" s="91"/>
      <c r="BE624" s="91"/>
      <c r="BF624" s="91"/>
      <c r="BG624" s="91"/>
      <c r="BH624" s="91"/>
      <c r="BI624" s="91"/>
      <c r="BJ624" s="91"/>
      <c r="BK624" s="91"/>
      <c r="BL624" s="91"/>
      <c r="BM624" s="91"/>
      <c r="BN624" s="91"/>
      <c r="BO624" s="91"/>
      <c r="BP624" s="91"/>
      <c r="BQ624" s="91"/>
      <c r="BR624" s="91"/>
    </row>
    <row r="625" spans="1:70" ht="15.75" customHeight="1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  <c r="AU625" s="91"/>
      <c r="AV625" s="91"/>
      <c r="AW625" s="91"/>
      <c r="AX625" s="91"/>
      <c r="AY625" s="91"/>
      <c r="AZ625" s="91"/>
      <c r="BA625" s="91"/>
      <c r="BB625" s="91"/>
      <c r="BC625" s="91"/>
      <c r="BD625" s="91"/>
      <c r="BE625" s="91"/>
      <c r="BF625" s="91"/>
      <c r="BG625" s="91"/>
      <c r="BH625" s="91"/>
      <c r="BI625" s="91"/>
      <c r="BJ625" s="91"/>
      <c r="BK625" s="91"/>
      <c r="BL625" s="91"/>
      <c r="BM625" s="91"/>
      <c r="BN625" s="91"/>
      <c r="BO625" s="91"/>
      <c r="BP625" s="91"/>
      <c r="BQ625" s="91"/>
      <c r="BR625" s="91"/>
    </row>
    <row r="626" spans="1:70" ht="15.75" customHeight="1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  <c r="AU626" s="91"/>
      <c r="AV626" s="91"/>
      <c r="AW626" s="91"/>
      <c r="AX626" s="91"/>
      <c r="AY626" s="91"/>
      <c r="AZ626" s="91"/>
      <c r="BA626" s="91"/>
      <c r="BB626" s="91"/>
      <c r="BC626" s="91"/>
      <c r="BD626" s="91"/>
      <c r="BE626" s="91"/>
      <c r="BF626" s="91"/>
      <c r="BG626" s="91"/>
      <c r="BH626" s="91"/>
      <c r="BI626" s="91"/>
      <c r="BJ626" s="91"/>
      <c r="BK626" s="91"/>
      <c r="BL626" s="91"/>
      <c r="BM626" s="91"/>
      <c r="BN626" s="91"/>
      <c r="BO626" s="91"/>
      <c r="BP626" s="91"/>
      <c r="BQ626" s="91"/>
      <c r="BR626" s="91"/>
    </row>
    <row r="627" spans="1:70" ht="15.75" customHeight="1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  <c r="AU627" s="91"/>
      <c r="AV627" s="91"/>
      <c r="AW627" s="91"/>
      <c r="AX627" s="91"/>
      <c r="AY627" s="91"/>
      <c r="AZ627" s="91"/>
      <c r="BA627" s="91"/>
      <c r="BB627" s="91"/>
      <c r="BC627" s="91"/>
      <c r="BD627" s="91"/>
      <c r="BE627" s="91"/>
      <c r="BF627" s="91"/>
      <c r="BG627" s="91"/>
      <c r="BH627" s="91"/>
      <c r="BI627" s="91"/>
      <c r="BJ627" s="91"/>
      <c r="BK627" s="91"/>
      <c r="BL627" s="91"/>
      <c r="BM627" s="91"/>
      <c r="BN627" s="91"/>
      <c r="BO627" s="91"/>
      <c r="BP627" s="91"/>
      <c r="BQ627" s="91"/>
      <c r="BR627" s="91"/>
    </row>
    <row r="628" spans="1:70" ht="15.75" customHeight="1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  <c r="AU628" s="91"/>
      <c r="AV628" s="91"/>
      <c r="AW628" s="91"/>
      <c r="AX628" s="91"/>
      <c r="AY628" s="91"/>
      <c r="AZ628" s="91"/>
      <c r="BA628" s="91"/>
      <c r="BB628" s="91"/>
      <c r="BC628" s="91"/>
      <c r="BD628" s="91"/>
      <c r="BE628" s="91"/>
      <c r="BF628" s="91"/>
      <c r="BG628" s="91"/>
      <c r="BH628" s="91"/>
      <c r="BI628" s="91"/>
      <c r="BJ628" s="91"/>
      <c r="BK628" s="91"/>
      <c r="BL628" s="91"/>
      <c r="BM628" s="91"/>
      <c r="BN628" s="91"/>
      <c r="BO628" s="91"/>
      <c r="BP628" s="91"/>
      <c r="BQ628" s="91"/>
      <c r="BR628" s="91"/>
    </row>
    <row r="629" spans="1:70" ht="15.75" customHeight="1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  <c r="AU629" s="91"/>
      <c r="AV629" s="91"/>
      <c r="AW629" s="91"/>
      <c r="AX629" s="91"/>
      <c r="AY629" s="91"/>
      <c r="AZ629" s="91"/>
      <c r="BA629" s="91"/>
      <c r="BB629" s="91"/>
      <c r="BC629" s="91"/>
      <c r="BD629" s="91"/>
      <c r="BE629" s="91"/>
      <c r="BF629" s="91"/>
      <c r="BG629" s="91"/>
      <c r="BH629" s="91"/>
      <c r="BI629" s="91"/>
      <c r="BJ629" s="91"/>
      <c r="BK629" s="91"/>
      <c r="BL629" s="91"/>
      <c r="BM629" s="91"/>
      <c r="BN629" s="91"/>
      <c r="BO629" s="91"/>
      <c r="BP629" s="91"/>
      <c r="BQ629" s="91"/>
      <c r="BR629" s="91"/>
    </row>
    <row r="630" spans="1:70" ht="15.75" customHeight="1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  <c r="AU630" s="91"/>
      <c r="AV630" s="91"/>
      <c r="AW630" s="91"/>
      <c r="AX630" s="91"/>
      <c r="AY630" s="91"/>
      <c r="AZ630" s="91"/>
      <c r="BA630" s="91"/>
      <c r="BB630" s="91"/>
      <c r="BC630" s="91"/>
      <c r="BD630" s="91"/>
      <c r="BE630" s="91"/>
      <c r="BF630" s="91"/>
      <c r="BG630" s="91"/>
      <c r="BH630" s="91"/>
      <c r="BI630" s="91"/>
      <c r="BJ630" s="91"/>
      <c r="BK630" s="91"/>
      <c r="BL630" s="91"/>
      <c r="BM630" s="91"/>
      <c r="BN630" s="91"/>
      <c r="BO630" s="91"/>
      <c r="BP630" s="91"/>
      <c r="BQ630" s="91"/>
      <c r="BR630" s="91"/>
    </row>
    <row r="631" spans="1:70" ht="15.75" customHeight="1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  <c r="AU631" s="91"/>
      <c r="AV631" s="91"/>
      <c r="AW631" s="91"/>
      <c r="AX631" s="91"/>
      <c r="AY631" s="91"/>
      <c r="AZ631" s="91"/>
      <c r="BA631" s="91"/>
      <c r="BB631" s="91"/>
      <c r="BC631" s="91"/>
      <c r="BD631" s="91"/>
      <c r="BE631" s="91"/>
      <c r="BF631" s="91"/>
      <c r="BG631" s="91"/>
      <c r="BH631" s="91"/>
      <c r="BI631" s="91"/>
      <c r="BJ631" s="91"/>
      <c r="BK631" s="91"/>
      <c r="BL631" s="91"/>
      <c r="BM631" s="91"/>
      <c r="BN631" s="91"/>
      <c r="BO631" s="91"/>
      <c r="BP631" s="91"/>
      <c r="BQ631" s="91"/>
      <c r="BR631" s="91"/>
    </row>
    <row r="632" spans="1:70" ht="15.75" customHeight="1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  <c r="AU632" s="91"/>
      <c r="AV632" s="91"/>
      <c r="AW632" s="91"/>
      <c r="AX632" s="91"/>
      <c r="AY632" s="91"/>
      <c r="AZ632" s="91"/>
      <c r="BA632" s="91"/>
      <c r="BB632" s="91"/>
      <c r="BC632" s="91"/>
      <c r="BD632" s="91"/>
      <c r="BE632" s="91"/>
      <c r="BF632" s="91"/>
      <c r="BG632" s="91"/>
      <c r="BH632" s="91"/>
      <c r="BI632" s="91"/>
      <c r="BJ632" s="91"/>
      <c r="BK632" s="91"/>
      <c r="BL632" s="91"/>
      <c r="BM632" s="91"/>
      <c r="BN632" s="91"/>
      <c r="BO632" s="91"/>
      <c r="BP632" s="91"/>
      <c r="BQ632" s="91"/>
      <c r="BR632" s="91"/>
    </row>
    <row r="633" spans="1:70" ht="15.75" customHeight="1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  <c r="AU633" s="91"/>
      <c r="AV633" s="91"/>
      <c r="AW633" s="91"/>
      <c r="AX633" s="91"/>
      <c r="AY633" s="91"/>
      <c r="AZ633" s="91"/>
      <c r="BA633" s="91"/>
      <c r="BB633" s="91"/>
      <c r="BC633" s="91"/>
      <c r="BD633" s="91"/>
      <c r="BE633" s="91"/>
      <c r="BF633" s="91"/>
      <c r="BG633" s="91"/>
      <c r="BH633" s="91"/>
      <c r="BI633" s="91"/>
      <c r="BJ633" s="91"/>
      <c r="BK633" s="91"/>
      <c r="BL633" s="91"/>
      <c r="BM633" s="91"/>
      <c r="BN633" s="91"/>
      <c r="BO633" s="91"/>
      <c r="BP633" s="91"/>
      <c r="BQ633" s="91"/>
      <c r="BR633" s="91"/>
    </row>
    <row r="634" spans="1:70" ht="15.75" customHeight="1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  <c r="AU634" s="91"/>
      <c r="AV634" s="91"/>
      <c r="AW634" s="91"/>
      <c r="AX634" s="91"/>
      <c r="AY634" s="91"/>
      <c r="AZ634" s="91"/>
      <c r="BA634" s="91"/>
      <c r="BB634" s="91"/>
      <c r="BC634" s="91"/>
      <c r="BD634" s="91"/>
      <c r="BE634" s="91"/>
      <c r="BF634" s="91"/>
      <c r="BG634" s="91"/>
      <c r="BH634" s="91"/>
      <c r="BI634" s="91"/>
      <c r="BJ634" s="91"/>
      <c r="BK634" s="91"/>
      <c r="BL634" s="91"/>
      <c r="BM634" s="91"/>
      <c r="BN634" s="91"/>
      <c r="BO634" s="91"/>
      <c r="BP634" s="91"/>
      <c r="BQ634" s="91"/>
      <c r="BR634" s="91"/>
    </row>
    <row r="635" spans="1:70" ht="15.75" customHeight="1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  <c r="AU635" s="91"/>
      <c r="AV635" s="91"/>
      <c r="AW635" s="91"/>
      <c r="AX635" s="91"/>
      <c r="AY635" s="91"/>
      <c r="AZ635" s="91"/>
      <c r="BA635" s="91"/>
      <c r="BB635" s="91"/>
      <c r="BC635" s="91"/>
      <c r="BD635" s="91"/>
      <c r="BE635" s="91"/>
      <c r="BF635" s="91"/>
      <c r="BG635" s="91"/>
      <c r="BH635" s="91"/>
      <c r="BI635" s="91"/>
      <c r="BJ635" s="91"/>
      <c r="BK635" s="91"/>
      <c r="BL635" s="91"/>
      <c r="BM635" s="91"/>
      <c r="BN635" s="91"/>
      <c r="BO635" s="91"/>
      <c r="BP635" s="91"/>
      <c r="BQ635" s="91"/>
      <c r="BR635" s="91"/>
    </row>
    <row r="636" spans="1:70" ht="15.75" customHeight="1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  <c r="AU636" s="91"/>
      <c r="AV636" s="91"/>
      <c r="AW636" s="91"/>
      <c r="AX636" s="91"/>
      <c r="AY636" s="91"/>
      <c r="AZ636" s="91"/>
      <c r="BA636" s="91"/>
      <c r="BB636" s="91"/>
      <c r="BC636" s="91"/>
      <c r="BD636" s="91"/>
      <c r="BE636" s="91"/>
      <c r="BF636" s="91"/>
      <c r="BG636" s="91"/>
      <c r="BH636" s="91"/>
      <c r="BI636" s="91"/>
      <c r="BJ636" s="91"/>
      <c r="BK636" s="91"/>
      <c r="BL636" s="91"/>
      <c r="BM636" s="91"/>
      <c r="BN636" s="91"/>
      <c r="BO636" s="91"/>
      <c r="BP636" s="91"/>
      <c r="BQ636" s="91"/>
      <c r="BR636" s="91"/>
    </row>
    <row r="637" spans="1:70" ht="15.75" customHeight="1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  <c r="AU637" s="91"/>
      <c r="AV637" s="91"/>
      <c r="AW637" s="91"/>
      <c r="AX637" s="91"/>
      <c r="AY637" s="91"/>
      <c r="AZ637" s="91"/>
      <c r="BA637" s="91"/>
      <c r="BB637" s="91"/>
      <c r="BC637" s="91"/>
      <c r="BD637" s="91"/>
      <c r="BE637" s="91"/>
      <c r="BF637" s="91"/>
      <c r="BG637" s="91"/>
      <c r="BH637" s="91"/>
      <c r="BI637" s="91"/>
      <c r="BJ637" s="91"/>
      <c r="BK637" s="91"/>
      <c r="BL637" s="91"/>
      <c r="BM637" s="91"/>
      <c r="BN637" s="91"/>
      <c r="BO637" s="91"/>
      <c r="BP637" s="91"/>
      <c r="BQ637" s="91"/>
      <c r="BR637" s="91"/>
    </row>
    <row r="638" spans="1:70" ht="15.75" customHeight="1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  <c r="AU638" s="91"/>
      <c r="AV638" s="91"/>
      <c r="AW638" s="91"/>
      <c r="AX638" s="91"/>
      <c r="AY638" s="91"/>
      <c r="AZ638" s="91"/>
      <c r="BA638" s="91"/>
      <c r="BB638" s="91"/>
      <c r="BC638" s="91"/>
      <c r="BD638" s="91"/>
      <c r="BE638" s="91"/>
      <c r="BF638" s="91"/>
      <c r="BG638" s="91"/>
      <c r="BH638" s="91"/>
      <c r="BI638" s="91"/>
      <c r="BJ638" s="91"/>
      <c r="BK638" s="91"/>
      <c r="BL638" s="91"/>
      <c r="BM638" s="91"/>
      <c r="BN638" s="91"/>
      <c r="BO638" s="91"/>
      <c r="BP638" s="91"/>
      <c r="BQ638" s="91"/>
      <c r="BR638" s="91"/>
    </row>
    <row r="639" spans="1:70" ht="15.75" customHeight="1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  <c r="AU639" s="91"/>
      <c r="AV639" s="91"/>
      <c r="AW639" s="91"/>
      <c r="AX639" s="91"/>
      <c r="AY639" s="91"/>
      <c r="AZ639" s="91"/>
      <c r="BA639" s="91"/>
      <c r="BB639" s="91"/>
      <c r="BC639" s="91"/>
      <c r="BD639" s="91"/>
      <c r="BE639" s="91"/>
      <c r="BF639" s="91"/>
      <c r="BG639" s="91"/>
      <c r="BH639" s="91"/>
      <c r="BI639" s="91"/>
      <c r="BJ639" s="91"/>
      <c r="BK639" s="91"/>
      <c r="BL639" s="91"/>
      <c r="BM639" s="91"/>
      <c r="BN639" s="91"/>
      <c r="BO639" s="91"/>
      <c r="BP639" s="91"/>
      <c r="BQ639" s="91"/>
      <c r="BR639" s="91"/>
    </row>
    <row r="640" spans="1:70" ht="15.75" customHeight="1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  <c r="AU640" s="91"/>
      <c r="AV640" s="91"/>
      <c r="AW640" s="91"/>
      <c r="AX640" s="91"/>
      <c r="AY640" s="91"/>
      <c r="AZ640" s="91"/>
      <c r="BA640" s="91"/>
      <c r="BB640" s="91"/>
      <c r="BC640" s="91"/>
      <c r="BD640" s="91"/>
      <c r="BE640" s="91"/>
      <c r="BF640" s="91"/>
      <c r="BG640" s="91"/>
      <c r="BH640" s="91"/>
      <c r="BI640" s="91"/>
      <c r="BJ640" s="91"/>
      <c r="BK640" s="91"/>
      <c r="BL640" s="91"/>
      <c r="BM640" s="91"/>
      <c r="BN640" s="91"/>
      <c r="BO640" s="91"/>
      <c r="BP640" s="91"/>
      <c r="BQ640" s="91"/>
      <c r="BR640" s="91"/>
    </row>
    <row r="641" spans="1:70" ht="15.75" customHeight="1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  <c r="AU641" s="91"/>
      <c r="AV641" s="91"/>
      <c r="AW641" s="91"/>
      <c r="AX641" s="91"/>
      <c r="AY641" s="91"/>
      <c r="AZ641" s="91"/>
      <c r="BA641" s="91"/>
      <c r="BB641" s="91"/>
      <c r="BC641" s="91"/>
      <c r="BD641" s="91"/>
      <c r="BE641" s="91"/>
      <c r="BF641" s="91"/>
      <c r="BG641" s="91"/>
      <c r="BH641" s="91"/>
      <c r="BI641" s="91"/>
      <c r="BJ641" s="91"/>
      <c r="BK641" s="91"/>
      <c r="BL641" s="91"/>
      <c r="BM641" s="91"/>
      <c r="BN641" s="91"/>
      <c r="BO641" s="91"/>
      <c r="BP641" s="91"/>
      <c r="BQ641" s="91"/>
      <c r="BR641" s="91"/>
    </row>
    <row r="642" spans="1:70" ht="15.75" customHeight="1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  <c r="AU642" s="91"/>
      <c r="AV642" s="91"/>
      <c r="AW642" s="91"/>
      <c r="AX642" s="91"/>
      <c r="AY642" s="91"/>
      <c r="AZ642" s="91"/>
      <c r="BA642" s="91"/>
      <c r="BB642" s="91"/>
      <c r="BC642" s="91"/>
      <c r="BD642" s="91"/>
      <c r="BE642" s="91"/>
      <c r="BF642" s="91"/>
      <c r="BG642" s="91"/>
      <c r="BH642" s="91"/>
      <c r="BI642" s="91"/>
      <c r="BJ642" s="91"/>
      <c r="BK642" s="91"/>
      <c r="BL642" s="91"/>
      <c r="BM642" s="91"/>
      <c r="BN642" s="91"/>
      <c r="BO642" s="91"/>
      <c r="BP642" s="91"/>
      <c r="BQ642" s="91"/>
      <c r="BR642" s="91"/>
    </row>
    <row r="643" spans="1:70" ht="15.75" customHeight="1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  <c r="AU643" s="91"/>
      <c r="AV643" s="91"/>
      <c r="AW643" s="91"/>
      <c r="AX643" s="91"/>
      <c r="AY643" s="91"/>
      <c r="AZ643" s="91"/>
      <c r="BA643" s="91"/>
      <c r="BB643" s="91"/>
      <c r="BC643" s="91"/>
      <c r="BD643" s="91"/>
      <c r="BE643" s="91"/>
      <c r="BF643" s="91"/>
      <c r="BG643" s="91"/>
      <c r="BH643" s="91"/>
      <c r="BI643" s="91"/>
      <c r="BJ643" s="91"/>
      <c r="BK643" s="91"/>
      <c r="BL643" s="91"/>
      <c r="BM643" s="91"/>
      <c r="BN643" s="91"/>
      <c r="BO643" s="91"/>
      <c r="BP643" s="91"/>
      <c r="BQ643" s="91"/>
      <c r="BR643" s="91"/>
    </row>
    <row r="644" spans="1:70" ht="15.75" customHeight="1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  <c r="AU644" s="91"/>
      <c r="AV644" s="91"/>
      <c r="AW644" s="91"/>
      <c r="AX644" s="91"/>
      <c r="AY644" s="91"/>
      <c r="AZ644" s="91"/>
      <c r="BA644" s="91"/>
      <c r="BB644" s="91"/>
      <c r="BC644" s="91"/>
      <c r="BD644" s="91"/>
      <c r="BE644" s="91"/>
      <c r="BF644" s="91"/>
      <c r="BG644" s="91"/>
      <c r="BH644" s="91"/>
      <c r="BI644" s="91"/>
      <c r="BJ644" s="91"/>
      <c r="BK644" s="91"/>
      <c r="BL644" s="91"/>
      <c r="BM644" s="91"/>
      <c r="BN644" s="91"/>
      <c r="BO644" s="91"/>
      <c r="BP644" s="91"/>
      <c r="BQ644" s="91"/>
      <c r="BR644" s="91"/>
    </row>
    <row r="645" spans="1:70" ht="15.75" customHeight="1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  <c r="AU645" s="91"/>
      <c r="AV645" s="91"/>
      <c r="AW645" s="91"/>
      <c r="AX645" s="91"/>
      <c r="AY645" s="91"/>
      <c r="AZ645" s="91"/>
      <c r="BA645" s="91"/>
      <c r="BB645" s="91"/>
      <c r="BC645" s="91"/>
      <c r="BD645" s="91"/>
      <c r="BE645" s="91"/>
      <c r="BF645" s="91"/>
      <c r="BG645" s="91"/>
      <c r="BH645" s="91"/>
      <c r="BI645" s="91"/>
      <c r="BJ645" s="91"/>
      <c r="BK645" s="91"/>
      <c r="BL645" s="91"/>
      <c r="BM645" s="91"/>
      <c r="BN645" s="91"/>
      <c r="BO645" s="91"/>
      <c r="BP645" s="91"/>
      <c r="BQ645" s="91"/>
      <c r="BR645" s="91"/>
    </row>
    <row r="646" spans="1:70" ht="15.75" customHeight="1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  <c r="AU646" s="91"/>
      <c r="AV646" s="91"/>
      <c r="AW646" s="91"/>
      <c r="AX646" s="91"/>
      <c r="AY646" s="91"/>
      <c r="AZ646" s="91"/>
      <c r="BA646" s="91"/>
      <c r="BB646" s="91"/>
      <c r="BC646" s="91"/>
      <c r="BD646" s="91"/>
      <c r="BE646" s="91"/>
      <c r="BF646" s="91"/>
      <c r="BG646" s="91"/>
      <c r="BH646" s="91"/>
      <c r="BI646" s="91"/>
      <c r="BJ646" s="91"/>
      <c r="BK646" s="91"/>
      <c r="BL646" s="91"/>
      <c r="BM646" s="91"/>
      <c r="BN646" s="91"/>
      <c r="BO646" s="91"/>
      <c r="BP646" s="91"/>
      <c r="BQ646" s="91"/>
      <c r="BR646" s="91"/>
    </row>
    <row r="647" spans="1:70" ht="15.75" customHeight="1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  <c r="AU647" s="91"/>
      <c r="AV647" s="91"/>
      <c r="AW647" s="91"/>
      <c r="AX647" s="91"/>
      <c r="AY647" s="91"/>
      <c r="AZ647" s="91"/>
      <c r="BA647" s="91"/>
      <c r="BB647" s="91"/>
      <c r="BC647" s="91"/>
      <c r="BD647" s="91"/>
      <c r="BE647" s="91"/>
      <c r="BF647" s="91"/>
      <c r="BG647" s="91"/>
      <c r="BH647" s="91"/>
      <c r="BI647" s="91"/>
      <c r="BJ647" s="91"/>
      <c r="BK647" s="91"/>
      <c r="BL647" s="91"/>
      <c r="BM647" s="91"/>
      <c r="BN647" s="91"/>
      <c r="BO647" s="91"/>
      <c r="BP647" s="91"/>
      <c r="BQ647" s="91"/>
      <c r="BR647" s="91"/>
    </row>
    <row r="648" spans="1:70" ht="15.75" customHeight="1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  <c r="AU648" s="91"/>
      <c r="AV648" s="91"/>
      <c r="AW648" s="91"/>
      <c r="AX648" s="91"/>
      <c r="AY648" s="91"/>
      <c r="AZ648" s="91"/>
      <c r="BA648" s="91"/>
      <c r="BB648" s="91"/>
      <c r="BC648" s="91"/>
      <c r="BD648" s="91"/>
      <c r="BE648" s="91"/>
      <c r="BF648" s="91"/>
      <c r="BG648" s="91"/>
      <c r="BH648" s="91"/>
      <c r="BI648" s="91"/>
      <c r="BJ648" s="91"/>
      <c r="BK648" s="91"/>
      <c r="BL648" s="91"/>
      <c r="BM648" s="91"/>
      <c r="BN648" s="91"/>
      <c r="BO648" s="91"/>
      <c r="BP648" s="91"/>
      <c r="BQ648" s="91"/>
      <c r="BR648" s="91"/>
    </row>
    <row r="649" spans="1:70" ht="15.75" customHeight="1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  <c r="AU649" s="91"/>
      <c r="AV649" s="91"/>
      <c r="AW649" s="91"/>
      <c r="AX649" s="91"/>
      <c r="AY649" s="91"/>
      <c r="AZ649" s="91"/>
      <c r="BA649" s="91"/>
      <c r="BB649" s="91"/>
      <c r="BC649" s="91"/>
      <c r="BD649" s="91"/>
      <c r="BE649" s="91"/>
      <c r="BF649" s="91"/>
      <c r="BG649" s="91"/>
      <c r="BH649" s="91"/>
      <c r="BI649" s="91"/>
      <c r="BJ649" s="91"/>
      <c r="BK649" s="91"/>
      <c r="BL649" s="91"/>
      <c r="BM649" s="91"/>
      <c r="BN649" s="91"/>
      <c r="BO649" s="91"/>
      <c r="BP649" s="91"/>
      <c r="BQ649" s="91"/>
      <c r="BR649" s="91"/>
    </row>
    <row r="650" spans="1:70" ht="15.75" customHeight="1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  <c r="AU650" s="91"/>
      <c r="AV650" s="91"/>
      <c r="AW650" s="91"/>
      <c r="AX650" s="91"/>
      <c r="AY650" s="91"/>
      <c r="AZ650" s="91"/>
      <c r="BA650" s="91"/>
      <c r="BB650" s="91"/>
      <c r="BC650" s="91"/>
      <c r="BD650" s="91"/>
      <c r="BE650" s="91"/>
      <c r="BF650" s="91"/>
      <c r="BG650" s="91"/>
      <c r="BH650" s="91"/>
      <c r="BI650" s="91"/>
      <c r="BJ650" s="91"/>
      <c r="BK650" s="91"/>
      <c r="BL650" s="91"/>
      <c r="BM650" s="91"/>
      <c r="BN650" s="91"/>
      <c r="BO650" s="91"/>
      <c r="BP650" s="91"/>
      <c r="BQ650" s="91"/>
      <c r="BR650" s="91"/>
    </row>
    <row r="651" spans="1:70" ht="15.75" customHeight="1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  <c r="AU651" s="91"/>
      <c r="AV651" s="91"/>
      <c r="AW651" s="91"/>
      <c r="AX651" s="91"/>
      <c r="AY651" s="91"/>
      <c r="AZ651" s="91"/>
      <c r="BA651" s="91"/>
      <c r="BB651" s="91"/>
      <c r="BC651" s="91"/>
      <c r="BD651" s="91"/>
      <c r="BE651" s="91"/>
      <c r="BF651" s="91"/>
      <c r="BG651" s="91"/>
      <c r="BH651" s="91"/>
      <c r="BI651" s="91"/>
      <c r="BJ651" s="91"/>
      <c r="BK651" s="91"/>
      <c r="BL651" s="91"/>
      <c r="BM651" s="91"/>
      <c r="BN651" s="91"/>
      <c r="BO651" s="91"/>
      <c r="BP651" s="91"/>
      <c r="BQ651" s="91"/>
      <c r="BR651" s="91"/>
    </row>
    <row r="652" spans="1:70" ht="15.75" customHeight="1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  <c r="AU652" s="91"/>
      <c r="AV652" s="91"/>
      <c r="AW652" s="91"/>
      <c r="AX652" s="91"/>
      <c r="AY652" s="91"/>
      <c r="AZ652" s="91"/>
      <c r="BA652" s="91"/>
      <c r="BB652" s="91"/>
      <c r="BC652" s="91"/>
      <c r="BD652" s="91"/>
      <c r="BE652" s="91"/>
      <c r="BF652" s="91"/>
      <c r="BG652" s="91"/>
      <c r="BH652" s="91"/>
      <c r="BI652" s="91"/>
      <c r="BJ652" s="91"/>
      <c r="BK652" s="91"/>
      <c r="BL652" s="91"/>
      <c r="BM652" s="91"/>
      <c r="BN652" s="91"/>
      <c r="BO652" s="91"/>
      <c r="BP652" s="91"/>
      <c r="BQ652" s="91"/>
      <c r="BR652" s="91"/>
    </row>
    <row r="653" spans="1:70" ht="15.75" customHeight="1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  <c r="AU653" s="91"/>
      <c r="AV653" s="91"/>
      <c r="AW653" s="91"/>
      <c r="AX653" s="91"/>
      <c r="AY653" s="91"/>
      <c r="AZ653" s="91"/>
      <c r="BA653" s="91"/>
      <c r="BB653" s="91"/>
      <c r="BC653" s="91"/>
      <c r="BD653" s="91"/>
      <c r="BE653" s="91"/>
      <c r="BF653" s="91"/>
      <c r="BG653" s="91"/>
      <c r="BH653" s="91"/>
      <c r="BI653" s="91"/>
      <c r="BJ653" s="91"/>
      <c r="BK653" s="91"/>
      <c r="BL653" s="91"/>
      <c r="BM653" s="91"/>
      <c r="BN653" s="91"/>
      <c r="BO653" s="91"/>
      <c r="BP653" s="91"/>
      <c r="BQ653" s="91"/>
      <c r="BR653" s="91"/>
    </row>
    <row r="654" spans="1:70" ht="15.75" customHeight="1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  <c r="AU654" s="91"/>
      <c r="AV654" s="91"/>
      <c r="AW654" s="91"/>
      <c r="AX654" s="91"/>
      <c r="AY654" s="91"/>
      <c r="AZ654" s="91"/>
      <c r="BA654" s="91"/>
      <c r="BB654" s="91"/>
      <c r="BC654" s="91"/>
      <c r="BD654" s="91"/>
      <c r="BE654" s="91"/>
      <c r="BF654" s="91"/>
      <c r="BG654" s="91"/>
      <c r="BH654" s="91"/>
      <c r="BI654" s="91"/>
      <c r="BJ654" s="91"/>
      <c r="BK654" s="91"/>
      <c r="BL654" s="91"/>
      <c r="BM654" s="91"/>
      <c r="BN654" s="91"/>
      <c r="BO654" s="91"/>
      <c r="BP654" s="91"/>
      <c r="BQ654" s="91"/>
      <c r="BR654" s="91"/>
    </row>
    <row r="655" spans="1:70" ht="15.75" customHeight="1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  <c r="AU655" s="91"/>
      <c r="AV655" s="91"/>
      <c r="AW655" s="91"/>
      <c r="AX655" s="91"/>
      <c r="AY655" s="91"/>
      <c r="AZ655" s="91"/>
      <c r="BA655" s="91"/>
      <c r="BB655" s="91"/>
      <c r="BC655" s="91"/>
      <c r="BD655" s="91"/>
      <c r="BE655" s="91"/>
      <c r="BF655" s="91"/>
      <c r="BG655" s="91"/>
      <c r="BH655" s="91"/>
      <c r="BI655" s="91"/>
      <c r="BJ655" s="91"/>
      <c r="BK655" s="91"/>
      <c r="BL655" s="91"/>
      <c r="BM655" s="91"/>
      <c r="BN655" s="91"/>
      <c r="BO655" s="91"/>
      <c r="BP655" s="91"/>
      <c r="BQ655" s="91"/>
      <c r="BR655" s="91"/>
    </row>
    <row r="656" spans="1:70" ht="15.75" customHeight="1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  <c r="AU656" s="91"/>
      <c r="AV656" s="91"/>
      <c r="AW656" s="91"/>
      <c r="AX656" s="91"/>
      <c r="AY656" s="91"/>
      <c r="AZ656" s="91"/>
      <c r="BA656" s="91"/>
      <c r="BB656" s="91"/>
      <c r="BC656" s="91"/>
      <c r="BD656" s="91"/>
      <c r="BE656" s="91"/>
      <c r="BF656" s="91"/>
      <c r="BG656" s="91"/>
      <c r="BH656" s="91"/>
      <c r="BI656" s="91"/>
      <c r="BJ656" s="91"/>
      <c r="BK656" s="91"/>
      <c r="BL656" s="91"/>
      <c r="BM656" s="91"/>
      <c r="BN656" s="91"/>
      <c r="BO656" s="91"/>
      <c r="BP656" s="91"/>
      <c r="BQ656" s="91"/>
      <c r="BR656" s="91"/>
    </row>
    <row r="657" spans="1:70" ht="15.75" customHeight="1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  <c r="AU657" s="91"/>
      <c r="AV657" s="91"/>
      <c r="AW657" s="91"/>
      <c r="AX657" s="91"/>
      <c r="AY657" s="91"/>
      <c r="AZ657" s="91"/>
      <c r="BA657" s="91"/>
      <c r="BB657" s="91"/>
      <c r="BC657" s="91"/>
      <c r="BD657" s="91"/>
      <c r="BE657" s="91"/>
      <c r="BF657" s="91"/>
      <c r="BG657" s="91"/>
      <c r="BH657" s="91"/>
      <c r="BI657" s="91"/>
      <c r="BJ657" s="91"/>
      <c r="BK657" s="91"/>
      <c r="BL657" s="91"/>
      <c r="BM657" s="91"/>
      <c r="BN657" s="91"/>
      <c r="BO657" s="91"/>
      <c r="BP657" s="91"/>
      <c r="BQ657" s="91"/>
      <c r="BR657" s="91"/>
    </row>
    <row r="658" spans="1:70" ht="15.75" customHeight="1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  <c r="AU658" s="91"/>
      <c r="AV658" s="91"/>
      <c r="AW658" s="91"/>
      <c r="AX658" s="91"/>
      <c r="AY658" s="91"/>
      <c r="AZ658" s="91"/>
      <c r="BA658" s="91"/>
      <c r="BB658" s="91"/>
      <c r="BC658" s="91"/>
      <c r="BD658" s="91"/>
      <c r="BE658" s="91"/>
      <c r="BF658" s="91"/>
      <c r="BG658" s="91"/>
      <c r="BH658" s="91"/>
      <c r="BI658" s="91"/>
      <c r="BJ658" s="91"/>
      <c r="BK658" s="91"/>
      <c r="BL658" s="91"/>
      <c r="BM658" s="91"/>
      <c r="BN658" s="91"/>
      <c r="BO658" s="91"/>
      <c r="BP658" s="91"/>
      <c r="BQ658" s="91"/>
      <c r="BR658" s="91"/>
    </row>
    <row r="659" spans="1:70" ht="15.75" customHeight="1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  <c r="AU659" s="91"/>
      <c r="AV659" s="91"/>
      <c r="AW659" s="91"/>
      <c r="AX659" s="91"/>
      <c r="AY659" s="91"/>
      <c r="AZ659" s="91"/>
      <c r="BA659" s="91"/>
      <c r="BB659" s="91"/>
      <c r="BC659" s="91"/>
      <c r="BD659" s="91"/>
      <c r="BE659" s="91"/>
      <c r="BF659" s="91"/>
      <c r="BG659" s="91"/>
      <c r="BH659" s="91"/>
      <c r="BI659" s="91"/>
      <c r="BJ659" s="91"/>
      <c r="BK659" s="91"/>
      <c r="BL659" s="91"/>
      <c r="BM659" s="91"/>
      <c r="BN659" s="91"/>
      <c r="BO659" s="91"/>
      <c r="BP659" s="91"/>
      <c r="BQ659" s="91"/>
      <c r="BR659" s="91"/>
    </row>
    <row r="660" spans="1:70" ht="15.75" customHeight="1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  <c r="AU660" s="91"/>
      <c r="AV660" s="91"/>
      <c r="AW660" s="91"/>
      <c r="AX660" s="91"/>
      <c r="AY660" s="91"/>
      <c r="AZ660" s="91"/>
      <c r="BA660" s="91"/>
      <c r="BB660" s="91"/>
      <c r="BC660" s="91"/>
      <c r="BD660" s="91"/>
      <c r="BE660" s="91"/>
      <c r="BF660" s="91"/>
      <c r="BG660" s="91"/>
      <c r="BH660" s="91"/>
      <c r="BI660" s="91"/>
      <c r="BJ660" s="91"/>
      <c r="BK660" s="91"/>
      <c r="BL660" s="91"/>
      <c r="BM660" s="91"/>
      <c r="BN660" s="91"/>
      <c r="BO660" s="91"/>
      <c r="BP660" s="91"/>
      <c r="BQ660" s="91"/>
      <c r="BR660" s="91"/>
    </row>
    <row r="661" spans="1:70" ht="15.75" customHeight="1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  <c r="AU661" s="91"/>
      <c r="AV661" s="91"/>
      <c r="AW661" s="91"/>
      <c r="AX661" s="91"/>
      <c r="AY661" s="91"/>
      <c r="AZ661" s="91"/>
      <c r="BA661" s="91"/>
      <c r="BB661" s="91"/>
      <c r="BC661" s="91"/>
      <c r="BD661" s="91"/>
      <c r="BE661" s="91"/>
      <c r="BF661" s="91"/>
      <c r="BG661" s="91"/>
      <c r="BH661" s="91"/>
      <c r="BI661" s="91"/>
      <c r="BJ661" s="91"/>
      <c r="BK661" s="91"/>
      <c r="BL661" s="91"/>
      <c r="BM661" s="91"/>
      <c r="BN661" s="91"/>
      <c r="BO661" s="91"/>
      <c r="BP661" s="91"/>
      <c r="BQ661" s="91"/>
      <c r="BR661" s="91"/>
    </row>
    <row r="662" spans="1:70" ht="15.75" customHeight="1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  <c r="AU662" s="91"/>
      <c r="AV662" s="91"/>
      <c r="AW662" s="91"/>
      <c r="AX662" s="91"/>
      <c r="AY662" s="91"/>
      <c r="AZ662" s="91"/>
      <c r="BA662" s="91"/>
      <c r="BB662" s="91"/>
      <c r="BC662" s="91"/>
      <c r="BD662" s="91"/>
      <c r="BE662" s="91"/>
      <c r="BF662" s="91"/>
      <c r="BG662" s="91"/>
      <c r="BH662" s="91"/>
      <c r="BI662" s="91"/>
      <c r="BJ662" s="91"/>
      <c r="BK662" s="91"/>
      <c r="BL662" s="91"/>
      <c r="BM662" s="91"/>
      <c r="BN662" s="91"/>
      <c r="BO662" s="91"/>
      <c r="BP662" s="91"/>
      <c r="BQ662" s="91"/>
      <c r="BR662" s="91"/>
    </row>
    <row r="663" spans="1:70" ht="15.75" customHeight="1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  <c r="AU663" s="91"/>
      <c r="AV663" s="91"/>
      <c r="AW663" s="91"/>
      <c r="AX663" s="91"/>
      <c r="AY663" s="91"/>
      <c r="AZ663" s="91"/>
      <c r="BA663" s="91"/>
      <c r="BB663" s="91"/>
      <c r="BC663" s="91"/>
      <c r="BD663" s="91"/>
      <c r="BE663" s="91"/>
      <c r="BF663" s="91"/>
      <c r="BG663" s="91"/>
      <c r="BH663" s="91"/>
      <c r="BI663" s="91"/>
      <c r="BJ663" s="91"/>
      <c r="BK663" s="91"/>
      <c r="BL663" s="91"/>
      <c r="BM663" s="91"/>
      <c r="BN663" s="91"/>
      <c r="BO663" s="91"/>
      <c r="BP663" s="91"/>
      <c r="BQ663" s="91"/>
      <c r="BR663" s="91"/>
    </row>
    <row r="664" spans="1:70" ht="15.75" customHeight="1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  <c r="AU664" s="91"/>
      <c r="AV664" s="91"/>
      <c r="AW664" s="91"/>
      <c r="AX664" s="91"/>
      <c r="AY664" s="91"/>
      <c r="AZ664" s="91"/>
      <c r="BA664" s="91"/>
      <c r="BB664" s="91"/>
      <c r="BC664" s="91"/>
      <c r="BD664" s="91"/>
      <c r="BE664" s="91"/>
      <c r="BF664" s="91"/>
      <c r="BG664" s="91"/>
      <c r="BH664" s="91"/>
      <c r="BI664" s="91"/>
      <c r="BJ664" s="91"/>
      <c r="BK664" s="91"/>
      <c r="BL664" s="91"/>
      <c r="BM664" s="91"/>
      <c r="BN664" s="91"/>
      <c r="BO664" s="91"/>
      <c r="BP664" s="91"/>
      <c r="BQ664" s="91"/>
      <c r="BR664" s="91"/>
    </row>
    <row r="665" spans="1:70" ht="15.75" customHeight="1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  <c r="AU665" s="91"/>
      <c r="AV665" s="91"/>
      <c r="AW665" s="91"/>
      <c r="AX665" s="91"/>
      <c r="AY665" s="91"/>
      <c r="AZ665" s="91"/>
      <c r="BA665" s="91"/>
      <c r="BB665" s="91"/>
      <c r="BC665" s="91"/>
      <c r="BD665" s="91"/>
      <c r="BE665" s="91"/>
      <c r="BF665" s="91"/>
      <c r="BG665" s="91"/>
      <c r="BH665" s="91"/>
      <c r="BI665" s="91"/>
      <c r="BJ665" s="91"/>
      <c r="BK665" s="91"/>
      <c r="BL665" s="91"/>
      <c r="BM665" s="91"/>
      <c r="BN665" s="91"/>
      <c r="BO665" s="91"/>
      <c r="BP665" s="91"/>
      <c r="BQ665" s="91"/>
      <c r="BR665" s="91"/>
    </row>
    <row r="666" spans="1:70" ht="15.75" customHeight="1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  <c r="AU666" s="91"/>
      <c r="AV666" s="91"/>
      <c r="AW666" s="91"/>
      <c r="AX666" s="91"/>
      <c r="AY666" s="91"/>
      <c r="AZ666" s="91"/>
      <c r="BA666" s="91"/>
      <c r="BB666" s="91"/>
      <c r="BC666" s="91"/>
      <c r="BD666" s="91"/>
      <c r="BE666" s="91"/>
      <c r="BF666" s="91"/>
      <c r="BG666" s="91"/>
      <c r="BH666" s="91"/>
      <c r="BI666" s="91"/>
      <c r="BJ666" s="91"/>
      <c r="BK666" s="91"/>
      <c r="BL666" s="91"/>
      <c r="BM666" s="91"/>
      <c r="BN666" s="91"/>
      <c r="BO666" s="91"/>
      <c r="BP666" s="91"/>
      <c r="BQ666" s="91"/>
      <c r="BR666" s="91"/>
    </row>
    <row r="667" spans="1:70" ht="15.75" customHeight="1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  <c r="AU667" s="91"/>
      <c r="AV667" s="91"/>
      <c r="AW667" s="91"/>
      <c r="AX667" s="91"/>
      <c r="AY667" s="91"/>
      <c r="AZ667" s="91"/>
      <c r="BA667" s="91"/>
      <c r="BB667" s="91"/>
      <c r="BC667" s="91"/>
      <c r="BD667" s="91"/>
      <c r="BE667" s="91"/>
      <c r="BF667" s="91"/>
      <c r="BG667" s="91"/>
      <c r="BH667" s="91"/>
      <c r="BI667" s="91"/>
      <c r="BJ667" s="91"/>
      <c r="BK667" s="91"/>
      <c r="BL667" s="91"/>
      <c r="BM667" s="91"/>
      <c r="BN667" s="91"/>
      <c r="BO667" s="91"/>
      <c r="BP667" s="91"/>
      <c r="BQ667" s="91"/>
      <c r="BR667" s="91"/>
    </row>
    <row r="668" spans="1:70" ht="15.75" customHeight="1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  <c r="AU668" s="91"/>
      <c r="AV668" s="91"/>
      <c r="AW668" s="91"/>
      <c r="AX668" s="91"/>
      <c r="AY668" s="91"/>
      <c r="AZ668" s="91"/>
      <c r="BA668" s="91"/>
      <c r="BB668" s="91"/>
      <c r="BC668" s="91"/>
      <c r="BD668" s="91"/>
      <c r="BE668" s="91"/>
      <c r="BF668" s="91"/>
      <c r="BG668" s="91"/>
      <c r="BH668" s="91"/>
      <c r="BI668" s="91"/>
      <c r="BJ668" s="91"/>
      <c r="BK668" s="91"/>
      <c r="BL668" s="91"/>
      <c r="BM668" s="91"/>
      <c r="BN668" s="91"/>
      <c r="BO668" s="91"/>
      <c r="BP668" s="91"/>
      <c r="BQ668" s="91"/>
      <c r="BR668" s="91"/>
    </row>
    <row r="669" spans="1:70" ht="15.75" customHeight="1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  <c r="AU669" s="91"/>
      <c r="AV669" s="91"/>
      <c r="AW669" s="91"/>
      <c r="AX669" s="91"/>
      <c r="AY669" s="91"/>
      <c r="AZ669" s="91"/>
      <c r="BA669" s="91"/>
      <c r="BB669" s="91"/>
      <c r="BC669" s="91"/>
      <c r="BD669" s="91"/>
      <c r="BE669" s="91"/>
      <c r="BF669" s="91"/>
      <c r="BG669" s="91"/>
      <c r="BH669" s="91"/>
      <c r="BI669" s="91"/>
      <c r="BJ669" s="91"/>
      <c r="BK669" s="91"/>
      <c r="BL669" s="91"/>
      <c r="BM669" s="91"/>
      <c r="BN669" s="91"/>
      <c r="BO669" s="91"/>
      <c r="BP669" s="91"/>
      <c r="BQ669" s="91"/>
      <c r="BR669" s="91"/>
    </row>
    <row r="670" spans="1:70" ht="15.75" customHeight="1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  <c r="AU670" s="91"/>
      <c r="AV670" s="91"/>
      <c r="AW670" s="91"/>
      <c r="AX670" s="91"/>
      <c r="AY670" s="91"/>
      <c r="AZ670" s="91"/>
      <c r="BA670" s="91"/>
      <c r="BB670" s="91"/>
      <c r="BC670" s="91"/>
      <c r="BD670" s="91"/>
      <c r="BE670" s="91"/>
      <c r="BF670" s="91"/>
      <c r="BG670" s="91"/>
      <c r="BH670" s="91"/>
      <c r="BI670" s="91"/>
      <c r="BJ670" s="91"/>
      <c r="BK670" s="91"/>
      <c r="BL670" s="91"/>
      <c r="BM670" s="91"/>
      <c r="BN670" s="91"/>
      <c r="BO670" s="91"/>
      <c r="BP670" s="91"/>
      <c r="BQ670" s="91"/>
      <c r="BR670" s="91"/>
    </row>
    <row r="671" spans="1:70" ht="15.75" customHeight="1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  <c r="AU671" s="91"/>
      <c r="AV671" s="91"/>
      <c r="AW671" s="91"/>
      <c r="AX671" s="91"/>
      <c r="AY671" s="91"/>
      <c r="AZ671" s="91"/>
      <c r="BA671" s="91"/>
      <c r="BB671" s="91"/>
      <c r="BC671" s="91"/>
      <c r="BD671" s="91"/>
      <c r="BE671" s="91"/>
      <c r="BF671" s="91"/>
      <c r="BG671" s="91"/>
      <c r="BH671" s="91"/>
      <c r="BI671" s="91"/>
      <c r="BJ671" s="91"/>
      <c r="BK671" s="91"/>
      <c r="BL671" s="91"/>
      <c r="BM671" s="91"/>
      <c r="BN671" s="91"/>
      <c r="BO671" s="91"/>
      <c r="BP671" s="91"/>
      <c r="BQ671" s="91"/>
      <c r="BR671" s="91"/>
    </row>
    <row r="672" spans="1:70" ht="15.75" customHeight="1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  <c r="AU672" s="91"/>
      <c r="AV672" s="91"/>
      <c r="AW672" s="91"/>
      <c r="AX672" s="91"/>
      <c r="AY672" s="91"/>
      <c r="AZ672" s="91"/>
      <c r="BA672" s="91"/>
      <c r="BB672" s="91"/>
      <c r="BC672" s="91"/>
      <c r="BD672" s="91"/>
      <c r="BE672" s="91"/>
      <c r="BF672" s="91"/>
      <c r="BG672" s="91"/>
      <c r="BH672" s="91"/>
      <c r="BI672" s="91"/>
      <c r="BJ672" s="91"/>
      <c r="BK672" s="91"/>
      <c r="BL672" s="91"/>
      <c r="BM672" s="91"/>
      <c r="BN672" s="91"/>
      <c r="BO672" s="91"/>
      <c r="BP672" s="91"/>
      <c r="BQ672" s="91"/>
      <c r="BR672" s="91"/>
    </row>
    <row r="673" spans="1:70" ht="15.75" customHeight="1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  <c r="AU673" s="91"/>
      <c r="AV673" s="91"/>
      <c r="AW673" s="91"/>
      <c r="AX673" s="91"/>
      <c r="AY673" s="91"/>
      <c r="AZ673" s="91"/>
      <c r="BA673" s="91"/>
      <c r="BB673" s="91"/>
      <c r="BC673" s="91"/>
      <c r="BD673" s="91"/>
      <c r="BE673" s="91"/>
      <c r="BF673" s="91"/>
      <c r="BG673" s="91"/>
      <c r="BH673" s="91"/>
      <c r="BI673" s="91"/>
      <c r="BJ673" s="91"/>
      <c r="BK673" s="91"/>
      <c r="BL673" s="91"/>
      <c r="BM673" s="91"/>
      <c r="BN673" s="91"/>
      <c r="BO673" s="91"/>
      <c r="BP673" s="91"/>
      <c r="BQ673" s="91"/>
      <c r="BR673" s="91"/>
    </row>
    <row r="674" spans="1:70" ht="15.75" customHeight="1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  <c r="AU674" s="91"/>
      <c r="AV674" s="91"/>
      <c r="AW674" s="91"/>
      <c r="AX674" s="91"/>
      <c r="AY674" s="91"/>
      <c r="AZ674" s="91"/>
      <c r="BA674" s="91"/>
      <c r="BB674" s="91"/>
      <c r="BC674" s="91"/>
      <c r="BD674" s="91"/>
      <c r="BE674" s="91"/>
      <c r="BF674" s="91"/>
      <c r="BG674" s="91"/>
      <c r="BH674" s="91"/>
      <c r="BI674" s="91"/>
      <c r="BJ674" s="91"/>
      <c r="BK674" s="91"/>
      <c r="BL674" s="91"/>
      <c r="BM674" s="91"/>
      <c r="BN674" s="91"/>
      <c r="BO674" s="91"/>
      <c r="BP674" s="91"/>
      <c r="BQ674" s="91"/>
      <c r="BR674" s="91"/>
    </row>
    <row r="675" spans="1:70" ht="15.75" customHeight="1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  <c r="AU675" s="91"/>
      <c r="AV675" s="91"/>
      <c r="AW675" s="91"/>
      <c r="AX675" s="91"/>
      <c r="AY675" s="91"/>
      <c r="AZ675" s="91"/>
      <c r="BA675" s="91"/>
      <c r="BB675" s="91"/>
      <c r="BC675" s="91"/>
      <c r="BD675" s="91"/>
      <c r="BE675" s="91"/>
      <c r="BF675" s="91"/>
      <c r="BG675" s="91"/>
      <c r="BH675" s="91"/>
      <c r="BI675" s="91"/>
      <c r="BJ675" s="91"/>
      <c r="BK675" s="91"/>
      <c r="BL675" s="91"/>
      <c r="BM675" s="91"/>
      <c r="BN675" s="91"/>
      <c r="BO675" s="91"/>
      <c r="BP675" s="91"/>
      <c r="BQ675" s="91"/>
      <c r="BR675" s="91"/>
    </row>
    <row r="676" spans="1:70" ht="15.75" customHeight="1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  <c r="AU676" s="91"/>
      <c r="AV676" s="91"/>
      <c r="AW676" s="91"/>
      <c r="AX676" s="91"/>
      <c r="AY676" s="91"/>
      <c r="AZ676" s="91"/>
      <c r="BA676" s="91"/>
      <c r="BB676" s="91"/>
      <c r="BC676" s="91"/>
      <c r="BD676" s="91"/>
      <c r="BE676" s="91"/>
      <c r="BF676" s="91"/>
      <c r="BG676" s="91"/>
      <c r="BH676" s="91"/>
      <c r="BI676" s="91"/>
      <c r="BJ676" s="91"/>
      <c r="BK676" s="91"/>
      <c r="BL676" s="91"/>
      <c r="BM676" s="91"/>
      <c r="BN676" s="91"/>
      <c r="BO676" s="91"/>
      <c r="BP676" s="91"/>
      <c r="BQ676" s="91"/>
      <c r="BR676" s="91"/>
    </row>
    <row r="677" spans="1:70" ht="15.75" customHeight="1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  <c r="AU677" s="91"/>
      <c r="AV677" s="91"/>
      <c r="AW677" s="91"/>
      <c r="AX677" s="91"/>
      <c r="AY677" s="91"/>
      <c r="AZ677" s="91"/>
      <c r="BA677" s="91"/>
      <c r="BB677" s="91"/>
      <c r="BC677" s="91"/>
      <c r="BD677" s="91"/>
      <c r="BE677" s="91"/>
      <c r="BF677" s="91"/>
      <c r="BG677" s="91"/>
      <c r="BH677" s="91"/>
      <c r="BI677" s="91"/>
      <c r="BJ677" s="91"/>
      <c r="BK677" s="91"/>
      <c r="BL677" s="91"/>
      <c r="BM677" s="91"/>
      <c r="BN677" s="91"/>
      <c r="BO677" s="91"/>
      <c r="BP677" s="91"/>
      <c r="BQ677" s="91"/>
      <c r="BR677" s="91"/>
    </row>
    <row r="678" spans="1:70" ht="15.75" customHeight="1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  <c r="AU678" s="91"/>
      <c r="AV678" s="91"/>
      <c r="AW678" s="91"/>
      <c r="AX678" s="91"/>
      <c r="AY678" s="91"/>
      <c r="AZ678" s="91"/>
      <c r="BA678" s="91"/>
      <c r="BB678" s="91"/>
      <c r="BC678" s="91"/>
      <c r="BD678" s="91"/>
      <c r="BE678" s="91"/>
      <c r="BF678" s="91"/>
      <c r="BG678" s="91"/>
      <c r="BH678" s="91"/>
      <c r="BI678" s="91"/>
      <c r="BJ678" s="91"/>
      <c r="BK678" s="91"/>
      <c r="BL678" s="91"/>
      <c r="BM678" s="91"/>
      <c r="BN678" s="91"/>
      <c r="BO678" s="91"/>
      <c r="BP678" s="91"/>
      <c r="BQ678" s="91"/>
      <c r="BR678" s="91"/>
    </row>
    <row r="679" spans="1:70" ht="15.75" customHeight="1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  <c r="AU679" s="91"/>
      <c r="AV679" s="91"/>
      <c r="AW679" s="91"/>
      <c r="AX679" s="91"/>
      <c r="AY679" s="91"/>
      <c r="AZ679" s="91"/>
      <c r="BA679" s="91"/>
      <c r="BB679" s="91"/>
      <c r="BC679" s="91"/>
      <c r="BD679" s="91"/>
      <c r="BE679" s="91"/>
      <c r="BF679" s="91"/>
      <c r="BG679" s="91"/>
      <c r="BH679" s="91"/>
      <c r="BI679" s="91"/>
      <c r="BJ679" s="91"/>
      <c r="BK679" s="91"/>
      <c r="BL679" s="91"/>
      <c r="BM679" s="91"/>
      <c r="BN679" s="91"/>
      <c r="BO679" s="91"/>
      <c r="BP679" s="91"/>
      <c r="BQ679" s="91"/>
      <c r="BR679" s="91"/>
    </row>
    <row r="680" spans="1:70" ht="15.75" customHeight="1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  <c r="AU680" s="91"/>
      <c r="AV680" s="91"/>
      <c r="AW680" s="91"/>
      <c r="AX680" s="91"/>
      <c r="AY680" s="91"/>
      <c r="AZ680" s="91"/>
      <c r="BA680" s="91"/>
      <c r="BB680" s="91"/>
      <c r="BC680" s="91"/>
      <c r="BD680" s="91"/>
      <c r="BE680" s="91"/>
      <c r="BF680" s="91"/>
      <c r="BG680" s="91"/>
      <c r="BH680" s="91"/>
      <c r="BI680" s="91"/>
      <c r="BJ680" s="91"/>
      <c r="BK680" s="91"/>
      <c r="BL680" s="91"/>
      <c r="BM680" s="91"/>
      <c r="BN680" s="91"/>
      <c r="BO680" s="91"/>
      <c r="BP680" s="91"/>
      <c r="BQ680" s="91"/>
      <c r="BR680" s="91"/>
    </row>
    <row r="681" spans="1:70" ht="15.75" customHeight="1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  <c r="AU681" s="91"/>
      <c r="AV681" s="91"/>
      <c r="AW681" s="91"/>
      <c r="AX681" s="91"/>
      <c r="AY681" s="91"/>
      <c r="AZ681" s="91"/>
      <c r="BA681" s="91"/>
      <c r="BB681" s="91"/>
      <c r="BC681" s="91"/>
      <c r="BD681" s="91"/>
      <c r="BE681" s="91"/>
      <c r="BF681" s="91"/>
      <c r="BG681" s="91"/>
      <c r="BH681" s="91"/>
      <c r="BI681" s="91"/>
      <c r="BJ681" s="91"/>
      <c r="BK681" s="91"/>
      <c r="BL681" s="91"/>
      <c r="BM681" s="91"/>
      <c r="BN681" s="91"/>
      <c r="BO681" s="91"/>
      <c r="BP681" s="91"/>
      <c r="BQ681" s="91"/>
      <c r="BR681" s="91"/>
    </row>
    <row r="682" spans="1:70" ht="15.75" customHeight="1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  <c r="AU682" s="91"/>
      <c r="AV682" s="91"/>
      <c r="AW682" s="91"/>
      <c r="AX682" s="91"/>
      <c r="AY682" s="91"/>
      <c r="AZ682" s="91"/>
      <c r="BA682" s="91"/>
      <c r="BB682" s="91"/>
      <c r="BC682" s="91"/>
      <c r="BD682" s="91"/>
      <c r="BE682" s="91"/>
      <c r="BF682" s="91"/>
      <c r="BG682" s="91"/>
      <c r="BH682" s="91"/>
      <c r="BI682" s="91"/>
      <c r="BJ682" s="91"/>
      <c r="BK682" s="91"/>
      <c r="BL682" s="91"/>
      <c r="BM682" s="91"/>
      <c r="BN682" s="91"/>
      <c r="BO682" s="91"/>
      <c r="BP682" s="91"/>
      <c r="BQ682" s="91"/>
      <c r="BR682" s="91"/>
    </row>
    <row r="683" spans="1:70" ht="15.75" customHeight="1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  <c r="AU683" s="91"/>
      <c r="AV683" s="91"/>
      <c r="AW683" s="91"/>
      <c r="AX683" s="91"/>
      <c r="AY683" s="91"/>
      <c r="AZ683" s="91"/>
      <c r="BA683" s="91"/>
      <c r="BB683" s="91"/>
      <c r="BC683" s="91"/>
      <c r="BD683" s="91"/>
      <c r="BE683" s="91"/>
      <c r="BF683" s="91"/>
      <c r="BG683" s="91"/>
      <c r="BH683" s="91"/>
      <c r="BI683" s="91"/>
      <c r="BJ683" s="91"/>
      <c r="BK683" s="91"/>
      <c r="BL683" s="91"/>
      <c r="BM683" s="91"/>
      <c r="BN683" s="91"/>
      <c r="BO683" s="91"/>
      <c r="BP683" s="91"/>
      <c r="BQ683" s="91"/>
      <c r="BR683" s="91"/>
    </row>
    <row r="684" spans="1:70" ht="15.75" customHeight="1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  <c r="AU684" s="91"/>
      <c r="AV684" s="91"/>
      <c r="AW684" s="91"/>
      <c r="AX684" s="91"/>
      <c r="AY684" s="91"/>
      <c r="AZ684" s="91"/>
      <c r="BA684" s="91"/>
      <c r="BB684" s="91"/>
      <c r="BC684" s="91"/>
      <c r="BD684" s="91"/>
      <c r="BE684" s="91"/>
      <c r="BF684" s="91"/>
      <c r="BG684" s="91"/>
      <c r="BH684" s="91"/>
      <c r="BI684" s="91"/>
      <c r="BJ684" s="91"/>
      <c r="BK684" s="91"/>
      <c r="BL684" s="91"/>
      <c r="BM684" s="91"/>
      <c r="BN684" s="91"/>
      <c r="BO684" s="91"/>
      <c r="BP684" s="91"/>
      <c r="BQ684" s="91"/>
      <c r="BR684" s="91"/>
    </row>
    <row r="685" spans="1:70" ht="15.75" customHeight="1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  <c r="AU685" s="91"/>
      <c r="AV685" s="91"/>
      <c r="AW685" s="91"/>
      <c r="AX685" s="91"/>
      <c r="AY685" s="91"/>
      <c r="AZ685" s="91"/>
      <c r="BA685" s="91"/>
      <c r="BB685" s="91"/>
      <c r="BC685" s="91"/>
      <c r="BD685" s="91"/>
      <c r="BE685" s="91"/>
      <c r="BF685" s="91"/>
      <c r="BG685" s="91"/>
      <c r="BH685" s="91"/>
      <c r="BI685" s="91"/>
      <c r="BJ685" s="91"/>
      <c r="BK685" s="91"/>
      <c r="BL685" s="91"/>
      <c r="BM685" s="91"/>
      <c r="BN685" s="91"/>
      <c r="BO685" s="91"/>
      <c r="BP685" s="91"/>
      <c r="BQ685" s="91"/>
      <c r="BR685" s="91"/>
    </row>
    <row r="686" spans="1:70" ht="15.75" customHeight="1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  <c r="AU686" s="91"/>
      <c r="AV686" s="91"/>
      <c r="AW686" s="91"/>
      <c r="AX686" s="91"/>
      <c r="AY686" s="91"/>
      <c r="AZ686" s="91"/>
      <c r="BA686" s="91"/>
      <c r="BB686" s="91"/>
      <c r="BC686" s="91"/>
      <c r="BD686" s="91"/>
      <c r="BE686" s="91"/>
      <c r="BF686" s="91"/>
      <c r="BG686" s="91"/>
      <c r="BH686" s="91"/>
      <c r="BI686" s="91"/>
      <c r="BJ686" s="91"/>
      <c r="BK686" s="91"/>
      <c r="BL686" s="91"/>
      <c r="BM686" s="91"/>
      <c r="BN686" s="91"/>
      <c r="BO686" s="91"/>
      <c r="BP686" s="91"/>
      <c r="BQ686" s="91"/>
      <c r="BR686" s="91"/>
    </row>
    <row r="687" spans="1:70" ht="15.75" customHeight="1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  <c r="AU687" s="91"/>
      <c r="AV687" s="91"/>
      <c r="AW687" s="91"/>
      <c r="AX687" s="91"/>
      <c r="AY687" s="91"/>
      <c r="AZ687" s="91"/>
      <c r="BA687" s="91"/>
      <c r="BB687" s="91"/>
      <c r="BC687" s="91"/>
      <c r="BD687" s="91"/>
      <c r="BE687" s="91"/>
      <c r="BF687" s="91"/>
      <c r="BG687" s="91"/>
      <c r="BH687" s="91"/>
      <c r="BI687" s="91"/>
      <c r="BJ687" s="91"/>
      <c r="BK687" s="91"/>
      <c r="BL687" s="91"/>
      <c r="BM687" s="91"/>
      <c r="BN687" s="91"/>
      <c r="BO687" s="91"/>
      <c r="BP687" s="91"/>
      <c r="BQ687" s="91"/>
      <c r="BR687" s="91"/>
    </row>
    <row r="688" spans="1:70" ht="15.75" customHeight="1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  <c r="AU688" s="91"/>
      <c r="AV688" s="91"/>
      <c r="AW688" s="91"/>
      <c r="AX688" s="91"/>
      <c r="AY688" s="91"/>
      <c r="AZ688" s="91"/>
      <c r="BA688" s="91"/>
      <c r="BB688" s="91"/>
      <c r="BC688" s="91"/>
      <c r="BD688" s="91"/>
      <c r="BE688" s="91"/>
      <c r="BF688" s="91"/>
      <c r="BG688" s="91"/>
      <c r="BH688" s="91"/>
      <c r="BI688" s="91"/>
      <c r="BJ688" s="91"/>
      <c r="BK688" s="91"/>
      <c r="BL688" s="91"/>
      <c r="BM688" s="91"/>
      <c r="BN688" s="91"/>
      <c r="BO688" s="91"/>
      <c r="BP688" s="91"/>
      <c r="BQ688" s="91"/>
      <c r="BR688" s="91"/>
    </row>
    <row r="689" spans="1:70" ht="15.75" customHeight="1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  <c r="AU689" s="91"/>
      <c r="AV689" s="91"/>
      <c r="AW689" s="91"/>
      <c r="AX689" s="91"/>
      <c r="AY689" s="91"/>
      <c r="AZ689" s="91"/>
      <c r="BA689" s="91"/>
      <c r="BB689" s="91"/>
      <c r="BC689" s="91"/>
      <c r="BD689" s="91"/>
      <c r="BE689" s="91"/>
      <c r="BF689" s="91"/>
      <c r="BG689" s="91"/>
      <c r="BH689" s="91"/>
      <c r="BI689" s="91"/>
      <c r="BJ689" s="91"/>
      <c r="BK689" s="91"/>
      <c r="BL689" s="91"/>
      <c r="BM689" s="91"/>
      <c r="BN689" s="91"/>
      <c r="BO689" s="91"/>
      <c r="BP689" s="91"/>
      <c r="BQ689" s="91"/>
      <c r="BR689" s="91"/>
    </row>
    <row r="690" spans="1:70" ht="15.75" customHeight="1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  <c r="AU690" s="91"/>
      <c r="AV690" s="91"/>
      <c r="AW690" s="91"/>
      <c r="AX690" s="91"/>
      <c r="AY690" s="91"/>
      <c r="AZ690" s="91"/>
      <c r="BA690" s="91"/>
      <c r="BB690" s="91"/>
      <c r="BC690" s="91"/>
      <c r="BD690" s="91"/>
      <c r="BE690" s="91"/>
      <c r="BF690" s="91"/>
      <c r="BG690" s="91"/>
      <c r="BH690" s="91"/>
      <c r="BI690" s="91"/>
      <c r="BJ690" s="91"/>
      <c r="BK690" s="91"/>
      <c r="BL690" s="91"/>
      <c r="BM690" s="91"/>
      <c r="BN690" s="91"/>
      <c r="BO690" s="91"/>
      <c r="BP690" s="91"/>
      <c r="BQ690" s="91"/>
      <c r="BR690" s="91"/>
    </row>
    <row r="691" spans="1:70" ht="15.75" customHeight="1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  <c r="AU691" s="91"/>
      <c r="AV691" s="91"/>
      <c r="AW691" s="91"/>
      <c r="AX691" s="91"/>
      <c r="AY691" s="91"/>
      <c r="AZ691" s="91"/>
      <c r="BA691" s="91"/>
      <c r="BB691" s="91"/>
      <c r="BC691" s="91"/>
      <c r="BD691" s="91"/>
      <c r="BE691" s="91"/>
      <c r="BF691" s="91"/>
      <c r="BG691" s="91"/>
      <c r="BH691" s="91"/>
      <c r="BI691" s="91"/>
      <c r="BJ691" s="91"/>
      <c r="BK691" s="91"/>
      <c r="BL691" s="91"/>
      <c r="BM691" s="91"/>
      <c r="BN691" s="91"/>
      <c r="BO691" s="91"/>
      <c r="BP691" s="91"/>
      <c r="BQ691" s="91"/>
      <c r="BR691" s="91"/>
    </row>
    <row r="692" spans="1:70" ht="15.75" customHeight="1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  <c r="AU692" s="91"/>
      <c r="AV692" s="91"/>
      <c r="AW692" s="91"/>
      <c r="AX692" s="91"/>
      <c r="AY692" s="91"/>
      <c r="AZ692" s="91"/>
      <c r="BA692" s="91"/>
      <c r="BB692" s="91"/>
      <c r="BC692" s="91"/>
      <c r="BD692" s="91"/>
      <c r="BE692" s="91"/>
      <c r="BF692" s="91"/>
      <c r="BG692" s="91"/>
      <c r="BH692" s="91"/>
      <c r="BI692" s="91"/>
      <c r="BJ692" s="91"/>
      <c r="BK692" s="91"/>
      <c r="BL692" s="91"/>
      <c r="BM692" s="91"/>
      <c r="BN692" s="91"/>
      <c r="BO692" s="91"/>
      <c r="BP692" s="91"/>
      <c r="BQ692" s="91"/>
      <c r="BR692" s="91"/>
    </row>
    <row r="693" spans="1:70" ht="15.75" customHeight="1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  <c r="AU693" s="91"/>
      <c r="AV693" s="91"/>
      <c r="AW693" s="91"/>
      <c r="AX693" s="91"/>
      <c r="AY693" s="91"/>
      <c r="AZ693" s="91"/>
      <c r="BA693" s="91"/>
      <c r="BB693" s="91"/>
      <c r="BC693" s="91"/>
      <c r="BD693" s="91"/>
      <c r="BE693" s="91"/>
      <c r="BF693" s="91"/>
      <c r="BG693" s="91"/>
      <c r="BH693" s="91"/>
      <c r="BI693" s="91"/>
      <c r="BJ693" s="91"/>
      <c r="BK693" s="91"/>
      <c r="BL693" s="91"/>
      <c r="BM693" s="91"/>
      <c r="BN693" s="91"/>
      <c r="BO693" s="91"/>
      <c r="BP693" s="91"/>
      <c r="BQ693" s="91"/>
      <c r="BR693" s="91"/>
    </row>
    <row r="694" spans="1:70" ht="15.75" customHeight="1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  <c r="AU694" s="91"/>
      <c r="AV694" s="91"/>
      <c r="AW694" s="91"/>
      <c r="AX694" s="91"/>
      <c r="AY694" s="91"/>
      <c r="AZ694" s="91"/>
      <c r="BA694" s="91"/>
      <c r="BB694" s="91"/>
      <c r="BC694" s="91"/>
      <c r="BD694" s="91"/>
      <c r="BE694" s="91"/>
      <c r="BF694" s="91"/>
      <c r="BG694" s="91"/>
      <c r="BH694" s="91"/>
      <c r="BI694" s="91"/>
      <c r="BJ694" s="91"/>
      <c r="BK694" s="91"/>
      <c r="BL694" s="91"/>
      <c r="BM694" s="91"/>
      <c r="BN694" s="91"/>
      <c r="BO694" s="91"/>
      <c r="BP694" s="91"/>
      <c r="BQ694" s="91"/>
      <c r="BR694" s="91"/>
    </row>
    <row r="695" spans="1:70" ht="15.75" customHeight="1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  <c r="AU695" s="91"/>
      <c r="AV695" s="91"/>
      <c r="AW695" s="91"/>
      <c r="AX695" s="91"/>
      <c r="AY695" s="91"/>
      <c r="AZ695" s="91"/>
      <c r="BA695" s="91"/>
      <c r="BB695" s="91"/>
      <c r="BC695" s="91"/>
      <c r="BD695" s="91"/>
      <c r="BE695" s="91"/>
      <c r="BF695" s="91"/>
      <c r="BG695" s="91"/>
      <c r="BH695" s="91"/>
      <c r="BI695" s="91"/>
      <c r="BJ695" s="91"/>
      <c r="BK695" s="91"/>
      <c r="BL695" s="91"/>
      <c r="BM695" s="91"/>
      <c r="BN695" s="91"/>
      <c r="BO695" s="91"/>
      <c r="BP695" s="91"/>
      <c r="BQ695" s="91"/>
      <c r="BR695" s="91"/>
    </row>
    <row r="696" spans="1:70" ht="15.75" customHeight="1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  <c r="AU696" s="91"/>
      <c r="AV696" s="91"/>
      <c r="AW696" s="91"/>
      <c r="AX696" s="91"/>
      <c r="AY696" s="91"/>
      <c r="AZ696" s="91"/>
      <c r="BA696" s="91"/>
      <c r="BB696" s="91"/>
      <c r="BC696" s="91"/>
      <c r="BD696" s="91"/>
      <c r="BE696" s="91"/>
      <c r="BF696" s="91"/>
      <c r="BG696" s="91"/>
      <c r="BH696" s="91"/>
      <c r="BI696" s="91"/>
      <c r="BJ696" s="91"/>
      <c r="BK696" s="91"/>
      <c r="BL696" s="91"/>
      <c r="BM696" s="91"/>
      <c r="BN696" s="91"/>
      <c r="BO696" s="91"/>
      <c r="BP696" s="91"/>
      <c r="BQ696" s="91"/>
      <c r="BR696" s="91"/>
    </row>
    <row r="697" spans="1:70" ht="15.75" customHeight="1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  <c r="AU697" s="91"/>
      <c r="AV697" s="91"/>
      <c r="AW697" s="91"/>
      <c r="AX697" s="91"/>
      <c r="AY697" s="91"/>
      <c r="AZ697" s="91"/>
      <c r="BA697" s="91"/>
      <c r="BB697" s="91"/>
      <c r="BC697" s="91"/>
      <c r="BD697" s="91"/>
      <c r="BE697" s="91"/>
      <c r="BF697" s="91"/>
      <c r="BG697" s="91"/>
      <c r="BH697" s="91"/>
      <c r="BI697" s="91"/>
      <c r="BJ697" s="91"/>
      <c r="BK697" s="91"/>
      <c r="BL697" s="91"/>
      <c r="BM697" s="91"/>
      <c r="BN697" s="91"/>
      <c r="BO697" s="91"/>
      <c r="BP697" s="91"/>
      <c r="BQ697" s="91"/>
      <c r="BR697" s="91"/>
    </row>
    <row r="698" spans="1:70" ht="15.75" customHeight="1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  <c r="AU698" s="91"/>
      <c r="AV698" s="91"/>
      <c r="AW698" s="91"/>
      <c r="AX698" s="91"/>
      <c r="AY698" s="91"/>
      <c r="AZ698" s="91"/>
      <c r="BA698" s="91"/>
      <c r="BB698" s="91"/>
      <c r="BC698" s="91"/>
      <c r="BD698" s="91"/>
      <c r="BE698" s="91"/>
      <c r="BF698" s="91"/>
      <c r="BG698" s="91"/>
      <c r="BH698" s="91"/>
      <c r="BI698" s="91"/>
      <c r="BJ698" s="91"/>
      <c r="BK698" s="91"/>
      <c r="BL698" s="91"/>
      <c r="BM698" s="91"/>
      <c r="BN698" s="91"/>
      <c r="BO698" s="91"/>
      <c r="BP698" s="91"/>
      <c r="BQ698" s="91"/>
      <c r="BR698" s="91"/>
    </row>
    <row r="699" spans="1:70" ht="15.75" customHeight="1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  <c r="AU699" s="91"/>
      <c r="AV699" s="91"/>
      <c r="AW699" s="91"/>
      <c r="AX699" s="91"/>
      <c r="AY699" s="91"/>
      <c r="AZ699" s="91"/>
      <c r="BA699" s="91"/>
      <c r="BB699" s="91"/>
      <c r="BC699" s="91"/>
      <c r="BD699" s="91"/>
      <c r="BE699" s="91"/>
      <c r="BF699" s="91"/>
      <c r="BG699" s="91"/>
      <c r="BH699" s="91"/>
      <c r="BI699" s="91"/>
      <c r="BJ699" s="91"/>
      <c r="BK699" s="91"/>
      <c r="BL699" s="91"/>
      <c r="BM699" s="91"/>
      <c r="BN699" s="91"/>
      <c r="BO699" s="91"/>
      <c r="BP699" s="91"/>
      <c r="BQ699" s="91"/>
      <c r="BR699" s="91"/>
    </row>
    <row r="700" spans="1:70" ht="15.75" customHeight="1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  <c r="AU700" s="91"/>
      <c r="AV700" s="91"/>
      <c r="AW700" s="91"/>
      <c r="AX700" s="91"/>
      <c r="AY700" s="91"/>
      <c r="AZ700" s="91"/>
      <c r="BA700" s="91"/>
      <c r="BB700" s="91"/>
      <c r="BC700" s="91"/>
      <c r="BD700" s="91"/>
      <c r="BE700" s="91"/>
      <c r="BF700" s="91"/>
      <c r="BG700" s="91"/>
      <c r="BH700" s="91"/>
      <c r="BI700" s="91"/>
      <c r="BJ700" s="91"/>
      <c r="BK700" s="91"/>
      <c r="BL700" s="91"/>
      <c r="BM700" s="91"/>
      <c r="BN700" s="91"/>
      <c r="BO700" s="91"/>
      <c r="BP700" s="91"/>
      <c r="BQ700" s="91"/>
      <c r="BR700" s="91"/>
    </row>
    <row r="701" spans="1:70" ht="15.75" customHeight="1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  <c r="AU701" s="91"/>
      <c r="AV701" s="91"/>
      <c r="AW701" s="91"/>
      <c r="AX701" s="91"/>
      <c r="AY701" s="91"/>
      <c r="AZ701" s="91"/>
      <c r="BA701" s="91"/>
      <c r="BB701" s="91"/>
      <c r="BC701" s="91"/>
      <c r="BD701" s="91"/>
      <c r="BE701" s="91"/>
      <c r="BF701" s="91"/>
      <c r="BG701" s="91"/>
      <c r="BH701" s="91"/>
      <c r="BI701" s="91"/>
      <c r="BJ701" s="91"/>
      <c r="BK701" s="91"/>
      <c r="BL701" s="91"/>
      <c r="BM701" s="91"/>
      <c r="BN701" s="91"/>
      <c r="BO701" s="91"/>
      <c r="BP701" s="91"/>
      <c r="BQ701" s="91"/>
      <c r="BR701" s="91"/>
    </row>
    <row r="702" spans="1:70" ht="15.75" customHeight="1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  <c r="AU702" s="91"/>
      <c r="AV702" s="91"/>
      <c r="AW702" s="91"/>
      <c r="AX702" s="91"/>
      <c r="AY702" s="91"/>
      <c r="AZ702" s="91"/>
      <c r="BA702" s="91"/>
      <c r="BB702" s="91"/>
      <c r="BC702" s="91"/>
      <c r="BD702" s="91"/>
      <c r="BE702" s="91"/>
      <c r="BF702" s="91"/>
      <c r="BG702" s="91"/>
      <c r="BH702" s="91"/>
      <c r="BI702" s="91"/>
      <c r="BJ702" s="91"/>
      <c r="BK702" s="91"/>
      <c r="BL702" s="91"/>
      <c r="BM702" s="91"/>
      <c r="BN702" s="91"/>
      <c r="BO702" s="91"/>
      <c r="BP702" s="91"/>
      <c r="BQ702" s="91"/>
      <c r="BR702" s="91"/>
    </row>
    <row r="703" spans="1:70" ht="15.75" customHeight="1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  <c r="AU703" s="91"/>
      <c r="AV703" s="91"/>
      <c r="AW703" s="91"/>
      <c r="AX703" s="91"/>
      <c r="AY703" s="91"/>
      <c r="AZ703" s="91"/>
      <c r="BA703" s="91"/>
      <c r="BB703" s="91"/>
      <c r="BC703" s="91"/>
      <c r="BD703" s="91"/>
      <c r="BE703" s="91"/>
      <c r="BF703" s="91"/>
      <c r="BG703" s="91"/>
      <c r="BH703" s="91"/>
      <c r="BI703" s="91"/>
      <c r="BJ703" s="91"/>
      <c r="BK703" s="91"/>
      <c r="BL703" s="91"/>
      <c r="BM703" s="91"/>
      <c r="BN703" s="91"/>
      <c r="BO703" s="91"/>
      <c r="BP703" s="91"/>
      <c r="BQ703" s="91"/>
      <c r="BR703" s="91"/>
    </row>
    <row r="704" spans="1:70" ht="15.75" customHeight="1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  <c r="AU704" s="91"/>
      <c r="AV704" s="91"/>
      <c r="AW704" s="91"/>
      <c r="AX704" s="91"/>
      <c r="AY704" s="91"/>
      <c r="AZ704" s="91"/>
      <c r="BA704" s="91"/>
      <c r="BB704" s="91"/>
      <c r="BC704" s="91"/>
      <c r="BD704" s="91"/>
      <c r="BE704" s="91"/>
      <c r="BF704" s="91"/>
      <c r="BG704" s="91"/>
      <c r="BH704" s="91"/>
      <c r="BI704" s="91"/>
      <c r="BJ704" s="91"/>
      <c r="BK704" s="91"/>
      <c r="BL704" s="91"/>
      <c r="BM704" s="91"/>
      <c r="BN704" s="91"/>
      <c r="BO704" s="91"/>
      <c r="BP704" s="91"/>
      <c r="BQ704" s="91"/>
      <c r="BR704" s="91"/>
    </row>
    <row r="705" spans="1:70" ht="15.75" customHeight="1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  <c r="AU705" s="91"/>
      <c r="AV705" s="91"/>
      <c r="AW705" s="91"/>
      <c r="AX705" s="91"/>
      <c r="AY705" s="91"/>
      <c r="AZ705" s="91"/>
      <c r="BA705" s="91"/>
      <c r="BB705" s="91"/>
      <c r="BC705" s="91"/>
      <c r="BD705" s="91"/>
      <c r="BE705" s="91"/>
      <c r="BF705" s="91"/>
      <c r="BG705" s="91"/>
      <c r="BH705" s="91"/>
      <c r="BI705" s="91"/>
      <c r="BJ705" s="91"/>
      <c r="BK705" s="91"/>
      <c r="BL705" s="91"/>
      <c r="BM705" s="91"/>
      <c r="BN705" s="91"/>
      <c r="BO705" s="91"/>
      <c r="BP705" s="91"/>
      <c r="BQ705" s="91"/>
      <c r="BR705" s="91"/>
    </row>
    <row r="706" spans="1:70" ht="15.75" customHeight="1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  <c r="AU706" s="91"/>
      <c r="AV706" s="91"/>
      <c r="AW706" s="91"/>
      <c r="AX706" s="91"/>
      <c r="AY706" s="91"/>
      <c r="AZ706" s="91"/>
      <c r="BA706" s="91"/>
      <c r="BB706" s="91"/>
      <c r="BC706" s="91"/>
      <c r="BD706" s="91"/>
      <c r="BE706" s="91"/>
      <c r="BF706" s="91"/>
      <c r="BG706" s="91"/>
      <c r="BH706" s="91"/>
      <c r="BI706" s="91"/>
      <c r="BJ706" s="91"/>
      <c r="BK706" s="91"/>
      <c r="BL706" s="91"/>
      <c r="BM706" s="91"/>
      <c r="BN706" s="91"/>
      <c r="BO706" s="91"/>
      <c r="BP706" s="91"/>
      <c r="BQ706" s="91"/>
      <c r="BR706" s="91"/>
    </row>
    <row r="707" spans="1:70" ht="15.75" customHeight="1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  <c r="AU707" s="91"/>
      <c r="AV707" s="91"/>
      <c r="AW707" s="91"/>
      <c r="AX707" s="91"/>
      <c r="AY707" s="91"/>
      <c r="AZ707" s="91"/>
      <c r="BA707" s="91"/>
      <c r="BB707" s="91"/>
      <c r="BC707" s="91"/>
      <c r="BD707" s="91"/>
      <c r="BE707" s="91"/>
      <c r="BF707" s="91"/>
      <c r="BG707" s="91"/>
      <c r="BH707" s="91"/>
      <c r="BI707" s="91"/>
      <c r="BJ707" s="91"/>
      <c r="BK707" s="91"/>
      <c r="BL707" s="91"/>
      <c r="BM707" s="91"/>
      <c r="BN707" s="91"/>
      <c r="BO707" s="91"/>
      <c r="BP707" s="91"/>
      <c r="BQ707" s="91"/>
      <c r="BR707" s="91"/>
    </row>
    <row r="708" spans="1:70" ht="15.75" customHeight="1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  <c r="AU708" s="91"/>
      <c r="AV708" s="91"/>
      <c r="AW708" s="91"/>
      <c r="AX708" s="91"/>
      <c r="AY708" s="91"/>
      <c r="AZ708" s="91"/>
      <c r="BA708" s="91"/>
      <c r="BB708" s="91"/>
      <c r="BC708" s="91"/>
      <c r="BD708" s="91"/>
      <c r="BE708" s="91"/>
      <c r="BF708" s="91"/>
      <c r="BG708" s="91"/>
      <c r="BH708" s="91"/>
      <c r="BI708" s="91"/>
      <c r="BJ708" s="91"/>
      <c r="BK708" s="91"/>
      <c r="BL708" s="91"/>
      <c r="BM708" s="91"/>
      <c r="BN708" s="91"/>
      <c r="BO708" s="91"/>
      <c r="BP708" s="91"/>
      <c r="BQ708" s="91"/>
      <c r="BR708" s="91"/>
    </row>
    <row r="709" spans="1:70" ht="15.75" customHeight="1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  <c r="AU709" s="91"/>
      <c r="AV709" s="91"/>
      <c r="AW709" s="91"/>
      <c r="AX709" s="91"/>
      <c r="AY709" s="91"/>
      <c r="AZ709" s="91"/>
      <c r="BA709" s="91"/>
      <c r="BB709" s="91"/>
      <c r="BC709" s="91"/>
      <c r="BD709" s="91"/>
      <c r="BE709" s="91"/>
      <c r="BF709" s="91"/>
      <c r="BG709" s="91"/>
      <c r="BH709" s="91"/>
      <c r="BI709" s="91"/>
      <c r="BJ709" s="91"/>
      <c r="BK709" s="91"/>
      <c r="BL709" s="91"/>
      <c r="BM709" s="91"/>
      <c r="BN709" s="91"/>
      <c r="BO709" s="91"/>
      <c r="BP709" s="91"/>
      <c r="BQ709" s="91"/>
      <c r="BR709" s="91"/>
    </row>
    <row r="710" spans="1:70" ht="15.75" customHeight="1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  <c r="AU710" s="91"/>
      <c r="AV710" s="91"/>
      <c r="AW710" s="91"/>
      <c r="AX710" s="91"/>
      <c r="AY710" s="91"/>
      <c r="AZ710" s="91"/>
      <c r="BA710" s="91"/>
      <c r="BB710" s="91"/>
      <c r="BC710" s="91"/>
      <c r="BD710" s="91"/>
      <c r="BE710" s="91"/>
      <c r="BF710" s="91"/>
      <c r="BG710" s="91"/>
      <c r="BH710" s="91"/>
      <c r="BI710" s="91"/>
      <c r="BJ710" s="91"/>
      <c r="BK710" s="91"/>
      <c r="BL710" s="91"/>
      <c r="BM710" s="91"/>
      <c r="BN710" s="91"/>
      <c r="BO710" s="91"/>
      <c r="BP710" s="91"/>
      <c r="BQ710" s="91"/>
      <c r="BR710" s="91"/>
    </row>
    <row r="711" spans="1:70" ht="15.75" customHeight="1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  <c r="AU711" s="91"/>
      <c r="AV711" s="91"/>
      <c r="AW711" s="91"/>
      <c r="AX711" s="91"/>
      <c r="AY711" s="91"/>
      <c r="AZ711" s="91"/>
      <c r="BA711" s="91"/>
      <c r="BB711" s="91"/>
      <c r="BC711" s="91"/>
      <c r="BD711" s="91"/>
      <c r="BE711" s="91"/>
      <c r="BF711" s="91"/>
      <c r="BG711" s="91"/>
      <c r="BH711" s="91"/>
      <c r="BI711" s="91"/>
      <c r="BJ711" s="91"/>
      <c r="BK711" s="91"/>
      <c r="BL711" s="91"/>
      <c r="BM711" s="91"/>
      <c r="BN711" s="91"/>
      <c r="BO711" s="91"/>
      <c r="BP711" s="91"/>
      <c r="BQ711" s="91"/>
      <c r="BR711" s="91"/>
    </row>
    <row r="712" spans="1:70" ht="15.75" customHeight="1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  <c r="AU712" s="91"/>
      <c r="AV712" s="91"/>
      <c r="AW712" s="91"/>
      <c r="AX712" s="91"/>
      <c r="AY712" s="91"/>
      <c r="AZ712" s="91"/>
      <c r="BA712" s="91"/>
      <c r="BB712" s="91"/>
      <c r="BC712" s="91"/>
      <c r="BD712" s="91"/>
      <c r="BE712" s="91"/>
      <c r="BF712" s="91"/>
      <c r="BG712" s="91"/>
      <c r="BH712" s="91"/>
      <c r="BI712" s="91"/>
      <c r="BJ712" s="91"/>
      <c r="BK712" s="91"/>
      <c r="BL712" s="91"/>
      <c r="BM712" s="91"/>
      <c r="BN712" s="91"/>
      <c r="BO712" s="91"/>
      <c r="BP712" s="91"/>
      <c r="BQ712" s="91"/>
      <c r="BR712" s="91"/>
    </row>
    <row r="713" spans="1:70" ht="15.75" customHeight="1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  <c r="AU713" s="91"/>
      <c r="AV713" s="91"/>
      <c r="AW713" s="91"/>
      <c r="AX713" s="91"/>
      <c r="AY713" s="91"/>
      <c r="AZ713" s="91"/>
      <c r="BA713" s="91"/>
      <c r="BB713" s="91"/>
      <c r="BC713" s="91"/>
      <c r="BD713" s="91"/>
      <c r="BE713" s="91"/>
      <c r="BF713" s="91"/>
      <c r="BG713" s="91"/>
      <c r="BH713" s="91"/>
      <c r="BI713" s="91"/>
      <c r="BJ713" s="91"/>
      <c r="BK713" s="91"/>
      <c r="BL713" s="91"/>
      <c r="BM713" s="91"/>
      <c r="BN713" s="91"/>
      <c r="BO713" s="91"/>
      <c r="BP713" s="91"/>
      <c r="BQ713" s="91"/>
      <c r="BR713" s="91"/>
    </row>
    <row r="714" spans="1:70" ht="15.75" customHeight="1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  <c r="AU714" s="91"/>
      <c r="AV714" s="91"/>
      <c r="AW714" s="91"/>
      <c r="AX714" s="91"/>
      <c r="AY714" s="91"/>
      <c r="AZ714" s="91"/>
      <c r="BA714" s="91"/>
      <c r="BB714" s="91"/>
      <c r="BC714" s="91"/>
      <c r="BD714" s="91"/>
      <c r="BE714" s="91"/>
      <c r="BF714" s="91"/>
      <c r="BG714" s="91"/>
      <c r="BH714" s="91"/>
      <c r="BI714" s="91"/>
      <c r="BJ714" s="91"/>
      <c r="BK714" s="91"/>
      <c r="BL714" s="91"/>
      <c r="BM714" s="91"/>
      <c r="BN714" s="91"/>
      <c r="BO714" s="91"/>
      <c r="BP714" s="91"/>
      <c r="BQ714" s="91"/>
      <c r="BR714" s="91"/>
    </row>
    <row r="715" spans="1:70" ht="15.75" customHeight="1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  <c r="AU715" s="91"/>
      <c r="AV715" s="91"/>
      <c r="AW715" s="91"/>
      <c r="AX715" s="91"/>
      <c r="AY715" s="91"/>
      <c r="AZ715" s="91"/>
      <c r="BA715" s="91"/>
      <c r="BB715" s="91"/>
      <c r="BC715" s="91"/>
      <c r="BD715" s="91"/>
      <c r="BE715" s="91"/>
      <c r="BF715" s="91"/>
      <c r="BG715" s="91"/>
      <c r="BH715" s="91"/>
      <c r="BI715" s="91"/>
      <c r="BJ715" s="91"/>
      <c r="BK715" s="91"/>
      <c r="BL715" s="91"/>
      <c r="BM715" s="91"/>
      <c r="BN715" s="91"/>
      <c r="BO715" s="91"/>
      <c r="BP715" s="91"/>
      <c r="BQ715" s="91"/>
      <c r="BR715" s="91"/>
    </row>
    <row r="716" spans="1:70" ht="15.75" customHeight="1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  <c r="AU716" s="91"/>
      <c r="AV716" s="91"/>
      <c r="AW716" s="91"/>
      <c r="AX716" s="91"/>
      <c r="AY716" s="91"/>
      <c r="AZ716" s="91"/>
      <c r="BA716" s="91"/>
      <c r="BB716" s="91"/>
      <c r="BC716" s="91"/>
      <c r="BD716" s="91"/>
      <c r="BE716" s="91"/>
      <c r="BF716" s="91"/>
      <c r="BG716" s="91"/>
      <c r="BH716" s="91"/>
      <c r="BI716" s="91"/>
      <c r="BJ716" s="91"/>
      <c r="BK716" s="91"/>
      <c r="BL716" s="91"/>
      <c r="BM716" s="91"/>
      <c r="BN716" s="91"/>
      <c r="BO716" s="91"/>
      <c r="BP716" s="91"/>
      <c r="BQ716" s="91"/>
      <c r="BR716" s="91"/>
    </row>
    <row r="717" spans="1:70" ht="15.75" customHeight="1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  <c r="AU717" s="91"/>
      <c r="AV717" s="91"/>
      <c r="AW717" s="91"/>
      <c r="AX717" s="91"/>
      <c r="AY717" s="91"/>
      <c r="AZ717" s="91"/>
      <c r="BA717" s="91"/>
      <c r="BB717" s="91"/>
      <c r="BC717" s="91"/>
      <c r="BD717" s="91"/>
      <c r="BE717" s="91"/>
      <c r="BF717" s="91"/>
      <c r="BG717" s="91"/>
      <c r="BH717" s="91"/>
      <c r="BI717" s="91"/>
      <c r="BJ717" s="91"/>
      <c r="BK717" s="91"/>
      <c r="BL717" s="91"/>
      <c r="BM717" s="91"/>
      <c r="BN717" s="91"/>
      <c r="BO717" s="91"/>
      <c r="BP717" s="91"/>
      <c r="BQ717" s="91"/>
      <c r="BR717" s="91"/>
    </row>
    <row r="718" spans="1:70" ht="15.75" customHeight="1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  <c r="AU718" s="91"/>
      <c r="AV718" s="91"/>
      <c r="AW718" s="91"/>
      <c r="AX718" s="91"/>
      <c r="AY718" s="91"/>
      <c r="AZ718" s="91"/>
      <c r="BA718" s="91"/>
      <c r="BB718" s="91"/>
      <c r="BC718" s="91"/>
      <c r="BD718" s="91"/>
      <c r="BE718" s="91"/>
      <c r="BF718" s="91"/>
      <c r="BG718" s="91"/>
      <c r="BH718" s="91"/>
      <c r="BI718" s="91"/>
      <c r="BJ718" s="91"/>
      <c r="BK718" s="91"/>
      <c r="BL718" s="91"/>
      <c r="BM718" s="91"/>
      <c r="BN718" s="91"/>
      <c r="BO718" s="91"/>
      <c r="BP718" s="91"/>
      <c r="BQ718" s="91"/>
      <c r="BR718" s="91"/>
    </row>
    <row r="719" spans="1:70" ht="15.75" customHeight="1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  <c r="AU719" s="91"/>
      <c r="AV719" s="91"/>
      <c r="AW719" s="91"/>
      <c r="AX719" s="91"/>
      <c r="AY719" s="91"/>
      <c r="AZ719" s="91"/>
      <c r="BA719" s="91"/>
      <c r="BB719" s="91"/>
      <c r="BC719" s="91"/>
      <c r="BD719" s="91"/>
      <c r="BE719" s="91"/>
      <c r="BF719" s="91"/>
      <c r="BG719" s="91"/>
      <c r="BH719" s="91"/>
      <c r="BI719" s="91"/>
      <c r="BJ719" s="91"/>
      <c r="BK719" s="91"/>
      <c r="BL719" s="91"/>
      <c r="BM719" s="91"/>
      <c r="BN719" s="91"/>
      <c r="BO719" s="91"/>
      <c r="BP719" s="91"/>
      <c r="BQ719" s="91"/>
      <c r="BR719" s="91"/>
    </row>
    <row r="720" spans="1:70" ht="15.75" customHeight="1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  <c r="AU720" s="91"/>
      <c r="AV720" s="91"/>
      <c r="AW720" s="91"/>
      <c r="AX720" s="91"/>
      <c r="AY720" s="91"/>
      <c r="AZ720" s="91"/>
      <c r="BA720" s="91"/>
      <c r="BB720" s="91"/>
      <c r="BC720" s="91"/>
      <c r="BD720" s="91"/>
      <c r="BE720" s="91"/>
      <c r="BF720" s="91"/>
      <c r="BG720" s="91"/>
      <c r="BH720" s="91"/>
      <c r="BI720" s="91"/>
      <c r="BJ720" s="91"/>
      <c r="BK720" s="91"/>
      <c r="BL720" s="91"/>
      <c r="BM720" s="91"/>
      <c r="BN720" s="91"/>
      <c r="BO720" s="91"/>
      <c r="BP720" s="91"/>
      <c r="BQ720" s="91"/>
      <c r="BR720" s="91"/>
    </row>
    <row r="721" spans="1:70" ht="15.75" customHeight="1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  <c r="AU721" s="91"/>
      <c r="AV721" s="91"/>
      <c r="AW721" s="91"/>
      <c r="AX721" s="91"/>
      <c r="AY721" s="91"/>
      <c r="AZ721" s="91"/>
      <c r="BA721" s="91"/>
      <c r="BB721" s="91"/>
      <c r="BC721" s="91"/>
      <c r="BD721" s="91"/>
      <c r="BE721" s="91"/>
      <c r="BF721" s="91"/>
      <c r="BG721" s="91"/>
      <c r="BH721" s="91"/>
      <c r="BI721" s="91"/>
      <c r="BJ721" s="91"/>
      <c r="BK721" s="91"/>
      <c r="BL721" s="91"/>
      <c r="BM721" s="91"/>
      <c r="BN721" s="91"/>
      <c r="BO721" s="91"/>
      <c r="BP721" s="91"/>
      <c r="BQ721" s="91"/>
      <c r="BR721" s="91"/>
    </row>
    <row r="722" spans="1:70" ht="15.75" customHeight="1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  <c r="AU722" s="91"/>
      <c r="AV722" s="91"/>
      <c r="AW722" s="91"/>
      <c r="AX722" s="91"/>
      <c r="AY722" s="91"/>
      <c r="AZ722" s="91"/>
      <c r="BA722" s="91"/>
      <c r="BB722" s="91"/>
      <c r="BC722" s="91"/>
      <c r="BD722" s="91"/>
      <c r="BE722" s="91"/>
      <c r="BF722" s="91"/>
      <c r="BG722" s="91"/>
      <c r="BH722" s="91"/>
      <c r="BI722" s="91"/>
      <c r="BJ722" s="91"/>
      <c r="BK722" s="91"/>
      <c r="BL722" s="91"/>
      <c r="BM722" s="91"/>
      <c r="BN722" s="91"/>
      <c r="BO722" s="91"/>
      <c r="BP722" s="91"/>
      <c r="BQ722" s="91"/>
      <c r="BR722" s="91"/>
    </row>
    <row r="723" spans="1:70" ht="15.75" customHeight="1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  <c r="AU723" s="91"/>
      <c r="AV723" s="91"/>
      <c r="AW723" s="91"/>
      <c r="AX723" s="91"/>
      <c r="AY723" s="91"/>
      <c r="AZ723" s="91"/>
      <c r="BA723" s="91"/>
      <c r="BB723" s="91"/>
      <c r="BC723" s="91"/>
      <c r="BD723" s="91"/>
      <c r="BE723" s="91"/>
      <c r="BF723" s="91"/>
      <c r="BG723" s="91"/>
      <c r="BH723" s="91"/>
      <c r="BI723" s="91"/>
      <c r="BJ723" s="91"/>
      <c r="BK723" s="91"/>
      <c r="BL723" s="91"/>
      <c r="BM723" s="91"/>
      <c r="BN723" s="91"/>
      <c r="BO723" s="91"/>
      <c r="BP723" s="91"/>
      <c r="BQ723" s="91"/>
      <c r="BR723" s="91"/>
    </row>
    <row r="724" spans="1:70" ht="15.75" customHeight="1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  <c r="AU724" s="91"/>
      <c r="AV724" s="91"/>
      <c r="AW724" s="91"/>
      <c r="AX724" s="91"/>
      <c r="AY724" s="91"/>
      <c r="AZ724" s="91"/>
      <c r="BA724" s="91"/>
      <c r="BB724" s="91"/>
      <c r="BC724" s="91"/>
      <c r="BD724" s="91"/>
      <c r="BE724" s="91"/>
      <c r="BF724" s="91"/>
      <c r="BG724" s="91"/>
      <c r="BH724" s="91"/>
      <c r="BI724" s="91"/>
      <c r="BJ724" s="91"/>
      <c r="BK724" s="91"/>
      <c r="BL724" s="91"/>
      <c r="BM724" s="91"/>
      <c r="BN724" s="91"/>
      <c r="BO724" s="91"/>
      <c r="BP724" s="91"/>
      <c r="BQ724" s="91"/>
      <c r="BR724" s="91"/>
    </row>
    <row r="725" spans="1:70" ht="15.75" customHeight="1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  <c r="AU725" s="91"/>
      <c r="AV725" s="91"/>
      <c r="AW725" s="91"/>
      <c r="AX725" s="91"/>
      <c r="AY725" s="91"/>
      <c r="AZ725" s="91"/>
      <c r="BA725" s="91"/>
      <c r="BB725" s="91"/>
      <c r="BC725" s="91"/>
      <c r="BD725" s="91"/>
      <c r="BE725" s="91"/>
      <c r="BF725" s="91"/>
      <c r="BG725" s="91"/>
      <c r="BH725" s="91"/>
      <c r="BI725" s="91"/>
      <c r="BJ725" s="91"/>
      <c r="BK725" s="91"/>
      <c r="BL725" s="91"/>
      <c r="BM725" s="91"/>
      <c r="BN725" s="91"/>
      <c r="BO725" s="91"/>
      <c r="BP725" s="91"/>
      <c r="BQ725" s="91"/>
      <c r="BR725" s="91"/>
    </row>
    <row r="726" spans="1:70" ht="15.75" customHeight="1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  <c r="AU726" s="91"/>
      <c r="AV726" s="91"/>
      <c r="AW726" s="91"/>
      <c r="AX726" s="91"/>
      <c r="AY726" s="91"/>
      <c r="AZ726" s="91"/>
      <c r="BA726" s="91"/>
      <c r="BB726" s="91"/>
      <c r="BC726" s="91"/>
      <c r="BD726" s="91"/>
      <c r="BE726" s="91"/>
      <c r="BF726" s="91"/>
      <c r="BG726" s="91"/>
      <c r="BH726" s="91"/>
      <c r="BI726" s="91"/>
      <c r="BJ726" s="91"/>
      <c r="BK726" s="91"/>
      <c r="BL726" s="91"/>
      <c r="BM726" s="91"/>
      <c r="BN726" s="91"/>
      <c r="BO726" s="91"/>
      <c r="BP726" s="91"/>
      <c r="BQ726" s="91"/>
      <c r="BR726" s="91"/>
    </row>
    <row r="727" spans="1:70" ht="15.75" customHeight="1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  <c r="AU727" s="91"/>
      <c r="AV727" s="91"/>
      <c r="AW727" s="91"/>
      <c r="AX727" s="91"/>
      <c r="AY727" s="91"/>
      <c r="AZ727" s="91"/>
      <c r="BA727" s="91"/>
      <c r="BB727" s="91"/>
      <c r="BC727" s="91"/>
      <c r="BD727" s="91"/>
      <c r="BE727" s="91"/>
      <c r="BF727" s="91"/>
      <c r="BG727" s="91"/>
      <c r="BH727" s="91"/>
      <c r="BI727" s="91"/>
      <c r="BJ727" s="91"/>
      <c r="BK727" s="91"/>
      <c r="BL727" s="91"/>
      <c r="BM727" s="91"/>
      <c r="BN727" s="91"/>
      <c r="BO727" s="91"/>
      <c r="BP727" s="91"/>
      <c r="BQ727" s="91"/>
      <c r="BR727" s="91"/>
    </row>
    <row r="728" spans="1:70" ht="15.75" customHeight="1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  <c r="AU728" s="91"/>
      <c r="AV728" s="91"/>
      <c r="AW728" s="91"/>
      <c r="AX728" s="91"/>
      <c r="AY728" s="91"/>
      <c r="AZ728" s="91"/>
      <c r="BA728" s="91"/>
      <c r="BB728" s="91"/>
      <c r="BC728" s="91"/>
      <c r="BD728" s="91"/>
      <c r="BE728" s="91"/>
      <c r="BF728" s="91"/>
      <c r="BG728" s="91"/>
      <c r="BH728" s="91"/>
      <c r="BI728" s="91"/>
      <c r="BJ728" s="91"/>
      <c r="BK728" s="91"/>
      <c r="BL728" s="91"/>
      <c r="BM728" s="91"/>
      <c r="BN728" s="91"/>
      <c r="BO728" s="91"/>
      <c r="BP728" s="91"/>
      <c r="BQ728" s="91"/>
      <c r="BR728" s="91"/>
    </row>
    <row r="729" spans="1:70" ht="15.75" customHeight="1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  <c r="AU729" s="91"/>
      <c r="AV729" s="91"/>
      <c r="AW729" s="91"/>
      <c r="AX729" s="91"/>
      <c r="AY729" s="91"/>
      <c r="AZ729" s="91"/>
      <c r="BA729" s="91"/>
      <c r="BB729" s="91"/>
      <c r="BC729" s="91"/>
      <c r="BD729" s="91"/>
      <c r="BE729" s="91"/>
      <c r="BF729" s="91"/>
      <c r="BG729" s="91"/>
      <c r="BH729" s="91"/>
      <c r="BI729" s="91"/>
      <c r="BJ729" s="91"/>
      <c r="BK729" s="91"/>
      <c r="BL729" s="91"/>
      <c r="BM729" s="91"/>
      <c r="BN729" s="91"/>
      <c r="BO729" s="91"/>
      <c r="BP729" s="91"/>
      <c r="BQ729" s="91"/>
      <c r="BR729" s="91"/>
    </row>
    <row r="730" spans="1:70" ht="15.75" customHeight="1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  <c r="AU730" s="91"/>
      <c r="AV730" s="91"/>
      <c r="AW730" s="91"/>
      <c r="AX730" s="91"/>
      <c r="AY730" s="91"/>
      <c r="AZ730" s="91"/>
      <c r="BA730" s="91"/>
      <c r="BB730" s="91"/>
      <c r="BC730" s="91"/>
      <c r="BD730" s="91"/>
      <c r="BE730" s="91"/>
      <c r="BF730" s="91"/>
      <c r="BG730" s="91"/>
      <c r="BH730" s="91"/>
      <c r="BI730" s="91"/>
      <c r="BJ730" s="91"/>
      <c r="BK730" s="91"/>
      <c r="BL730" s="91"/>
      <c r="BM730" s="91"/>
      <c r="BN730" s="91"/>
      <c r="BO730" s="91"/>
      <c r="BP730" s="91"/>
      <c r="BQ730" s="91"/>
      <c r="BR730" s="91"/>
    </row>
    <row r="731" spans="1:70" ht="15.75" customHeight="1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  <c r="AU731" s="91"/>
      <c r="AV731" s="91"/>
      <c r="AW731" s="91"/>
      <c r="AX731" s="91"/>
      <c r="AY731" s="91"/>
      <c r="AZ731" s="91"/>
      <c r="BA731" s="91"/>
      <c r="BB731" s="91"/>
      <c r="BC731" s="91"/>
      <c r="BD731" s="91"/>
      <c r="BE731" s="91"/>
      <c r="BF731" s="91"/>
      <c r="BG731" s="91"/>
      <c r="BH731" s="91"/>
      <c r="BI731" s="91"/>
      <c r="BJ731" s="91"/>
      <c r="BK731" s="91"/>
      <c r="BL731" s="91"/>
      <c r="BM731" s="91"/>
      <c r="BN731" s="91"/>
      <c r="BO731" s="91"/>
      <c r="BP731" s="91"/>
      <c r="BQ731" s="91"/>
      <c r="BR731" s="91"/>
    </row>
    <row r="732" spans="1:70" ht="15.75" customHeight="1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  <c r="AU732" s="91"/>
      <c r="AV732" s="91"/>
      <c r="AW732" s="91"/>
      <c r="AX732" s="91"/>
      <c r="AY732" s="91"/>
      <c r="AZ732" s="91"/>
      <c r="BA732" s="91"/>
      <c r="BB732" s="91"/>
      <c r="BC732" s="91"/>
      <c r="BD732" s="91"/>
      <c r="BE732" s="91"/>
      <c r="BF732" s="91"/>
      <c r="BG732" s="91"/>
      <c r="BH732" s="91"/>
      <c r="BI732" s="91"/>
      <c r="BJ732" s="91"/>
      <c r="BK732" s="91"/>
      <c r="BL732" s="91"/>
      <c r="BM732" s="91"/>
      <c r="BN732" s="91"/>
      <c r="BO732" s="91"/>
      <c r="BP732" s="91"/>
      <c r="BQ732" s="91"/>
      <c r="BR732" s="91"/>
    </row>
    <row r="733" spans="1:70" ht="15.75" customHeight="1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  <c r="AU733" s="91"/>
      <c r="AV733" s="91"/>
      <c r="AW733" s="91"/>
      <c r="AX733" s="91"/>
      <c r="AY733" s="91"/>
      <c r="AZ733" s="91"/>
      <c r="BA733" s="91"/>
      <c r="BB733" s="91"/>
      <c r="BC733" s="91"/>
      <c r="BD733" s="91"/>
      <c r="BE733" s="91"/>
      <c r="BF733" s="91"/>
      <c r="BG733" s="91"/>
      <c r="BH733" s="91"/>
      <c r="BI733" s="91"/>
      <c r="BJ733" s="91"/>
      <c r="BK733" s="91"/>
      <c r="BL733" s="91"/>
      <c r="BM733" s="91"/>
      <c r="BN733" s="91"/>
      <c r="BO733" s="91"/>
      <c r="BP733" s="91"/>
      <c r="BQ733" s="91"/>
      <c r="BR733" s="91"/>
    </row>
    <row r="734" spans="1:70" ht="15.75" customHeight="1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  <c r="AU734" s="91"/>
      <c r="AV734" s="91"/>
      <c r="AW734" s="91"/>
      <c r="AX734" s="91"/>
      <c r="AY734" s="91"/>
      <c r="AZ734" s="91"/>
      <c r="BA734" s="91"/>
      <c r="BB734" s="91"/>
      <c r="BC734" s="91"/>
      <c r="BD734" s="91"/>
      <c r="BE734" s="91"/>
      <c r="BF734" s="91"/>
      <c r="BG734" s="91"/>
      <c r="BH734" s="91"/>
      <c r="BI734" s="91"/>
      <c r="BJ734" s="91"/>
      <c r="BK734" s="91"/>
      <c r="BL734" s="91"/>
      <c r="BM734" s="91"/>
      <c r="BN734" s="91"/>
      <c r="BO734" s="91"/>
      <c r="BP734" s="91"/>
      <c r="BQ734" s="91"/>
      <c r="BR734" s="91"/>
    </row>
    <row r="735" spans="1:70" ht="15.75" customHeight="1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  <c r="AU735" s="91"/>
      <c r="AV735" s="91"/>
      <c r="AW735" s="91"/>
      <c r="AX735" s="91"/>
      <c r="AY735" s="91"/>
      <c r="AZ735" s="91"/>
      <c r="BA735" s="91"/>
      <c r="BB735" s="91"/>
      <c r="BC735" s="91"/>
      <c r="BD735" s="91"/>
      <c r="BE735" s="91"/>
      <c r="BF735" s="91"/>
      <c r="BG735" s="91"/>
      <c r="BH735" s="91"/>
      <c r="BI735" s="91"/>
      <c r="BJ735" s="91"/>
      <c r="BK735" s="91"/>
      <c r="BL735" s="91"/>
      <c r="BM735" s="91"/>
      <c r="BN735" s="91"/>
      <c r="BO735" s="91"/>
      <c r="BP735" s="91"/>
      <c r="BQ735" s="91"/>
      <c r="BR735" s="91"/>
    </row>
    <row r="736" spans="1:70" ht="15.75" customHeight="1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  <c r="AU736" s="91"/>
      <c r="AV736" s="91"/>
      <c r="AW736" s="91"/>
      <c r="AX736" s="91"/>
      <c r="AY736" s="91"/>
      <c r="AZ736" s="91"/>
      <c r="BA736" s="91"/>
      <c r="BB736" s="91"/>
      <c r="BC736" s="91"/>
      <c r="BD736" s="91"/>
      <c r="BE736" s="91"/>
      <c r="BF736" s="91"/>
      <c r="BG736" s="91"/>
      <c r="BH736" s="91"/>
      <c r="BI736" s="91"/>
      <c r="BJ736" s="91"/>
      <c r="BK736" s="91"/>
      <c r="BL736" s="91"/>
      <c r="BM736" s="91"/>
      <c r="BN736" s="91"/>
      <c r="BO736" s="91"/>
      <c r="BP736" s="91"/>
      <c r="BQ736" s="91"/>
      <c r="BR736" s="91"/>
    </row>
    <row r="737" spans="1:70" ht="15.75" customHeight="1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  <c r="AU737" s="91"/>
      <c r="AV737" s="91"/>
      <c r="AW737" s="91"/>
      <c r="AX737" s="91"/>
      <c r="AY737" s="91"/>
      <c r="AZ737" s="91"/>
      <c r="BA737" s="91"/>
      <c r="BB737" s="91"/>
      <c r="BC737" s="91"/>
      <c r="BD737" s="91"/>
      <c r="BE737" s="91"/>
      <c r="BF737" s="91"/>
      <c r="BG737" s="91"/>
      <c r="BH737" s="91"/>
      <c r="BI737" s="91"/>
      <c r="BJ737" s="91"/>
      <c r="BK737" s="91"/>
      <c r="BL737" s="91"/>
      <c r="BM737" s="91"/>
      <c r="BN737" s="91"/>
      <c r="BO737" s="91"/>
      <c r="BP737" s="91"/>
      <c r="BQ737" s="91"/>
      <c r="BR737" s="91"/>
    </row>
    <row r="738" spans="1:70" ht="15.75" customHeight="1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  <c r="AU738" s="91"/>
      <c r="AV738" s="91"/>
      <c r="AW738" s="91"/>
      <c r="AX738" s="91"/>
      <c r="AY738" s="91"/>
      <c r="AZ738" s="91"/>
      <c r="BA738" s="91"/>
      <c r="BB738" s="91"/>
      <c r="BC738" s="91"/>
      <c r="BD738" s="91"/>
      <c r="BE738" s="91"/>
      <c r="BF738" s="91"/>
      <c r="BG738" s="91"/>
      <c r="BH738" s="91"/>
      <c r="BI738" s="91"/>
      <c r="BJ738" s="91"/>
      <c r="BK738" s="91"/>
      <c r="BL738" s="91"/>
      <c r="BM738" s="91"/>
      <c r="BN738" s="91"/>
      <c r="BO738" s="91"/>
      <c r="BP738" s="91"/>
      <c r="BQ738" s="91"/>
      <c r="BR738" s="91"/>
    </row>
    <row r="739" spans="1:70" ht="15.75" customHeight="1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  <c r="AU739" s="91"/>
      <c r="AV739" s="91"/>
      <c r="AW739" s="91"/>
      <c r="AX739" s="91"/>
      <c r="AY739" s="91"/>
      <c r="AZ739" s="91"/>
      <c r="BA739" s="91"/>
      <c r="BB739" s="91"/>
      <c r="BC739" s="91"/>
      <c r="BD739" s="91"/>
      <c r="BE739" s="91"/>
      <c r="BF739" s="91"/>
      <c r="BG739" s="91"/>
      <c r="BH739" s="91"/>
      <c r="BI739" s="91"/>
      <c r="BJ739" s="91"/>
      <c r="BK739" s="91"/>
      <c r="BL739" s="91"/>
      <c r="BM739" s="91"/>
      <c r="BN739" s="91"/>
      <c r="BO739" s="91"/>
      <c r="BP739" s="91"/>
      <c r="BQ739" s="91"/>
      <c r="BR739" s="91"/>
    </row>
    <row r="740" spans="1:70" ht="15.75" customHeight="1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  <c r="AU740" s="91"/>
      <c r="AV740" s="91"/>
      <c r="AW740" s="91"/>
      <c r="AX740" s="91"/>
      <c r="AY740" s="91"/>
      <c r="AZ740" s="91"/>
      <c r="BA740" s="91"/>
      <c r="BB740" s="91"/>
      <c r="BC740" s="91"/>
      <c r="BD740" s="91"/>
      <c r="BE740" s="91"/>
      <c r="BF740" s="91"/>
      <c r="BG740" s="91"/>
      <c r="BH740" s="91"/>
      <c r="BI740" s="91"/>
      <c r="BJ740" s="91"/>
      <c r="BK740" s="91"/>
      <c r="BL740" s="91"/>
      <c r="BM740" s="91"/>
      <c r="BN740" s="91"/>
      <c r="BO740" s="91"/>
      <c r="BP740" s="91"/>
      <c r="BQ740" s="91"/>
      <c r="BR740" s="91"/>
    </row>
    <row r="741" spans="1:70" ht="15.75" customHeight="1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  <c r="AU741" s="91"/>
      <c r="AV741" s="91"/>
      <c r="AW741" s="91"/>
      <c r="AX741" s="91"/>
      <c r="AY741" s="91"/>
      <c r="AZ741" s="91"/>
      <c r="BA741" s="91"/>
      <c r="BB741" s="91"/>
      <c r="BC741" s="91"/>
      <c r="BD741" s="91"/>
      <c r="BE741" s="91"/>
      <c r="BF741" s="91"/>
      <c r="BG741" s="91"/>
      <c r="BH741" s="91"/>
      <c r="BI741" s="91"/>
      <c r="BJ741" s="91"/>
      <c r="BK741" s="91"/>
      <c r="BL741" s="91"/>
      <c r="BM741" s="91"/>
      <c r="BN741" s="91"/>
      <c r="BO741" s="91"/>
      <c r="BP741" s="91"/>
      <c r="BQ741" s="91"/>
      <c r="BR741" s="91"/>
    </row>
    <row r="742" spans="1:70" ht="15.75" customHeight="1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  <c r="AU742" s="91"/>
      <c r="AV742" s="91"/>
      <c r="AW742" s="91"/>
      <c r="AX742" s="91"/>
      <c r="AY742" s="91"/>
      <c r="AZ742" s="91"/>
      <c r="BA742" s="91"/>
      <c r="BB742" s="91"/>
      <c r="BC742" s="91"/>
      <c r="BD742" s="91"/>
      <c r="BE742" s="91"/>
      <c r="BF742" s="91"/>
      <c r="BG742" s="91"/>
      <c r="BH742" s="91"/>
      <c r="BI742" s="91"/>
      <c r="BJ742" s="91"/>
      <c r="BK742" s="91"/>
      <c r="BL742" s="91"/>
      <c r="BM742" s="91"/>
      <c r="BN742" s="91"/>
      <c r="BO742" s="91"/>
      <c r="BP742" s="91"/>
      <c r="BQ742" s="91"/>
      <c r="BR742" s="91"/>
    </row>
    <row r="743" spans="1:70" ht="15.75" customHeight="1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  <c r="AU743" s="91"/>
      <c r="AV743" s="91"/>
      <c r="AW743" s="91"/>
      <c r="AX743" s="91"/>
      <c r="AY743" s="91"/>
      <c r="AZ743" s="91"/>
      <c r="BA743" s="91"/>
      <c r="BB743" s="91"/>
      <c r="BC743" s="91"/>
      <c r="BD743" s="91"/>
      <c r="BE743" s="91"/>
      <c r="BF743" s="91"/>
      <c r="BG743" s="91"/>
      <c r="BH743" s="91"/>
      <c r="BI743" s="91"/>
      <c r="BJ743" s="91"/>
      <c r="BK743" s="91"/>
      <c r="BL743" s="91"/>
      <c r="BM743" s="91"/>
      <c r="BN743" s="91"/>
      <c r="BO743" s="91"/>
      <c r="BP743" s="91"/>
      <c r="BQ743" s="91"/>
      <c r="BR743" s="91"/>
    </row>
    <row r="744" spans="1:70" ht="15.75" customHeight="1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  <c r="AU744" s="91"/>
      <c r="AV744" s="91"/>
      <c r="AW744" s="91"/>
      <c r="AX744" s="91"/>
      <c r="AY744" s="91"/>
      <c r="AZ744" s="91"/>
      <c r="BA744" s="91"/>
      <c r="BB744" s="91"/>
      <c r="BC744" s="91"/>
      <c r="BD744" s="91"/>
      <c r="BE744" s="91"/>
      <c r="BF744" s="91"/>
      <c r="BG744" s="91"/>
      <c r="BH744" s="91"/>
      <c r="BI744" s="91"/>
      <c r="BJ744" s="91"/>
      <c r="BK744" s="91"/>
      <c r="BL744" s="91"/>
      <c r="BM744" s="91"/>
      <c r="BN744" s="91"/>
      <c r="BO744" s="91"/>
      <c r="BP744" s="91"/>
      <c r="BQ744" s="91"/>
      <c r="BR744" s="91"/>
    </row>
    <row r="745" spans="1:70" ht="15.75" customHeight="1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  <c r="AU745" s="91"/>
      <c r="AV745" s="91"/>
      <c r="AW745" s="91"/>
      <c r="AX745" s="91"/>
      <c r="AY745" s="91"/>
      <c r="AZ745" s="91"/>
      <c r="BA745" s="91"/>
      <c r="BB745" s="91"/>
      <c r="BC745" s="91"/>
      <c r="BD745" s="91"/>
      <c r="BE745" s="91"/>
      <c r="BF745" s="91"/>
      <c r="BG745" s="91"/>
      <c r="BH745" s="91"/>
      <c r="BI745" s="91"/>
      <c r="BJ745" s="91"/>
      <c r="BK745" s="91"/>
      <c r="BL745" s="91"/>
      <c r="BM745" s="91"/>
      <c r="BN745" s="91"/>
      <c r="BO745" s="91"/>
      <c r="BP745" s="91"/>
      <c r="BQ745" s="91"/>
      <c r="BR745" s="91"/>
    </row>
    <row r="746" spans="1:70" ht="15.75" customHeight="1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  <c r="AU746" s="91"/>
      <c r="AV746" s="91"/>
      <c r="AW746" s="91"/>
      <c r="AX746" s="91"/>
      <c r="AY746" s="91"/>
      <c r="AZ746" s="91"/>
      <c r="BA746" s="91"/>
      <c r="BB746" s="91"/>
      <c r="BC746" s="91"/>
      <c r="BD746" s="91"/>
      <c r="BE746" s="91"/>
      <c r="BF746" s="91"/>
      <c r="BG746" s="91"/>
      <c r="BH746" s="91"/>
      <c r="BI746" s="91"/>
      <c r="BJ746" s="91"/>
      <c r="BK746" s="91"/>
      <c r="BL746" s="91"/>
      <c r="BM746" s="91"/>
      <c r="BN746" s="91"/>
      <c r="BO746" s="91"/>
      <c r="BP746" s="91"/>
      <c r="BQ746" s="91"/>
      <c r="BR746" s="91"/>
    </row>
    <row r="747" spans="1:70" ht="15.75" customHeight="1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  <c r="AU747" s="91"/>
      <c r="AV747" s="91"/>
      <c r="AW747" s="91"/>
      <c r="AX747" s="91"/>
      <c r="AY747" s="91"/>
      <c r="AZ747" s="91"/>
      <c r="BA747" s="91"/>
      <c r="BB747" s="91"/>
      <c r="BC747" s="91"/>
      <c r="BD747" s="91"/>
      <c r="BE747" s="91"/>
      <c r="BF747" s="91"/>
      <c r="BG747" s="91"/>
      <c r="BH747" s="91"/>
      <c r="BI747" s="91"/>
      <c r="BJ747" s="91"/>
      <c r="BK747" s="91"/>
      <c r="BL747" s="91"/>
      <c r="BM747" s="91"/>
      <c r="BN747" s="91"/>
      <c r="BO747" s="91"/>
      <c r="BP747" s="91"/>
      <c r="BQ747" s="91"/>
      <c r="BR747" s="91"/>
    </row>
    <row r="748" spans="1:70" ht="15.75" customHeight="1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  <c r="AU748" s="91"/>
      <c r="AV748" s="91"/>
      <c r="AW748" s="91"/>
      <c r="AX748" s="91"/>
      <c r="AY748" s="91"/>
      <c r="AZ748" s="91"/>
      <c r="BA748" s="91"/>
      <c r="BB748" s="91"/>
      <c r="BC748" s="91"/>
      <c r="BD748" s="91"/>
      <c r="BE748" s="91"/>
      <c r="BF748" s="91"/>
      <c r="BG748" s="91"/>
      <c r="BH748" s="91"/>
      <c r="BI748" s="91"/>
      <c r="BJ748" s="91"/>
      <c r="BK748" s="91"/>
      <c r="BL748" s="91"/>
      <c r="BM748" s="91"/>
      <c r="BN748" s="91"/>
      <c r="BO748" s="91"/>
      <c r="BP748" s="91"/>
      <c r="BQ748" s="91"/>
      <c r="BR748" s="91"/>
    </row>
    <row r="749" spans="1:70" ht="15.75" customHeight="1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  <c r="AU749" s="91"/>
      <c r="AV749" s="91"/>
      <c r="AW749" s="91"/>
      <c r="AX749" s="91"/>
      <c r="AY749" s="91"/>
      <c r="AZ749" s="91"/>
      <c r="BA749" s="91"/>
      <c r="BB749" s="91"/>
      <c r="BC749" s="91"/>
      <c r="BD749" s="91"/>
      <c r="BE749" s="91"/>
      <c r="BF749" s="91"/>
      <c r="BG749" s="91"/>
      <c r="BH749" s="91"/>
      <c r="BI749" s="91"/>
      <c r="BJ749" s="91"/>
      <c r="BK749" s="91"/>
      <c r="BL749" s="91"/>
      <c r="BM749" s="91"/>
      <c r="BN749" s="91"/>
      <c r="BO749" s="91"/>
      <c r="BP749" s="91"/>
      <c r="BQ749" s="91"/>
      <c r="BR749" s="91"/>
    </row>
    <row r="750" spans="1:70" ht="15.75" customHeight="1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  <c r="AU750" s="91"/>
      <c r="AV750" s="91"/>
      <c r="AW750" s="91"/>
      <c r="AX750" s="91"/>
      <c r="AY750" s="91"/>
      <c r="AZ750" s="91"/>
      <c r="BA750" s="91"/>
      <c r="BB750" s="91"/>
      <c r="BC750" s="91"/>
      <c r="BD750" s="91"/>
      <c r="BE750" s="91"/>
      <c r="BF750" s="91"/>
      <c r="BG750" s="91"/>
      <c r="BH750" s="91"/>
      <c r="BI750" s="91"/>
      <c r="BJ750" s="91"/>
      <c r="BK750" s="91"/>
      <c r="BL750" s="91"/>
      <c r="BM750" s="91"/>
      <c r="BN750" s="91"/>
      <c r="BO750" s="91"/>
      <c r="BP750" s="91"/>
      <c r="BQ750" s="91"/>
      <c r="BR750" s="91"/>
    </row>
    <row r="751" spans="1:70" ht="15.75" customHeight="1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  <c r="AU751" s="91"/>
      <c r="AV751" s="91"/>
      <c r="AW751" s="91"/>
      <c r="AX751" s="91"/>
      <c r="AY751" s="91"/>
      <c r="AZ751" s="91"/>
      <c r="BA751" s="91"/>
      <c r="BB751" s="91"/>
      <c r="BC751" s="91"/>
      <c r="BD751" s="91"/>
      <c r="BE751" s="91"/>
      <c r="BF751" s="91"/>
      <c r="BG751" s="91"/>
      <c r="BH751" s="91"/>
      <c r="BI751" s="91"/>
      <c r="BJ751" s="91"/>
      <c r="BK751" s="91"/>
      <c r="BL751" s="91"/>
      <c r="BM751" s="91"/>
      <c r="BN751" s="91"/>
      <c r="BO751" s="91"/>
      <c r="BP751" s="91"/>
      <c r="BQ751" s="91"/>
      <c r="BR751" s="91"/>
    </row>
    <row r="752" spans="1:70" ht="15.75" customHeight="1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  <c r="AU752" s="91"/>
      <c r="AV752" s="91"/>
      <c r="AW752" s="91"/>
      <c r="AX752" s="91"/>
      <c r="AY752" s="91"/>
      <c r="AZ752" s="91"/>
      <c r="BA752" s="91"/>
      <c r="BB752" s="91"/>
      <c r="BC752" s="91"/>
      <c r="BD752" s="91"/>
      <c r="BE752" s="91"/>
      <c r="BF752" s="91"/>
      <c r="BG752" s="91"/>
      <c r="BH752" s="91"/>
      <c r="BI752" s="91"/>
      <c r="BJ752" s="91"/>
      <c r="BK752" s="91"/>
      <c r="BL752" s="91"/>
      <c r="BM752" s="91"/>
      <c r="BN752" s="91"/>
      <c r="BO752" s="91"/>
      <c r="BP752" s="91"/>
      <c r="BQ752" s="91"/>
      <c r="BR752" s="91"/>
    </row>
    <row r="753" spans="1:70" ht="15.75" customHeight="1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  <c r="AU753" s="91"/>
      <c r="AV753" s="91"/>
      <c r="AW753" s="91"/>
      <c r="AX753" s="91"/>
      <c r="AY753" s="91"/>
      <c r="AZ753" s="91"/>
      <c r="BA753" s="91"/>
      <c r="BB753" s="91"/>
      <c r="BC753" s="91"/>
      <c r="BD753" s="91"/>
      <c r="BE753" s="91"/>
      <c r="BF753" s="91"/>
      <c r="BG753" s="91"/>
      <c r="BH753" s="91"/>
      <c r="BI753" s="91"/>
      <c r="BJ753" s="91"/>
      <c r="BK753" s="91"/>
      <c r="BL753" s="91"/>
      <c r="BM753" s="91"/>
      <c r="BN753" s="91"/>
      <c r="BO753" s="91"/>
      <c r="BP753" s="91"/>
      <c r="BQ753" s="91"/>
      <c r="BR753" s="91"/>
    </row>
    <row r="754" spans="1:70" ht="15.75" customHeight="1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  <c r="AU754" s="91"/>
      <c r="AV754" s="91"/>
      <c r="AW754" s="91"/>
      <c r="AX754" s="91"/>
      <c r="AY754" s="91"/>
      <c r="AZ754" s="91"/>
      <c r="BA754" s="91"/>
      <c r="BB754" s="91"/>
      <c r="BC754" s="91"/>
      <c r="BD754" s="91"/>
      <c r="BE754" s="91"/>
      <c r="BF754" s="91"/>
      <c r="BG754" s="91"/>
      <c r="BH754" s="91"/>
      <c r="BI754" s="91"/>
      <c r="BJ754" s="91"/>
      <c r="BK754" s="91"/>
      <c r="BL754" s="91"/>
      <c r="BM754" s="91"/>
      <c r="BN754" s="91"/>
      <c r="BO754" s="91"/>
      <c r="BP754" s="91"/>
      <c r="BQ754" s="91"/>
      <c r="BR754" s="91"/>
    </row>
    <row r="755" spans="1:70" ht="15.75" customHeight="1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  <c r="AU755" s="91"/>
      <c r="AV755" s="91"/>
      <c r="AW755" s="91"/>
      <c r="AX755" s="91"/>
      <c r="AY755" s="91"/>
      <c r="AZ755" s="91"/>
      <c r="BA755" s="91"/>
      <c r="BB755" s="91"/>
      <c r="BC755" s="91"/>
      <c r="BD755" s="91"/>
      <c r="BE755" s="91"/>
      <c r="BF755" s="91"/>
      <c r="BG755" s="91"/>
      <c r="BH755" s="91"/>
      <c r="BI755" s="91"/>
      <c r="BJ755" s="91"/>
      <c r="BK755" s="91"/>
      <c r="BL755" s="91"/>
      <c r="BM755" s="91"/>
      <c r="BN755" s="91"/>
      <c r="BO755" s="91"/>
      <c r="BP755" s="91"/>
      <c r="BQ755" s="91"/>
      <c r="BR755" s="91"/>
    </row>
    <row r="756" spans="1:70" ht="15.75" customHeight="1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  <c r="AU756" s="91"/>
      <c r="AV756" s="91"/>
      <c r="AW756" s="91"/>
      <c r="AX756" s="91"/>
      <c r="AY756" s="91"/>
      <c r="AZ756" s="91"/>
      <c r="BA756" s="91"/>
      <c r="BB756" s="91"/>
      <c r="BC756" s="91"/>
      <c r="BD756" s="91"/>
      <c r="BE756" s="91"/>
      <c r="BF756" s="91"/>
      <c r="BG756" s="91"/>
      <c r="BH756" s="91"/>
      <c r="BI756" s="91"/>
      <c r="BJ756" s="91"/>
      <c r="BK756" s="91"/>
      <c r="BL756" s="91"/>
      <c r="BM756" s="91"/>
      <c r="BN756" s="91"/>
      <c r="BO756" s="91"/>
      <c r="BP756" s="91"/>
      <c r="BQ756" s="91"/>
      <c r="BR756" s="91"/>
    </row>
    <row r="757" spans="1:70" ht="15.75" customHeight="1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  <c r="AU757" s="91"/>
      <c r="AV757" s="91"/>
      <c r="AW757" s="91"/>
      <c r="AX757" s="91"/>
      <c r="AY757" s="91"/>
      <c r="AZ757" s="91"/>
      <c r="BA757" s="91"/>
      <c r="BB757" s="91"/>
      <c r="BC757" s="91"/>
      <c r="BD757" s="91"/>
      <c r="BE757" s="91"/>
      <c r="BF757" s="91"/>
      <c r="BG757" s="91"/>
      <c r="BH757" s="91"/>
      <c r="BI757" s="91"/>
      <c r="BJ757" s="91"/>
      <c r="BK757" s="91"/>
      <c r="BL757" s="91"/>
      <c r="BM757" s="91"/>
      <c r="BN757" s="91"/>
      <c r="BO757" s="91"/>
      <c r="BP757" s="91"/>
      <c r="BQ757" s="91"/>
      <c r="BR757" s="91"/>
    </row>
    <row r="758" spans="1:70" ht="15.75" customHeight="1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  <c r="AU758" s="91"/>
      <c r="AV758" s="91"/>
      <c r="AW758" s="91"/>
      <c r="AX758" s="91"/>
      <c r="AY758" s="91"/>
      <c r="AZ758" s="91"/>
      <c r="BA758" s="91"/>
      <c r="BB758" s="91"/>
      <c r="BC758" s="91"/>
      <c r="BD758" s="91"/>
      <c r="BE758" s="91"/>
      <c r="BF758" s="91"/>
      <c r="BG758" s="91"/>
      <c r="BH758" s="91"/>
      <c r="BI758" s="91"/>
      <c r="BJ758" s="91"/>
      <c r="BK758" s="91"/>
      <c r="BL758" s="91"/>
      <c r="BM758" s="91"/>
      <c r="BN758" s="91"/>
      <c r="BO758" s="91"/>
      <c r="BP758" s="91"/>
      <c r="BQ758" s="91"/>
      <c r="BR758" s="91"/>
    </row>
    <row r="759" spans="1:70" ht="15.75" customHeight="1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  <c r="AU759" s="91"/>
      <c r="AV759" s="91"/>
      <c r="AW759" s="91"/>
      <c r="AX759" s="91"/>
      <c r="AY759" s="91"/>
      <c r="AZ759" s="91"/>
      <c r="BA759" s="91"/>
      <c r="BB759" s="91"/>
      <c r="BC759" s="91"/>
      <c r="BD759" s="91"/>
      <c r="BE759" s="91"/>
      <c r="BF759" s="91"/>
      <c r="BG759" s="91"/>
      <c r="BH759" s="91"/>
      <c r="BI759" s="91"/>
      <c r="BJ759" s="91"/>
      <c r="BK759" s="91"/>
      <c r="BL759" s="91"/>
      <c r="BM759" s="91"/>
      <c r="BN759" s="91"/>
      <c r="BO759" s="91"/>
      <c r="BP759" s="91"/>
      <c r="BQ759" s="91"/>
      <c r="BR759" s="91"/>
    </row>
    <row r="760" spans="1:70" ht="15.75" customHeight="1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  <c r="AU760" s="91"/>
      <c r="AV760" s="91"/>
      <c r="AW760" s="91"/>
      <c r="AX760" s="91"/>
      <c r="AY760" s="91"/>
      <c r="AZ760" s="91"/>
      <c r="BA760" s="91"/>
      <c r="BB760" s="91"/>
      <c r="BC760" s="91"/>
      <c r="BD760" s="91"/>
      <c r="BE760" s="91"/>
      <c r="BF760" s="91"/>
      <c r="BG760" s="91"/>
      <c r="BH760" s="91"/>
      <c r="BI760" s="91"/>
      <c r="BJ760" s="91"/>
      <c r="BK760" s="91"/>
      <c r="BL760" s="91"/>
      <c r="BM760" s="91"/>
      <c r="BN760" s="91"/>
      <c r="BO760" s="91"/>
      <c r="BP760" s="91"/>
      <c r="BQ760" s="91"/>
      <c r="BR760" s="91"/>
    </row>
    <row r="761" spans="1:70" ht="15.75" customHeight="1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  <c r="AU761" s="91"/>
      <c r="AV761" s="91"/>
      <c r="AW761" s="91"/>
      <c r="AX761" s="91"/>
      <c r="AY761" s="91"/>
      <c r="AZ761" s="91"/>
      <c r="BA761" s="91"/>
      <c r="BB761" s="91"/>
      <c r="BC761" s="91"/>
      <c r="BD761" s="91"/>
      <c r="BE761" s="91"/>
      <c r="BF761" s="91"/>
      <c r="BG761" s="91"/>
      <c r="BH761" s="91"/>
      <c r="BI761" s="91"/>
      <c r="BJ761" s="91"/>
      <c r="BK761" s="91"/>
      <c r="BL761" s="91"/>
      <c r="BM761" s="91"/>
      <c r="BN761" s="91"/>
      <c r="BO761" s="91"/>
      <c r="BP761" s="91"/>
      <c r="BQ761" s="91"/>
      <c r="BR761" s="91"/>
    </row>
    <row r="762" spans="1:70" ht="15.75" customHeight="1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  <c r="AU762" s="91"/>
      <c r="AV762" s="91"/>
      <c r="AW762" s="91"/>
      <c r="AX762" s="91"/>
      <c r="AY762" s="91"/>
      <c r="AZ762" s="91"/>
      <c r="BA762" s="91"/>
      <c r="BB762" s="91"/>
      <c r="BC762" s="91"/>
      <c r="BD762" s="91"/>
      <c r="BE762" s="91"/>
      <c r="BF762" s="91"/>
      <c r="BG762" s="91"/>
      <c r="BH762" s="91"/>
      <c r="BI762" s="91"/>
      <c r="BJ762" s="91"/>
      <c r="BK762" s="91"/>
      <c r="BL762" s="91"/>
      <c r="BM762" s="91"/>
      <c r="BN762" s="91"/>
      <c r="BO762" s="91"/>
      <c r="BP762" s="91"/>
      <c r="BQ762" s="91"/>
      <c r="BR762" s="91"/>
    </row>
    <row r="763" spans="1:70" ht="15.75" customHeight="1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  <c r="AU763" s="91"/>
      <c r="AV763" s="91"/>
      <c r="AW763" s="91"/>
      <c r="AX763" s="91"/>
      <c r="AY763" s="91"/>
      <c r="AZ763" s="91"/>
      <c r="BA763" s="91"/>
      <c r="BB763" s="91"/>
      <c r="BC763" s="91"/>
      <c r="BD763" s="91"/>
      <c r="BE763" s="91"/>
      <c r="BF763" s="91"/>
      <c r="BG763" s="91"/>
      <c r="BH763" s="91"/>
      <c r="BI763" s="91"/>
      <c r="BJ763" s="91"/>
      <c r="BK763" s="91"/>
      <c r="BL763" s="91"/>
      <c r="BM763" s="91"/>
      <c r="BN763" s="91"/>
      <c r="BO763" s="91"/>
      <c r="BP763" s="91"/>
      <c r="BQ763" s="91"/>
      <c r="BR763" s="91"/>
    </row>
    <row r="764" spans="1:70" ht="15.75" customHeight="1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  <c r="AU764" s="91"/>
      <c r="AV764" s="91"/>
      <c r="AW764" s="91"/>
      <c r="AX764" s="91"/>
      <c r="AY764" s="91"/>
      <c r="AZ764" s="91"/>
      <c r="BA764" s="91"/>
      <c r="BB764" s="91"/>
      <c r="BC764" s="91"/>
      <c r="BD764" s="91"/>
      <c r="BE764" s="91"/>
      <c r="BF764" s="91"/>
      <c r="BG764" s="91"/>
      <c r="BH764" s="91"/>
      <c r="BI764" s="91"/>
      <c r="BJ764" s="91"/>
      <c r="BK764" s="91"/>
      <c r="BL764" s="91"/>
      <c r="BM764" s="91"/>
      <c r="BN764" s="91"/>
      <c r="BO764" s="91"/>
      <c r="BP764" s="91"/>
      <c r="BQ764" s="91"/>
      <c r="BR764" s="91"/>
    </row>
    <row r="765" spans="1:70" ht="15.75" customHeight="1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  <c r="AU765" s="91"/>
      <c r="AV765" s="91"/>
      <c r="AW765" s="91"/>
      <c r="AX765" s="91"/>
      <c r="AY765" s="91"/>
      <c r="AZ765" s="91"/>
      <c r="BA765" s="91"/>
      <c r="BB765" s="91"/>
      <c r="BC765" s="91"/>
      <c r="BD765" s="91"/>
      <c r="BE765" s="91"/>
      <c r="BF765" s="91"/>
      <c r="BG765" s="91"/>
      <c r="BH765" s="91"/>
      <c r="BI765" s="91"/>
      <c r="BJ765" s="91"/>
      <c r="BK765" s="91"/>
      <c r="BL765" s="91"/>
      <c r="BM765" s="91"/>
      <c r="BN765" s="91"/>
      <c r="BO765" s="91"/>
      <c r="BP765" s="91"/>
      <c r="BQ765" s="91"/>
      <c r="BR765" s="91"/>
    </row>
    <row r="766" spans="1:70" ht="15.75" customHeight="1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  <c r="AU766" s="91"/>
      <c r="AV766" s="91"/>
      <c r="AW766" s="91"/>
      <c r="AX766" s="91"/>
      <c r="AY766" s="91"/>
      <c r="AZ766" s="91"/>
      <c r="BA766" s="91"/>
      <c r="BB766" s="91"/>
      <c r="BC766" s="91"/>
      <c r="BD766" s="91"/>
      <c r="BE766" s="91"/>
      <c r="BF766" s="91"/>
      <c r="BG766" s="91"/>
      <c r="BH766" s="91"/>
      <c r="BI766" s="91"/>
      <c r="BJ766" s="91"/>
      <c r="BK766" s="91"/>
      <c r="BL766" s="91"/>
      <c r="BM766" s="91"/>
      <c r="BN766" s="91"/>
      <c r="BO766" s="91"/>
      <c r="BP766" s="91"/>
      <c r="BQ766" s="91"/>
      <c r="BR766" s="91"/>
    </row>
    <row r="767" spans="1:70" ht="15.75" customHeight="1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  <c r="AU767" s="91"/>
      <c r="AV767" s="91"/>
      <c r="AW767" s="91"/>
      <c r="AX767" s="91"/>
      <c r="AY767" s="91"/>
      <c r="AZ767" s="91"/>
      <c r="BA767" s="91"/>
      <c r="BB767" s="91"/>
      <c r="BC767" s="91"/>
      <c r="BD767" s="91"/>
      <c r="BE767" s="91"/>
      <c r="BF767" s="91"/>
      <c r="BG767" s="91"/>
      <c r="BH767" s="91"/>
      <c r="BI767" s="91"/>
      <c r="BJ767" s="91"/>
      <c r="BK767" s="91"/>
      <c r="BL767" s="91"/>
      <c r="BM767" s="91"/>
      <c r="BN767" s="91"/>
      <c r="BO767" s="91"/>
      <c r="BP767" s="91"/>
      <c r="BQ767" s="91"/>
      <c r="BR767" s="91"/>
    </row>
    <row r="768" spans="1:70" ht="15.75" customHeight="1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  <c r="AU768" s="91"/>
      <c r="AV768" s="91"/>
      <c r="AW768" s="91"/>
      <c r="AX768" s="91"/>
      <c r="AY768" s="91"/>
      <c r="AZ768" s="91"/>
      <c r="BA768" s="91"/>
      <c r="BB768" s="91"/>
      <c r="BC768" s="91"/>
      <c r="BD768" s="91"/>
      <c r="BE768" s="91"/>
      <c r="BF768" s="91"/>
      <c r="BG768" s="91"/>
      <c r="BH768" s="91"/>
      <c r="BI768" s="91"/>
      <c r="BJ768" s="91"/>
      <c r="BK768" s="91"/>
      <c r="BL768" s="91"/>
      <c r="BM768" s="91"/>
      <c r="BN768" s="91"/>
      <c r="BO768" s="91"/>
      <c r="BP768" s="91"/>
      <c r="BQ768" s="91"/>
      <c r="BR768" s="91"/>
    </row>
    <row r="769" spans="1:70" ht="15.75" customHeight="1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  <c r="AU769" s="91"/>
      <c r="AV769" s="91"/>
      <c r="AW769" s="91"/>
      <c r="AX769" s="91"/>
      <c r="AY769" s="91"/>
      <c r="AZ769" s="91"/>
      <c r="BA769" s="91"/>
      <c r="BB769" s="91"/>
      <c r="BC769" s="91"/>
      <c r="BD769" s="91"/>
      <c r="BE769" s="91"/>
      <c r="BF769" s="91"/>
      <c r="BG769" s="91"/>
      <c r="BH769" s="91"/>
      <c r="BI769" s="91"/>
      <c r="BJ769" s="91"/>
      <c r="BK769" s="91"/>
      <c r="BL769" s="91"/>
      <c r="BM769" s="91"/>
      <c r="BN769" s="91"/>
      <c r="BO769" s="91"/>
      <c r="BP769" s="91"/>
      <c r="BQ769" s="91"/>
      <c r="BR769" s="91"/>
    </row>
    <row r="770" spans="1:70" ht="15.75" customHeight="1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  <c r="AU770" s="91"/>
      <c r="AV770" s="91"/>
      <c r="AW770" s="91"/>
      <c r="AX770" s="91"/>
      <c r="AY770" s="91"/>
      <c r="AZ770" s="91"/>
      <c r="BA770" s="91"/>
      <c r="BB770" s="91"/>
      <c r="BC770" s="91"/>
      <c r="BD770" s="91"/>
      <c r="BE770" s="91"/>
      <c r="BF770" s="91"/>
      <c r="BG770" s="91"/>
      <c r="BH770" s="91"/>
      <c r="BI770" s="91"/>
      <c r="BJ770" s="91"/>
      <c r="BK770" s="91"/>
      <c r="BL770" s="91"/>
      <c r="BM770" s="91"/>
      <c r="BN770" s="91"/>
      <c r="BO770" s="91"/>
      <c r="BP770" s="91"/>
      <c r="BQ770" s="91"/>
      <c r="BR770" s="91"/>
    </row>
    <row r="771" spans="1:70" ht="15.75" customHeight="1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  <c r="AU771" s="91"/>
      <c r="AV771" s="91"/>
      <c r="AW771" s="91"/>
      <c r="AX771" s="91"/>
      <c r="AY771" s="91"/>
      <c r="AZ771" s="91"/>
      <c r="BA771" s="91"/>
      <c r="BB771" s="91"/>
      <c r="BC771" s="91"/>
      <c r="BD771" s="91"/>
      <c r="BE771" s="91"/>
      <c r="BF771" s="91"/>
      <c r="BG771" s="91"/>
      <c r="BH771" s="91"/>
      <c r="BI771" s="91"/>
      <c r="BJ771" s="91"/>
      <c r="BK771" s="91"/>
      <c r="BL771" s="91"/>
      <c r="BM771" s="91"/>
      <c r="BN771" s="91"/>
      <c r="BO771" s="91"/>
      <c r="BP771" s="91"/>
      <c r="BQ771" s="91"/>
      <c r="BR771" s="91"/>
    </row>
    <row r="772" spans="1:70" ht="15.75" customHeight="1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  <c r="AU772" s="91"/>
      <c r="AV772" s="91"/>
      <c r="AW772" s="91"/>
      <c r="AX772" s="91"/>
      <c r="AY772" s="91"/>
      <c r="AZ772" s="91"/>
      <c r="BA772" s="91"/>
      <c r="BB772" s="91"/>
      <c r="BC772" s="91"/>
      <c r="BD772" s="91"/>
      <c r="BE772" s="91"/>
      <c r="BF772" s="91"/>
      <c r="BG772" s="91"/>
      <c r="BH772" s="91"/>
      <c r="BI772" s="91"/>
      <c r="BJ772" s="91"/>
      <c r="BK772" s="91"/>
      <c r="BL772" s="91"/>
      <c r="BM772" s="91"/>
      <c r="BN772" s="91"/>
      <c r="BO772" s="91"/>
      <c r="BP772" s="91"/>
      <c r="BQ772" s="91"/>
      <c r="BR772" s="91"/>
    </row>
    <row r="773" spans="1:70" ht="15.75" customHeight="1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  <c r="AU773" s="91"/>
      <c r="AV773" s="91"/>
      <c r="AW773" s="91"/>
      <c r="AX773" s="91"/>
      <c r="AY773" s="91"/>
      <c r="AZ773" s="91"/>
      <c r="BA773" s="91"/>
      <c r="BB773" s="91"/>
      <c r="BC773" s="91"/>
      <c r="BD773" s="91"/>
      <c r="BE773" s="91"/>
      <c r="BF773" s="91"/>
      <c r="BG773" s="91"/>
      <c r="BH773" s="91"/>
      <c r="BI773" s="91"/>
      <c r="BJ773" s="91"/>
      <c r="BK773" s="91"/>
      <c r="BL773" s="91"/>
      <c r="BM773" s="91"/>
      <c r="BN773" s="91"/>
      <c r="BO773" s="91"/>
      <c r="BP773" s="91"/>
      <c r="BQ773" s="91"/>
      <c r="BR773" s="91"/>
    </row>
    <row r="774" spans="1:70" ht="15.75" customHeight="1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  <c r="AU774" s="91"/>
      <c r="AV774" s="91"/>
      <c r="AW774" s="91"/>
      <c r="AX774" s="91"/>
      <c r="AY774" s="91"/>
      <c r="AZ774" s="91"/>
      <c r="BA774" s="91"/>
      <c r="BB774" s="91"/>
      <c r="BC774" s="91"/>
      <c r="BD774" s="91"/>
      <c r="BE774" s="91"/>
      <c r="BF774" s="91"/>
      <c r="BG774" s="91"/>
      <c r="BH774" s="91"/>
      <c r="BI774" s="91"/>
      <c r="BJ774" s="91"/>
      <c r="BK774" s="91"/>
      <c r="BL774" s="91"/>
      <c r="BM774" s="91"/>
      <c r="BN774" s="91"/>
      <c r="BO774" s="91"/>
      <c r="BP774" s="91"/>
      <c r="BQ774" s="91"/>
      <c r="BR774" s="91"/>
    </row>
    <row r="775" spans="1:70" ht="15.75" customHeight="1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  <c r="AU775" s="91"/>
      <c r="AV775" s="91"/>
      <c r="AW775" s="91"/>
      <c r="AX775" s="91"/>
      <c r="AY775" s="91"/>
      <c r="AZ775" s="91"/>
      <c r="BA775" s="91"/>
      <c r="BB775" s="91"/>
      <c r="BC775" s="91"/>
      <c r="BD775" s="91"/>
      <c r="BE775" s="91"/>
      <c r="BF775" s="91"/>
      <c r="BG775" s="91"/>
      <c r="BH775" s="91"/>
      <c r="BI775" s="91"/>
      <c r="BJ775" s="91"/>
      <c r="BK775" s="91"/>
      <c r="BL775" s="91"/>
      <c r="BM775" s="91"/>
      <c r="BN775" s="91"/>
      <c r="BO775" s="91"/>
      <c r="BP775" s="91"/>
      <c r="BQ775" s="91"/>
      <c r="BR775" s="91"/>
    </row>
    <row r="776" spans="1:70" ht="15.75" customHeight="1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  <c r="AU776" s="91"/>
      <c r="AV776" s="91"/>
      <c r="AW776" s="91"/>
      <c r="AX776" s="91"/>
      <c r="AY776" s="91"/>
      <c r="AZ776" s="91"/>
      <c r="BA776" s="91"/>
      <c r="BB776" s="91"/>
      <c r="BC776" s="91"/>
      <c r="BD776" s="91"/>
      <c r="BE776" s="91"/>
      <c r="BF776" s="91"/>
      <c r="BG776" s="91"/>
      <c r="BH776" s="91"/>
      <c r="BI776" s="91"/>
      <c r="BJ776" s="91"/>
      <c r="BK776" s="91"/>
      <c r="BL776" s="91"/>
      <c r="BM776" s="91"/>
      <c r="BN776" s="91"/>
      <c r="BO776" s="91"/>
      <c r="BP776" s="91"/>
      <c r="BQ776" s="91"/>
      <c r="BR776" s="91"/>
    </row>
    <row r="777" spans="1:70" ht="15.75" customHeight="1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  <c r="AU777" s="91"/>
      <c r="AV777" s="91"/>
      <c r="AW777" s="91"/>
      <c r="AX777" s="91"/>
      <c r="AY777" s="91"/>
      <c r="AZ777" s="91"/>
      <c r="BA777" s="91"/>
      <c r="BB777" s="91"/>
      <c r="BC777" s="91"/>
      <c r="BD777" s="91"/>
      <c r="BE777" s="91"/>
      <c r="BF777" s="91"/>
      <c r="BG777" s="91"/>
      <c r="BH777" s="91"/>
      <c r="BI777" s="91"/>
      <c r="BJ777" s="91"/>
      <c r="BK777" s="91"/>
      <c r="BL777" s="91"/>
      <c r="BM777" s="91"/>
      <c r="BN777" s="91"/>
      <c r="BO777" s="91"/>
      <c r="BP777" s="91"/>
      <c r="BQ777" s="91"/>
      <c r="BR777" s="91"/>
    </row>
    <row r="778" spans="1:70" ht="15.75" customHeight="1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  <c r="AU778" s="91"/>
      <c r="AV778" s="91"/>
      <c r="AW778" s="91"/>
      <c r="AX778" s="91"/>
      <c r="AY778" s="91"/>
      <c r="AZ778" s="91"/>
      <c r="BA778" s="91"/>
      <c r="BB778" s="91"/>
      <c r="BC778" s="91"/>
      <c r="BD778" s="91"/>
      <c r="BE778" s="91"/>
      <c r="BF778" s="91"/>
      <c r="BG778" s="91"/>
      <c r="BH778" s="91"/>
      <c r="BI778" s="91"/>
      <c r="BJ778" s="91"/>
      <c r="BK778" s="91"/>
      <c r="BL778" s="91"/>
      <c r="BM778" s="91"/>
      <c r="BN778" s="91"/>
      <c r="BO778" s="91"/>
      <c r="BP778" s="91"/>
      <c r="BQ778" s="91"/>
      <c r="BR778" s="91"/>
    </row>
    <row r="779" spans="1:70" ht="15.75" customHeight="1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  <c r="AU779" s="91"/>
      <c r="AV779" s="91"/>
      <c r="AW779" s="91"/>
      <c r="AX779" s="91"/>
      <c r="AY779" s="91"/>
      <c r="AZ779" s="91"/>
      <c r="BA779" s="91"/>
      <c r="BB779" s="91"/>
      <c r="BC779" s="91"/>
      <c r="BD779" s="91"/>
      <c r="BE779" s="91"/>
      <c r="BF779" s="91"/>
      <c r="BG779" s="91"/>
      <c r="BH779" s="91"/>
      <c r="BI779" s="91"/>
      <c r="BJ779" s="91"/>
      <c r="BK779" s="91"/>
      <c r="BL779" s="91"/>
      <c r="BM779" s="91"/>
      <c r="BN779" s="91"/>
      <c r="BO779" s="91"/>
      <c r="BP779" s="91"/>
      <c r="BQ779" s="91"/>
      <c r="BR779" s="91"/>
    </row>
    <row r="780" spans="1:70" ht="15.75" customHeight="1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  <c r="AU780" s="91"/>
      <c r="AV780" s="91"/>
      <c r="AW780" s="91"/>
      <c r="AX780" s="91"/>
      <c r="AY780" s="91"/>
      <c r="AZ780" s="91"/>
      <c r="BA780" s="91"/>
      <c r="BB780" s="91"/>
      <c r="BC780" s="91"/>
      <c r="BD780" s="91"/>
      <c r="BE780" s="91"/>
      <c r="BF780" s="91"/>
      <c r="BG780" s="91"/>
      <c r="BH780" s="91"/>
      <c r="BI780" s="91"/>
      <c r="BJ780" s="91"/>
      <c r="BK780" s="91"/>
      <c r="BL780" s="91"/>
      <c r="BM780" s="91"/>
      <c r="BN780" s="91"/>
      <c r="BO780" s="91"/>
      <c r="BP780" s="91"/>
      <c r="BQ780" s="91"/>
      <c r="BR780" s="91"/>
    </row>
    <row r="781" spans="1:70" ht="15.75" customHeight="1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  <c r="AU781" s="91"/>
      <c r="AV781" s="91"/>
      <c r="AW781" s="91"/>
      <c r="AX781" s="91"/>
      <c r="AY781" s="91"/>
      <c r="AZ781" s="91"/>
      <c r="BA781" s="91"/>
      <c r="BB781" s="91"/>
      <c r="BC781" s="91"/>
      <c r="BD781" s="91"/>
      <c r="BE781" s="91"/>
      <c r="BF781" s="91"/>
      <c r="BG781" s="91"/>
      <c r="BH781" s="91"/>
      <c r="BI781" s="91"/>
      <c r="BJ781" s="91"/>
      <c r="BK781" s="91"/>
      <c r="BL781" s="91"/>
      <c r="BM781" s="91"/>
      <c r="BN781" s="91"/>
      <c r="BO781" s="91"/>
      <c r="BP781" s="91"/>
      <c r="BQ781" s="91"/>
      <c r="BR781" s="91"/>
    </row>
    <row r="782" spans="1:70" ht="15.75" customHeight="1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  <c r="AU782" s="91"/>
      <c r="AV782" s="91"/>
      <c r="AW782" s="91"/>
      <c r="AX782" s="91"/>
      <c r="AY782" s="91"/>
      <c r="AZ782" s="91"/>
      <c r="BA782" s="91"/>
      <c r="BB782" s="91"/>
      <c r="BC782" s="91"/>
      <c r="BD782" s="91"/>
      <c r="BE782" s="91"/>
      <c r="BF782" s="91"/>
      <c r="BG782" s="91"/>
      <c r="BH782" s="91"/>
      <c r="BI782" s="91"/>
      <c r="BJ782" s="91"/>
      <c r="BK782" s="91"/>
      <c r="BL782" s="91"/>
      <c r="BM782" s="91"/>
      <c r="BN782" s="91"/>
      <c r="BO782" s="91"/>
      <c r="BP782" s="91"/>
      <c r="BQ782" s="91"/>
      <c r="BR782" s="91"/>
    </row>
    <row r="783" spans="1:70" ht="15.75" customHeight="1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  <c r="AU783" s="91"/>
      <c r="AV783" s="91"/>
      <c r="AW783" s="91"/>
      <c r="AX783" s="91"/>
      <c r="AY783" s="91"/>
      <c r="AZ783" s="91"/>
      <c r="BA783" s="91"/>
      <c r="BB783" s="91"/>
      <c r="BC783" s="91"/>
      <c r="BD783" s="91"/>
      <c r="BE783" s="91"/>
      <c r="BF783" s="91"/>
      <c r="BG783" s="91"/>
      <c r="BH783" s="91"/>
      <c r="BI783" s="91"/>
      <c r="BJ783" s="91"/>
      <c r="BK783" s="91"/>
      <c r="BL783" s="91"/>
      <c r="BM783" s="91"/>
      <c r="BN783" s="91"/>
      <c r="BO783" s="91"/>
      <c r="BP783" s="91"/>
      <c r="BQ783" s="91"/>
      <c r="BR783" s="91"/>
    </row>
    <row r="784" spans="1:70" ht="15.75" customHeight="1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  <c r="AU784" s="91"/>
      <c r="AV784" s="91"/>
      <c r="AW784" s="91"/>
      <c r="AX784" s="91"/>
      <c r="AY784" s="91"/>
      <c r="AZ784" s="91"/>
      <c r="BA784" s="91"/>
      <c r="BB784" s="91"/>
      <c r="BC784" s="91"/>
      <c r="BD784" s="91"/>
      <c r="BE784" s="91"/>
      <c r="BF784" s="91"/>
      <c r="BG784" s="91"/>
      <c r="BH784" s="91"/>
      <c r="BI784" s="91"/>
      <c r="BJ784" s="91"/>
      <c r="BK784" s="91"/>
      <c r="BL784" s="91"/>
      <c r="BM784" s="91"/>
      <c r="BN784" s="91"/>
      <c r="BO784" s="91"/>
      <c r="BP784" s="91"/>
      <c r="BQ784" s="91"/>
      <c r="BR784" s="91"/>
    </row>
    <row r="785" spans="1:70" ht="15.75" customHeight="1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  <c r="AU785" s="91"/>
      <c r="AV785" s="91"/>
      <c r="AW785" s="91"/>
      <c r="AX785" s="91"/>
      <c r="AY785" s="91"/>
      <c r="AZ785" s="91"/>
      <c r="BA785" s="91"/>
      <c r="BB785" s="91"/>
      <c r="BC785" s="91"/>
      <c r="BD785" s="91"/>
      <c r="BE785" s="91"/>
      <c r="BF785" s="91"/>
      <c r="BG785" s="91"/>
      <c r="BH785" s="91"/>
      <c r="BI785" s="91"/>
      <c r="BJ785" s="91"/>
      <c r="BK785" s="91"/>
      <c r="BL785" s="91"/>
      <c r="BM785" s="91"/>
      <c r="BN785" s="91"/>
      <c r="BO785" s="91"/>
      <c r="BP785" s="91"/>
      <c r="BQ785" s="91"/>
      <c r="BR785" s="91"/>
    </row>
    <row r="786" spans="1:70" ht="15.75" customHeight="1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  <c r="AU786" s="91"/>
      <c r="AV786" s="91"/>
      <c r="AW786" s="91"/>
      <c r="AX786" s="91"/>
      <c r="AY786" s="91"/>
      <c r="AZ786" s="91"/>
      <c r="BA786" s="91"/>
      <c r="BB786" s="91"/>
      <c r="BC786" s="91"/>
      <c r="BD786" s="91"/>
      <c r="BE786" s="91"/>
      <c r="BF786" s="91"/>
      <c r="BG786" s="91"/>
      <c r="BH786" s="91"/>
      <c r="BI786" s="91"/>
      <c r="BJ786" s="91"/>
      <c r="BK786" s="91"/>
      <c r="BL786" s="91"/>
      <c r="BM786" s="91"/>
      <c r="BN786" s="91"/>
      <c r="BO786" s="91"/>
      <c r="BP786" s="91"/>
      <c r="BQ786" s="91"/>
      <c r="BR786" s="91"/>
    </row>
    <row r="787" spans="1:70" ht="15.75" customHeight="1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  <c r="AU787" s="91"/>
      <c r="AV787" s="91"/>
      <c r="AW787" s="91"/>
      <c r="AX787" s="91"/>
      <c r="AY787" s="91"/>
      <c r="AZ787" s="91"/>
      <c r="BA787" s="91"/>
      <c r="BB787" s="91"/>
      <c r="BC787" s="91"/>
      <c r="BD787" s="91"/>
      <c r="BE787" s="91"/>
      <c r="BF787" s="91"/>
      <c r="BG787" s="91"/>
      <c r="BH787" s="91"/>
      <c r="BI787" s="91"/>
      <c r="BJ787" s="91"/>
      <c r="BK787" s="91"/>
      <c r="BL787" s="91"/>
      <c r="BM787" s="91"/>
      <c r="BN787" s="91"/>
      <c r="BO787" s="91"/>
      <c r="BP787" s="91"/>
      <c r="BQ787" s="91"/>
      <c r="BR787" s="91"/>
    </row>
    <row r="788" spans="1:70" ht="15.75" customHeight="1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  <c r="AU788" s="91"/>
      <c r="AV788" s="91"/>
      <c r="AW788" s="91"/>
      <c r="AX788" s="91"/>
      <c r="AY788" s="91"/>
      <c r="AZ788" s="91"/>
      <c r="BA788" s="91"/>
      <c r="BB788" s="91"/>
      <c r="BC788" s="91"/>
      <c r="BD788" s="91"/>
      <c r="BE788" s="91"/>
      <c r="BF788" s="91"/>
      <c r="BG788" s="91"/>
      <c r="BH788" s="91"/>
      <c r="BI788" s="91"/>
      <c r="BJ788" s="91"/>
      <c r="BK788" s="91"/>
      <c r="BL788" s="91"/>
      <c r="BM788" s="91"/>
      <c r="BN788" s="91"/>
      <c r="BO788" s="91"/>
      <c r="BP788" s="91"/>
      <c r="BQ788" s="91"/>
      <c r="BR788" s="91"/>
    </row>
    <row r="789" spans="1:70" ht="15.75" customHeight="1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  <c r="AU789" s="91"/>
      <c r="AV789" s="91"/>
      <c r="AW789" s="91"/>
      <c r="AX789" s="91"/>
      <c r="AY789" s="91"/>
      <c r="AZ789" s="91"/>
      <c r="BA789" s="91"/>
      <c r="BB789" s="91"/>
      <c r="BC789" s="91"/>
      <c r="BD789" s="91"/>
      <c r="BE789" s="91"/>
      <c r="BF789" s="91"/>
      <c r="BG789" s="91"/>
      <c r="BH789" s="91"/>
      <c r="BI789" s="91"/>
      <c r="BJ789" s="91"/>
      <c r="BK789" s="91"/>
      <c r="BL789" s="91"/>
      <c r="BM789" s="91"/>
      <c r="BN789" s="91"/>
      <c r="BO789" s="91"/>
      <c r="BP789" s="91"/>
      <c r="BQ789" s="91"/>
      <c r="BR789" s="91"/>
    </row>
    <row r="790" spans="1:70" ht="15.75" customHeight="1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  <c r="AU790" s="91"/>
      <c r="AV790" s="91"/>
      <c r="AW790" s="91"/>
      <c r="AX790" s="91"/>
      <c r="AY790" s="91"/>
      <c r="AZ790" s="91"/>
      <c r="BA790" s="91"/>
      <c r="BB790" s="91"/>
      <c r="BC790" s="91"/>
      <c r="BD790" s="91"/>
      <c r="BE790" s="91"/>
      <c r="BF790" s="91"/>
      <c r="BG790" s="91"/>
      <c r="BH790" s="91"/>
      <c r="BI790" s="91"/>
      <c r="BJ790" s="91"/>
      <c r="BK790" s="91"/>
      <c r="BL790" s="91"/>
      <c r="BM790" s="91"/>
      <c r="BN790" s="91"/>
      <c r="BO790" s="91"/>
      <c r="BP790" s="91"/>
      <c r="BQ790" s="91"/>
      <c r="BR790" s="91"/>
    </row>
    <row r="791" spans="1:70" ht="15.75" customHeight="1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  <c r="AU791" s="91"/>
      <c r="AV791" s="91"/>
      <c r="AW791" s="91"/>
      <c r="AX791" s="91"/>
      <c r="AY791" s="91"/>
      <c r="AZ791" s="91"/>
      <c r="BA791" s="91"/>
      <c r="BB791" s="91"/>
      <c r="BC791" s="91"/>
      <c r="BD791" s="91"/>
      <c r="BE791" s="91"/>
      <c r="BF791" s="91"/>
      <c r="BG791" s="91"/>
      <c r="BH791" s="91"/>
      <c r="BI791" s="91"/>
      <c r="BJ791" s="91"/>
      <c r="BK791" s="91"/>
      <c r="BL791" s="91"/>
      <c r="BM791" s="91"/>
      <c r="BN791" s="91"/>
      <c r="BO791" s="91"/>
      <c r="BP791" s="91"/>
      <c r="BQ791" s="91"/>
      <c r="BR791" s="91"/>
    </row>
    <row r="792" spans="1:70" ht="15.75" customHeight="1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  <c r="AU792" s="91"/>
      <c r="AV792" s="91"/>
      <c r="AW792" s="91"/>
      <c r="AX792" s="91"/>
      <c r="AY792" s="91"/>
      <c r="AZ792" s="91"/>
      <c r="BA792" s="91"/>
      <c r="BB792" s="91"/>
      <c r="BC792" s="91"/>
      <c r="BD792" s="91"/>
      <c r="BE792" s="91"/>
      <c r="BF792" s="91"/>
      <c r="BG792" s="91"/>
      <c r="BH792" s="91"/>
      <c r="BI792" s="91"/>
      <c r="BJ792" s="91"/>
      <c r="BK792" s="91"/>
      <c r="BL792" s="91"/>
      <c r="BM792" s="91"/>
      <c r="BN792" s="91"/>
      <c r="BO792" s="91"/>
      <c r="BP792" s="91"/>
      <c r="BQ792" s="91"/>
      <c r="BR792" s="91"/>
    </row>
    <row r="793" spans="1:70" ht="15.75" customHeight="1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  <c r="AU793" s="91"/>
      <c r="AV793" s="91"/>
      <c r="AW793" s="91"/>
      <c r="AX793" s="91"/>
      <c r="AY793" s="91"/>
      <c r="AZ793" s="91"/>
      <c r="BA793" s="91"/>
      <c r="BB793" s="91"/>
      <c r="BC793" s="91"/>
      <c r="BD793" s="91"/>
      <c r="BE793" s="91"/>
      <c r="BF793" s="91"/>
      <c r="BG793" s="91"/>
      <c r="BH793" s="91"/>
      <c r="BI793" s="91"/>
      <c r="BJ793" s="91"/>
      <c r="BK793" s="91"/>
      <c r="BL793" s="91"/>
      <c r="BM793" s="91"/>
      <c r="BN793" s="91"/>
      <c r="BO793" s="91"/>
      <c r="BP793" s="91"/>
      <c r="BQ793" s="91"/>
      <c r="BR793" s="91"/>
    </row>
    <row r="794" spans="1:70" ht="15.75" customHeight="1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  <c r="AU794" s="91"/>
      <c r="AV794" s="91"/>
      <c r="AW794" s="91"/>
      <c r="AX794" s="91"/>
      <c r="AY794" s="91"/>
      <c r="AZ794" s="91"/>
      <c r="BA794" s="91"/>
      <c r="BB794" s="91"/>
      <c r="BC794" s="91"/>
      <c r="BD794" s="91"/>
      <c r="BE794" s="91"/>
      <c r="BF794" s="91"/>
      <c r="BG794" s="91"/>
      <c r="BH794" s="91"/>
      <c r="BI794" s="91"/>
      <c r="BJ794" s="91"/>
      <c r="BK794" s="91"/>
      <c r="BL794" s="91"/>
      <c r="BM794" s="91"/>
      <c r="BN794" s="91"/>
      <c r="BO794" s="91"/>
      <c r="BP794" s="91"/>
      <c r="BQ794" s="91"/>
      <c r="BR794" s="91"/>
    </row>
    <row r="795" spans="1:70" ht="15.75" customHeight="1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  <c r="AU795" s="91"/>
      <c r="AV795" s="91"/>
      <c r="AW795" s="91"/>
      <c r="AX795" s="91"/>
      <c r="AY795" s="91"/>
      <c r="AZ795" s="91"/>
      <c r="BA795" s="91"/>
      <c r="BB795" s="91"/>
      <c r="BC795" s="91"/>
      <c r="BD795" s="91"/>
      <c r="BE795" s="91"/>
      <c r="BF795" s="91"/>
      <c r="BG795" s="91"/>
      <c r="BH795" s="91"/>
      <c r="BI795" s="91"/>
      <c r="BJ795" s="91"/>
      <c r="BK795" s="91"/>
      <c r="BL795" s="91"/>
      <c r="BM795" s="91"/>
      <c r="BN795" s="91"/>
      <c r="BO795" s="91"/>
      <c r="BP795" s="91"/>
      <c r="BQ795" s="91"/>
      <c r="BR795" s="91"/>
    </row>
    <row r="796" spans="1:70" ht="15.75" customHeight="1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  <c r="AU796" s="91"/>
      <c r="AV796" s="91"/>
      <c r="AW796" s="91"/>
      <c r="AX796" s="91"/>
      <c r="AY796" s="91"/>
      <c r="AZ796" s="91"/>
      <c r="BA796" s="91"/>
      <c r="BB796" s="91"/>
      <c r="BC796" s="91"/>
      <c r="BD796" s="91"/>
      <c r="BE796" s="91"/>
      <c r="BF796" s="91"/>
      <c r="BG796" s="91"/>
      <c r="BH796" s="91"/>
      <c r="BI796" s="91"/>
      <c r="BJ796" s="91"/>
      <c r="BK796" s="91"/>
      <c r="BL796" s="91"/>
      <c r="BM796" s="91"/>
      <c r="BN796" s="91"/>
      <c r="BO796" s="91"/>
      <c r="BP796" s="91"/>
      <c r="BQ796" s="91"/>
      <c r="BR796" s="91"/>
    </row>
    <row r="797" spans="1:70" ht="15.75" customHeight="1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  <c r="AU797" s="91"/>
      <c r="AV797" s="91"/>
      <c r="AW797" s="91"/>
      <c r="AX797" s="91"/>
      <c r="AY797" s="91"/>
      <c r="AZ797" s="91"/>
      <c r="BA797" s="91"/>
      <c r="BB797" s="91"/>
      <c r="BC797" s="91"/>
      <c r="BD797" s="91"/>
      <c r="BE797" s="91"/>
      <c r="BF797" s="91"/>
      <c r="BG797" s="91"/>
      <c r="BH797" s="91"/>
      <c r="BI797" s="91"/>
      <c r="BJ797" s="91"/>
      <c r="BK797" s="91"/>
      <c r="BL797" s="91"/>
      <c r="BM797" s="91"/>
      <c r="BN797" s="91"/>
      <c r="BO797" s="91"/>
      <c r="BP797" s="91"/>
      <c r="BQ797" s="91"/>
      <c r="BR797" s="91"/>
    </row>
    <row r="798" spans="1:70" ht="15.75" customHeight="1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  <c r="AU798" s="91"/>
      <c r="AV798" s="91"/>
      <c r="AW798" s="91"/>
      <c r="AX798" s="91"/>
      <c r="AY798" s="91"/>
      <c r="AZ798" s="91"/>
      <c r="BA798" s="91"/>
      <c r="BB798" s="91"/>
      <c r="BC798" s="91"/>
      <c r="BD798" s="91"/>
      <c r="BE798" s="91"/>
      <c r="BF798" s="91"/>
      <c r="BG798" s="91"/>
      <c r="BH798" s="91"/>
      <c r="BI798" s="91"/>
      <c r="BJ798" s="91"/>
      <c r="BK798" s="91"/>
      <c r="BL798" s="91"/>
      <c r="BM798" s="91"/>
      <c r="BN798" s="91"/>
      <c r="BO798" s="91"/>
      <c r="BP798" s="91"/>
      <c r="BQ798" s="91"/>
      <c r="BR798" s="91"/>
    </row>
    <row r="799" spans="1:70" ht="15.75" customHeight="1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  <c r="AU799" s="91"/>
      <c r="AV799" s="91"/>
      <c r="AW799" s="91"/>
      <c r="AX799" s="91"/>
      <c r="AY799" s="91"/>
      <c r="AZ799" s="91"/>
      <c r="BA799" s="91"/>
      <c r="BB799" s="91"/>
      <c r="BC799" s="91"/>
      <c r="BD799" s="91"/>
      <c r="BE799" s="91"/>
      <c r="BF799" s="91"/>
      <c r="BG799" s="91"/>
      <c r="BH799" s="91"/>
      <c r="BI799" s="91"/>
      <c r="BJ799" s="91"/>
      <c r="BK799" s="91"/>
      <c r="BL799" s="91"/>
      <c r="BM799" s="91"/>
      <c r="BN799" s="91"/>
      <c r="BO799" s="91"/>
      <c r="BP799" s="91"/>
      <c r="BQ799" s="91"/>
      <c r="BR799" s="91"/>
    </row>
    <row r="800" spans="1:70" ht="15.75" customHeight="1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  <c r="AU800" s="91"/>
      <c r="AV800" s="91"/>
      <c r="AW800" s="91"/>
      <c r="AX800" s="91"/>
      <c r="AY800" s="91"/>
      <c r="AZ800" s="91"/>
      <c r="BA800" s="91"/>
      <c r="BB800" s="91"/>
      <c r="BC800" s="91"/>
      <c r="BD800" s="91"/>
      <c r="BE800" s="91"/>
      <c r="BF800" s="91"/>
      <c r="BG800" s="91"/>
      <c r="BH800" s="91"/>
      <c r="BI800" s="91"/>
      <c r="BJ800" s="91"/>
      <c r="BK800" s="91"/>
      <c r="BL800" s="91"/>
      <c r="BM800" s="91"/>
      <c r="BN800" s="91"/>
      <c r="BO800" s="91"/>
      <c r="BP800" s="91"/>
      <c r="BQ800" s="91"/>
      <c r="BR800" s="91"/>
    </row>
    <row r="801" spans="1:70" ht="15.75" customHeight="1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  <c r="AU801" s="91"/>
      <c r="AV801" s="91"/>
      <c r="AW801" s="91"/>
      <c r="AX801" s="91"/>
      <c r="AY801" s="91"/>
      <c r="AZ801" s="91"/>
      <c r="BA801" s="91"/>
      <c r="BB801" s="91"/>
      <c r="BC801" s="91"/>
      <c r="BD801" s="91"/>
      <c r="BE801" s="91"/>
      <c r="BF801" s="91"/>
      <c r="BG801" s="91"/>
      <c r="BH801" s="91"/>
      <c r="BI801" s="91"/>
      <c r="BJ801" s="91"/>
      <c r="BK801" s="91"/>
      <c r="BL801" s="91"/>
      <c r="BM801" s="91"/>
      <c r="BN801" s="91"/>
      <c r="BO801" s="91"/>
      <c r="BP801" s="91"/>
      <c r="BQ801" s="91"/>
      <c r="BR801" s="91"/>
    </row>
    <row r="802" spans="1:70" ht="15.75" customHeight="1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  <c r="AU802" s="91"/>
      <c r="AV802" s="91"/>
      <c r="AW802" s="91"/>
      <c r="AX802" s="91"/>
      <c r="AY802" s="91"/>
      <c r="AZ802" s="91"/>
      <c r="BA802" s="91"/>
      <c r="BB802" s="91"/>
      <c r="BC802" s="91"/>
      <c r="BD802" s="91"/>
      <c r="BE802" s="91"/>
      <c r="BF802" s="91"/>
      <c r="BG802" s="91"/>
      <c r="BH802" s="91"/>
      <c r="BI802" s="91"/>
      <c r="BJ802" s="91"/>
      <c r="BK802" s="91"/>
      <c r="BL802" s="91"/>
      <c r="BM802" s="91"/>
      <c r="BN802" s="91"/>
      <c r="BO802" s="91"/>
      <c r="BP802" s="91"/>
      <c r="BQ802" s="91"/>
      <c r="BR802" s="91"/>
    </row>
    <row r="803" spans="1:70" ht="15.75" customHeight="1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  <c r="AU803" s="91"/>
      <c r="AV803" s="91"/>
      <c r="AW803" s="91"/>
      <c r="AX803" s="91"/>
      <c r="AY803" s="91"/>
      <c r="AZ803" s="91"/>
      <c r="BA803" s="91"/>
      <c r="BB803" s="91"/>
      <c r="BC803" s="91"/>
      <c r="BD803" s="91"/>
      <c r="BE803" s="91"/>
      <c r="BF803" s="91"/>
      <c r="BG803" s="91"/>
      <c r="BH803" s="91"/>
      <c r="BI803" s="91"/>
      <c r="BJ803" s="91"/>
      <c r="BK803" s="91"/>
      <c r="BL803" s="91"/>
      <c r="BM803" s="91"/>
      <c r="BN803" s="91"/>
      <c r="BO803" s="91"/>
      <c r="BP803" s="91"/>
      <c r="BQ803" s="91"/>
      <c r="BR803" s="91"/>
    </row>
    <row r="804" spans="1:70" ht="15.75" customHeight="1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  <c r="AU804" s="91"/>
      <c r="AV804" s="91"/>
      <c r="AW804" s="91"/>
      <c r="AX804" s="91"/>
      <c r="AY804" s="91"/>
      <c r="AZ804" s="91"/>
      <c r="BA804" s="91"/>
      <c r="BB804" s="91"/>
      <c r="BC804" s="91"/>
      <c r="BD804" s="91"/>
      <c r="BE804" s="91"/>
      <c r="BF804" s="91"/>
      <c r="BG804" s="91"/>
      <c r="BH804" s="91"/>
      <c r="BI804" s="91"/>
      <c r="BJ804" s="91"/>
      <c r="BK804" s="91"/>
      <c r="BL804" s="91"/>
      <c r="BM804" s="91"/>
      <c r="BN804" s="91"/>
      <c r="BO804" s="91"/>
      <c r="BP804" s="91"/>
      <c r="BQ804" s="91"/>
      <c r="BR804" s="91"/>
    </row>
    <row r="805" spans="1:70" ht="15.75" customHeight="1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  <c r="AU805" s="91"/>
      <c r="AV805" s="91"/>
      <c r="AW805" s="91"/>
      <c r="AX805" s="91"/>
      <c r="AY805" s="91"/>
      <c r="AZ805" s="91"/>
      <c r="BA805" s="91"/>
      <c r="BB805" s="91"/>
      <c r="BC805" s="91"/>
      <c r="BD805" s="91"/>
      <c r="BE805" s="91"/>
      <c r="BF805" s="91"/>
      <c r="BG805" s="91"/>
      <c r="BH805" s="91"/>
      <c r="BI805" s="91"/>
      <c r="BJ805" s="91"/>
      <c r="BK805" s="91"/>
      <c r="BL805" s="91"/>
      <c r="BM805" s="91"/>
      <c r="BN805" s="91"/>
      <c r="BO805" s="91"/>
      <c r="BP805" s="91"/>
      <c r="BQ805" s="91"/>
      <c r="BR805" s="91"/>
    </row>
    <row r="806" spans="1:70" ht="15.75" customHeight="1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  <c r="AU806" s="91"/>
      <c r="AV806" s="91"/>
      <c r="AW806" s="91"/>
      <c r="AX806" s="91"/>
      <c r="AY806" s="91"/>
      <c r="AZ806" s="91"/>
      <c r="BA806" s="91"/>
      <c r="BB806" s="91"/>
      <c r="BC806" s="91"/>
      <c r="BD806" s="91"/>
      <c r="BE806" s="91"/>
      <c r="BF806" s="91"/>
      <c r="BG806" s="91"/>
      <c r="BH806" s="91"/>
      <c r="BI806" s="91"/>
      <c r="BJ806" s="91"/>
      <c r="BK806" s="91"/>
      <c r="BL806" s="91"/>
      <c r="BM806" s="91"/>
      <c r="BN806" s="91"/>
      <c r="BO806" s="91"/>
      <c r="BP806" s="91"/>
      <c r="BQ806" s="91"/>
      <c r="BR806" s="91"/>
    </row>
    <row r="807" spans="1:70" ht="15.75" customHeight="1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  <c r="AU807" s="91"/>
      <c r="AV807" s="91"/>
      <c r="AW807" s="91"/>
      <c r="AX807" s="91"/>
      <c r="AY807" s="91"/>
      <c r="AZ807" s="91"/>
      <c r="BA807" s="91"/>
      <c r="BB807" s="91"/>
      <c r="BC807" s="91"/>
      <c r="BD807" s="91"/>
      <c r="BE807" s="91"/>
      <c r="BF807" s="91"/>
      <c r="BG807" s="91"/>
      <c r="BH807" s="91"/>
      <c r="BI807" s="91"/>
      <c r="BJ807" s="91"/>
      <c r="BK807" s="91"/>
      <c r="BL807" s="91"/>
      <c r="BM807" s="91"/>
      <c r="BN807" s="91"/>
      <c r="BO807" s="91"/>
      <c r="BP807" s="91"/>
      <c r="BQ807" s="91"/>
      <c r="BR807" s="91"/>
    </row>
    <row r="808" spans="1:70" ht="15.75" customHeight="1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  <c r="AU808" s="91"/>
      <c r="AV808" s="91"/>
      <c r="AW808" s="91"/>
      <c r="AX808" s="91"/>
      <c r="AY808" s="91"/>
      <c r="AZ808" s="91"/>
      <c r="BA808" s="91"/>
      <c r="BB808" s="91"/>
      <c r="BC808" s="91"/>
      <c r="BD808" s="91"/>
      <c r="BE808" s="91"/>
      <c r="BF808" s="91"/>
      <c r="BG808" s="91"/>
      <c r="BH808" s="91"/>
      <c r="BI808" s="91"/>
      <c r="BJ808" s="91"/>
      <c r="BK808" s="91"/>
      <c r="BL808" s="91"/>
      <c r="BM808" s="91"/>
      <c r="BN808" s="91"/>
      <c r="BO808" s="91"/>
      <c r="BP808" s="91"/>
      <c r="BQ808" s="91"/>
      <c r="BR808" s="91"/>
    </row>
    <row r="809" spans="1:70" ht="15.75" customHeight="1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  <c r="AU809" s="91"/>
      <c r="AV809" s="91"/>
      <c r="AW809" s="91"/>
      <c r="AX809" s="91"/>
      <c r="AY809" s="91"/>
      <c r="AZ809" s="91"/>
      <c r="BA809" s="91"/>
      <c r="BB809" s="91"/>
      <c r="BC809" s="91"/>
      <c r="BD809" s="91"/>
      <c r="BE809" s="91"/>
      <c r="BF809" s="91"/>
      <c r="BG809" s="91"/>
      <c r="BH809" s="91"/>
      <c r="BI809" s="91"/>
      <c r="BJ809" s="91"/>
      <c r="BK809" s="91"/>
      <c r="BL809" s="91"/>
      <c r="BM809" s="91"/>
      <c r="BN809" s="91"/>
      <c r="BO809" s="91"/>
      <c r="BP809" s="91"/>
      <c r="BQ809" s="91"/>
      <c r="BR809" s="91"/>
    </row>
    <row r="810" spans="1:70" ht="15.75" customHeight="1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  <c r="AU810" s="91"/>
      <c r="AV810" s="91"/>
      <c r="AW810" s="91"/>
      <c r="AX810" s="91"/>
      <c r="AY810" s="91"/>
      <c r="AZ810" s="91"/>
      <c r="BA810" s="91"/>
      <c r="BB810" s="91"/>
      <c r="BC810" s="91"/>
      <c r="BD810" s="91"/>
      <c r="BE810" s="91"/>
      <c r="BF810" s="91"/>
      <c r="BG810" s="91"/>
      <c r="BH810" s="91"/>
      <c r="BI810" s="91"/>
      <c r="BJ810" s="91"/>
      <c r="BK810" s="91"/>
      <c r="BL810" s="91"/>
      <c r="BM810" s="91"/>
      <c r="BN810" s="91"/>
      <c r="BO810" s="91"/>
      <c r="BP810" s="91"/>
      <c r="BQ810" s="91"/>
      <c r="BR810" s="91"/>
    </row>
    <row r="811" spans="1:70" ht="15.75" customHeight="1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  <c r="AU811" s="91"/>
      <c r="AV811" s="91"/>
      <c r="AW811" s="91"/>
      <c r="AX811" s="91"/>
      <c r="AY811" s="91"/>
      <c r="AZ811" s="91"/>
      <c r="BA811" s="91"/>
      <c r="BB811" s="91"/>
      <c r="BC811" s="91"/>
      <c r="BD811" s="91"/>
      <c r="BE811" s="91"/>
      <c r="BF811" s="91"/>
      <c r="BG811" s="91"/>
      <c r="BH811" s="91"/>
      <c r="BI811" s="91"/>
      <c r="BJ811" s="91"/>
      <c r="BK811" s="91"/>
      <c r="BL811" s="91"/>
      <c r="BM811" s="91"/>
      <c r="BN811" s="91"/>
      <c r="BO811" s="91"/>
      <c r="BP811" s="91"/>
      <c r="BQ811" s="91"/>
      <c r="BR811" s="91"/>
    </row>
    <row r="812" spans="1:70" ht="15.75" customHeight="1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  <c r="AU812" s="91"/>
      <c r="AV812" s="91"/>
      <c r="AW812" s="91"/>
      <c r="AX812" s="91"/>
      <c r="AY812" s="91"/>
      <c r="AZ812" s="91"/>
      <c r="BA812" s="91"/>
      <c r="BB812" s="91"/>
      <c r="BC812" s="91"/>
      <c r="BD812" s="91"/>
      <c r="BE812" s="91"/>
      <c r="BF812" s="91"/>
      <c r="BG812" s="91"/>
      <c r="BH812" s="91"/>
      <c r="BI812" s="91"/>
      <c r="BJ812" s="91"/>
      <c r="BK812" s="91"/>
      <c r="BL812" s="91"/>
      <c r="BM812" s="91"/>
      <c r="BN812" s="91"/>
      <c r="BO812" s="91"/>
      <c r="BP812" s="91"/>
      <c r="BQ812" s="91"/>
      <c r="BR812" s="91"/>
    </row>
    <row r="813" spans="1:70" ht="15.75" customHeight="1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  <c r="AU813" s="91"/>
      <c r="AV813" s="91"/>
      <c r="AW813" s="91"/>
      <c r="AX813" s="91"/>
      <c r="AY813" s="91"/>
      <c r="AZ813" s="91"/>
      <c r="BA813" s="91"/>
      <c r="BB813" s="91"/>
      <c r="BC813" s="91"/>
      <c r="BD813" s="91"/>
      <c r="BE813" s="91"/>
      <c r="BF813" s="91"/>
      <c r="BG813" s="91"/>
      <c r="BH813" s="91"/>
      <c r="BI813" s="91"/>
      <c r="BJ813" s="91"/>
      <c r="BK813" s="91"/>
      <c r="BL813" s="91"/>
      <c r="BM813" s="91"/>
      <c r="BN813" s="91"/>
      <c r="BO813" s="91"/>
      <c r="BP813" s="91"/>
      <c r="BQ813" s="91"/>
      <c r="BR813" s="91"/>
    </row>
    <row r="814" spans="1:70" ht="15.75" customHeight="1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  <c r="AU814" s="91"/>
      <c r="AV814" s="91"/>
      <c r="AW814" s="91"/>
      <c r="AX814" s="91"/>
      <c r="AY814" s="91"/>
      <c r="AZ814" s="91"/>
      <c r="BA814" s="91"/>
      <c r="BB814" s="91"/>
      <c r="BC814" s="91"/>
      <c r="BD814" s="91"/>
      <c r="BE814" s="91"/>
      <c r="BF814" s="91"/>
      <c r="BG814" s="91"/>
      <c r="BH814" s="91"/>
      <c r="BI814" s="91"/>
      <c r="BJ814" s="91"/>
      <c r="BK814" s="91"/>
      <c r="BL814" s="91"/>
      <c r="BM814" s="91"/>
      <c r="BN814" s="91"/>
      <c r="BO814" s="91"/>
      <c r="BP814" s="91"/>
      <c r="BQ814" s="91"/>
      <c r="BR814" s="91"/>
    </row>
    <row r="815" spans="1:70" ht="15.75" customHeight="1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  <c r="AU815" s="91"/>
      <c r="AV815" s="91"/>
      <c r="AW815" s="91"/>
      <c r="AX815" s="91"/>
      <c r="AY815" s="91"/>
      <c r="AZ815" s="91"/>
      <c r="BA815" s="91"/>
      <c r="BB815" s="91"/>
      <c r="BC815" s="91"/>
      <c r="BD815" s="91"/>
      <c r="BE815" s="91"/>
      <c r="BF815" s="91"/>
      <c r="BG815" s="91"/>
      <c r="BH815" s="91"/>
      <c r="BI815" s="91"/>
      <c r="BJ815" s="91"/>
      <c r="BK815" s="91"/>
      <c r="BL815" s="91"/>
      <c r="BM815" s="91"/>
      <c r="BN815" s="91"/>
      <c r="BO815" s="91"/>
      <c r="BP815" s="91"/>
      <c r="BQ815" s="91"/>
      <c r="BR815" s="91"/>
    </row>
    <row r="816" spans="1:70" ht="15.75" customHeight="1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  <c r="AU816" s="91"/>
      <c r="AV816" s="91"/>
      <c r="AW816" s="91"/>
      <c r="AX816" s="91"/>
      <c r="AY816" s="91"/>
      <c r="AZ816" s="91"/>
      <c r="BA816" s="91"/>
      <c r="BB816" s="91"/>
      <c r="BC816" s="91"/>
      <c r="BD816" s="91"/>
      <c r="BE816" s="91"/>
      <c r="BF816" s="91"/>
      <c r="BG816" s="91"/>
      <c r="BH816" s="91"/>
      <c r="BI816" s="91"/>
      <c r="BJ816" s="91"/>
      <c r="BK816" s="91"/>
      <c r="BL816" s="91"/>
      <c r="BM816" s="91"/>
      <c r="BN816" s="91"/>
      <c r="BO816" s="91"/>
      <c r="BP816" s="91"/>
      <c r="BQ816" s="91"/>
      <c r="BR816" s="91"/>
    </row>
    <row r="817" spans="1:70" ht="15.75" customHeight="1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  <c r="AU817" s="91"/>
      <c r="AV817" s="91"/>
      <c r="AW817" s="91"/>
      <c r="AX817" s="91"/>
      <c r="AY817" s="91"/>
      <c r="AZ817" s="91"/>
      <c r="BA817" s="91"/>
      <c r="BB817" s="91"/>
      <c r="BC817" s="91"/>
      <c r="BD817" s="91"/>
      <c r="BE817" s="91"/>
      <c r="BF817" s="91"/>
      <c r="BG817" s="91"/>
      <c r="BH817" s="91"/>
      <c r="BI817" s="91"/>
      <c r="BJ817" s="91"/>
      <c r="BK817" s="91"/>
      <c r="BL817" s="91"/>
      <c r="BM817" s="91"/>
      <c r="BN817" s="91"/>
      <c r="BO817" s="91"/>
      <c r="BP817" s="91"/>
      <c r="BQ817" s="91"/>
      <c r="BR817" s="91"/>
    </row>
    <row r="818" spans="1:70" ht="15.75" customHeight="1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  <c r="AU818" s="91"/>
      <c r="AV818" s="91"/>
      <c r="AW818" s="91"/>
      <c r="AX818" s="91"/>
      <c r="AY818" s="91"/>
      <c r="AZ818" s="91"/>
      <c r="BA818" s="91"/>
      <c r="BB818" s="91"/>
      <c r="BC818" s="91"/>
      <c r="BD818" s="91"/>
      <c r="BE818" s="91"/>
      <c r="BF818" s="91"/>
      <c r="BG818" s="91"/>
      <c r="BH818" s="91"/>
      <c r="BI818" s="91"/>
      <c r="BJ818" s="91"/>
      <c r="BK818" s="91"/>
      <c r="BL818" s="91"/>
      <c r="BM818" s="91"/>
      <c r="BN818" s="91"/>
      <c r="BO818" s="91"/>
      <c r="BP818" s="91"/>
      <c r="BQ818" s="91"/>
      <c r="BR818" s="91"/>
    </row>
    <row r="819" spans="1:70" ht="15.75" customHeight="1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  <c r="AU819" s="91"/>
      <c r="AV819" s="91"/>
      <c r="AW819" s="91"/>
      <c r="AX819" s="91"/>
      <c r="AY819" s="91"/>
      <c r="AZ819" s="91"/>
      <c r="BA819" s="91"/>
      <c r="BB819" s="91"/>
      <c r="BC819" s="91"/>
      <c r="BD819" s="91"/>
      <c r="BE819" s="91"/>
      <c r="BF819" s="91"/>
      <c r="BG819" s="91"/>
      <c r="BH819" s="91"/>
      <c r="BI819" s="91"/>
      <c r="BJ819" s="91"/>
      <c r="BK819" s="91"/>
      <c r="BL819" s="91"/>
      <c r="BM819" s="91"/>
      <c r="BN819" s="91"/>
      <c r="BO819" s="91"/>
      <c r="BP819" s="91"/>
      <c r="BQ819" s="91"/>
      <c r="BR819" s="91"/>
    </row>
    <row r="820" spans="1:70" ht="15.75" customHeight="1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  <c r="AU820" s="91"/>
      <c r="AV820" s="91"/>
      <c r="AW820" s="91"/>
      <c r="AX820" s="91"/>
      <c r="AY820" s="91"/>
      <c r="AZ820" s="91"/>
      <c r="BA820" s="91"/>
      <c r="BB820" s="91"/>
      <c r="BC820" s="91"/>
      <c r="BD820" s="91"/>
      <c r="BE820" s="91"/>
      <c r="BF820" s="91"/>
      <c r="BG820" s="91"/>
      <c r="BH820" s="91"/>
      <c r="BI820" s="91"/>
      <c r="BJ820" s="91"/>
      <c r="BK820" s="91"/>
      <c r="BL820" s="91"/>
      <c r="BM820" s="91"/>
      <c r="BN820" s="91"/>
      <c r="BO820" s="91"/>
      <c r="BP820" s="91"/>
      <c r="BQ820" s="91"/>
      <c r="BR820" s="91"/>
    </row>
    <row r="821" spans="1:70" ht="15.75" customHeight="1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  <c r="AU821" s="91"/>
      <c r="AV821" s="91"/>
      <c r="AW821" s="91"/>
      <c r="AX821" s="91"/>
      <c r="AY821" s="91"/>
      <c r="AZ821" s="91"/>
      <c r="BA821" s="91"/>
      <c r="BB821" s="91"/>
      <c r="BC821" s="91"/>
      <c r="BD821" s="91"/>
      <c r="BE821" s="91"/>
      <c r="BF821" s="91"/>
      <c r="BG821" s="91"/>
      <c r="BH821" s="91"/>
      <c r="BI821" s="91"/>
      <c r="BJ821" s="91"/>
      <c r="BK821" s="91"/>
      <c r="BL821" s="91"/>
      <c r="BM821" s="91"/>
      <c r="BN821" s="91"/>
      <c r="BO821" s="91"/>
      <c r="BP821" s="91"/>
      <c r="BQ821" s="91"/>
      <c r="BR821" s="91"/>
    </row>
    <row r="822" spans="1:70" ht="15.75" customHeight="1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  <c r="AU822" s="91"/>
      <c r="AV822" s="91"/>
      <c r="AW822" s="91"/>
      <c r="AX822" s="91"/>
      <c r="AY822" s="91"/>
      <c r="AZ822" s="91"/>
      <c r="BA822" s="91"/>
      <c r="BB822" s="91"/>
      <c r="BC822" s="91"/>
      <c r="BD822" s="91"/>
      <c r="BE822" s="91"/>
      <c r="BF822" s="91"/>
      <c r="BG822" s="91"/>
      <c r="BH822" s="91"/>
      <c r="BI822" s="91"/>
      <c r="BJ822" s="91"/>
      <c r="BK822" s="91"/>
      <c r="BL822" s="91"/>
      <c r="BM822" s="91"/>
      <c r="BN822" s="91"/>
      <c r="BO822" s="91"/>
      <c r="BP822" s="91"/>
      <c r="BQ822" s="91"/>
      <c r="BR822" s="91"/>
    </row>
    <row r="823" spans="1:70" ht="15.75" customHeight="1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  <c r="AU823" s="91"/>
      <c r="AV823" s="91"/>
      <c r="AW823" s="91"/>
      <c r="AX823" s="91"/>
      <c r="AY823" s="91"/>
      <c r="AZ823" s="91"/>
      <c r="BA823" s="91"/>
      <c r="BB823" s="91"/>
      <c r="BC823" s="91"/>
      <c r="BD823" s="91"/>
      <c r="BE823" s="91"/>
      <c r="BF823" s="91"/>
      <c r="BG823" s="91"/>
      <c r="BH823" s="91"/>
      <c r="BI823" s="91"/>
      <c r="BJ823" s="91"/>
      <c r="BK823" s="91"/>
      <c r="BL823" s="91"/>
      <c r="BM823" s="91"/>
      <c r="BN823" s="91"/>
      <c r="BO823" s="91"/>
      <c r="BP823" s="91"/>
      <c r="BQ823" s="91"/>
      <c r="BR823" s="91"/>
    </row>
    <row r="824" spans="1:70" ht="15.75" customHeight="1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  <c r="AU824" s="91"/>
      <c r="AV824" s="91"/>
      <c r="AW824" s="91"/>
      <c r="AX824" s="91"/>
      <c r="AY824" s="91"/>
      <c r="AZ824" s="91"/>
      <c r="BA824" s="91"/>
      <c r="BB824" s="91"/>
      <c r="BC824" s="91"/>
      <c r="BD824" s="91"/>
      <c r="BE824" s="91"/>
      <c r="BF824" s="91"/>
      <c r="BG824" s="91"/>
      <c r="BH824" s="91"/>
      <c r="BI824" s="91"/>
      <c r="BJ824" s="91"/>
      <c r="BK824" s="91"/>
      <c r="BL824" s="91"/>
      <c r="BM824" s="91"/>
      <c r="BN824" s="91"/>
      <c r="BO824" s="91"/>
      <c r="BP824" s="91"/>
      <c r="BQ824" s="91"/>
      <c r="BR824" s="91"/>
    </row>
    <row r="825" spans="1:70" ht="15.75" customHeight="1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  <c r="AU825" s="91"/>
      <c r="AV825" s="91"/>
      <c r="AW825" s="91"/>
      <c r="AX825" s="91"/>
      <c r="AY825" s="91"/>
      <c r="AZ825" s="91"/>
      <c r="BA825" s="91"/>
      <c r="BB825" s="91"/>
      <c r="BC825" s="91"/>
      <c r="BD825" s="91"/>
      <c r="BE825" s="91"/>
      <c r="BF825" s="91"/>
      <c r="BG825" s="91"/>
      <c r="BH825" s="91"/>
      <c r="BI825" s="91"/>
      <c r="BJ825" s="91"/>
      <c r="BK825" s="91"/>
      <c r="BL825" s="91"/>
      <c r="BM825" s="91"/>
      <c r="BN825" s="91"/>
      <c r="BO825" s="91"/>
      <c r="BP825" s="91"/>
      <c r="BQ825" s="91"/>
      <c r="BR825" s="91"/>
    </row>
    <row r="826" spans="1:70" ht="15.75" customHeight="1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  <c r="AU826" s="91"/>
      <c r="AV826" s="91"/>
      <c r="AW826" s="91"/>
      <c r="AX826" s="91"/>
      <c r="AY826" s="91"/>
      <c r="AZ826" s="91"/>
      <c r="BA826" s="91"/>
      <c r="BB826" s="91"/>
      <c r="BC826" s="91"/>
      <c r="BD826" s="91"/>
      <c r="BE826" s="91"/>
      <c r="BF826" s="91"/>
      <c r="BG826" s="91"/>
      <c r="BH826" s="91"/>
      <c r="BI826" s="91"/>
      <c r="BJ826" s="91"/>
      <c r="BK826" s="91"/>
      <c r="BL826" s="91"/>
      <c r="BM826" s="91"/>
      <c r="BN826" s="91"/>
      <c r="BO826" s="91"/>
      <c r="BP826" s="91"/>
      <c r="BQ826" s="91"/>
      <c r="BR826" s="91"/>
    </row>
    <row r="827" spans="1:70" ht="15.75" customHeight="1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  <c r="AU827" s="91"/>
      <c r="AV827" s="91"/>
      <c r="AW827" s="91"/>
      <c r="AX827" s="91"/>
      <c r="AY827" s="91"/>
      <c r="AZ827" s="91"/>
      <c r="BA827" s="91"/>
      <c r="BB827" s="91"/>
      <c r="BC827" s="91"/>
      <c r="BD827" s="91"/>
      <c r="BE827" s="91"/>
      <c r="BF827" s="91"/>
      <c r="BG827" s="91"/>
      <c r="BH827" s="91"/>
      <c r="BI827" s="91"/>
      <c r="BJ827" s="91"/>
      <c r="BK827" s="91"/>
      <c r="BL827" s="91"/>
      <c r="BM827" s="91"/>
      <c r="BN827" s="91"/>
      <c r="BO827" s="91"/>
      <c r="BP827" s="91"/>
      <c r="BQ827" s="91"/>
      <c r="BR827" s="91"/>
    </row>
    <row r="828" spans="1:70" ht="15.75" customHeight="1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  <c r="AU828" s="91"/>
      <c r="AV828" s="91"/>
      <c r="AW828" s="91"/>
      <c r="AX828" s="91"/>
      <c r="AY828" s="91"/>
      <c r="AZ828" s="91"/>
      <c r="BA828" s="91"/>
      <c r="BB828" s="91"/>
      <c r="BC828" s="91"/>
      <c r="BD828" s="91"/>
      <c r="BE828" s="91"/>
      <c r="BF828" s="91"/>
      <c r="BG828" s="91"/>
      <c r="BH828" s="91"/>
      <c r="BI828" s="91"/>
      <c r="BJ828" s="91"/>
      <c r="BK828" s="91"/>
      <c r="BL828" s="91"/>
      <c r="BM828" s="91"/>
      <c r="BN828" s="91"/>
      <c r="BO828" s="91"/>
      <c r="BP828" s="91"/>
      <c r="BQ828" s="91"/>
      <c r="BR828" s="91"/>
    </row>
    <row r="829" spans="1:70" ht="15.75" customHeight="1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  <c r="AU829" s="91"/>
      <c r="AV829" s="91"/>
      <c r="AW829" s="91"/>
      <c r="AX829" s="91"/>
      <c r="AY829" s="91"/>
      <c r="AZ829" s="91"/>
      <c r="BA829" s="91"/>
      <c r="BB829" s="91"/>
      <c r="BC829" s="91"/>
      <c r="BD829" s="91"/>
      <c r="BE829" s="91"/>
      <c r="BF829" s="91"/>
      <c r="BG829" s="91"/>
      <c r="BH829" s="91"/>
      <c r="BI829" s="91"/>
      <c r="BJ829" s="91"/>
      <c r="BK829" s="91"/>
      <c r="BL829" s="91"/>
      <c r="BM829" s="91"/>
      <c r="BN829" s="91"/>
      <c r="BO829" s="91"/>
      <c r="BP829" s="91"/>
      <c r="BQ829" s="91"/>
      <c r="BR829" s="91"/>
    </row>
    <row r="830" spans="1:70" ht="15.75" customHeight="1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  <c r="AU830" s="91"/>
      <c r="AV830" s="91"/>
      <c r="AW830" s="91"/>
      <c r="AX830" s="91"/>
      <c r="AY830" s="91"/>
      <c r="AZ830" s="91"/>
      <c r="BA830" s="91"/>
      <c r="BB830" s="91"/>
      <c r="BC830" s="91"/>
      <c r="BD830" s="91"/>
      <c r="BE830" s="91"/>
      <c r="BF830" s="91"/>
      <c r="BG830" s="91"/>
      <c r="BH830" s="91"/>
      <c r="BI830" s="91"/>
      <c r="BJ830" s="91"/>
      <c r="BK830" s="91"/>
      <c r="BL830" s="91"/>
      <c r="BM830" s="91"/>
      <c r="BN830" s="91"/>
      <c r="BO830" s="91"/>
      <c r="BP830" s="91"/>
      <c r="BQ830" s="91"/>
      <c r="BR830" s="91"/>
    </row>
    <row r="831" spans="1:70" ht="15.75" customHeight="1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  <c r="AU831" s="91"/>
      <c r="AV831" s="91"/>
      <c r="AW831" s="91"/>
      <c r="AX831" s="91"/>
      <c r="AY831" s="91"/>
      <c r="AZ831" s="91"/>
      <c r="BA831" s="91"/>
      <c r="BB831" s="91"/>
      <c r="BC831" s="91"/>
      <c r="BD831" s="91"/>
      <c r="BE831" s="91"/>
      <c r="BF831" s="91"/>
      <c r="BG831" s="91"/>
      <c r="BH831" s="91"/>
      <c r="BI831" s="91"/>
      <c r="BJ831" s="91"/>
      <c r="BK831" s="91"/>
      <c r="BL831" s="91"/>
      <c r="BM831" s="91"/>
      <c r="BN831" s="91"/>
      <c r="BO831" s="91"/>
      <c r="BP831" s="91"/>
      <c r="BQ831" s="91"/>
      <c r="BR831" s="91"/>
    </row>
    <row r="832" spans="1:70" ht="15.75" customHeight="1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  <c r="AU832" s="91"/>
      <c r="AV832" s="91"/>
      <c r="AW832" s="91"/>
      <c r="AX832" s="91"/>
      <c r="AY832" s="91"/>
      <c r="AZ832" s="91"/>
      <c r="BA832" s="91"/>
      <c r="BB832" s="91"/>
      <c r="BC832" s="91"/>
      <c r="BD832" s="91"/>
      <c r="BE832" s="91"/>
      <c r="BF832" s="91"/>
      <c r="BG832" s="91"/>
      <c r="BH832" s="91"/>
      <c r="BI832" s="91"/>
      <c r="BJ832" s="91"/>
      <c r="BK832" s="91"/>
      <c r="BL832" s="91"/>
      <c r="BM832" s="91"/>
      <c r="BN832" s="91"/>
      <c r="BO832" s="91"/>
      <c r="BP832" s="91"/>
      <c r="BQ832" s="91"/>
      <c r="BR832" s="91"/>
    </row>
    <row r="833" spans="1:70" ht="15.75" customHeight="1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  <c r="AU833" s="91"/>
      <c r="AV833" s="91"/>
      <c r="AW833" s="91"/>
      <c r="AX833" s="91"/>
      <c r="AY833" s="91"/>
      <c r="AZ833" s="91"/>
      <c r="BA833" s="91"/>
      <c r="BB833" s="91"/>
      <c r="BC833" s="91"/>
      <c r="BD833" s="91"/>
      <c r="BE833" s="91"/>
      <c r="BF833" s="91"/>
      <c r="BG833" s="91"/>
      <c r="BH833" s="91"/>
      <c r="BI833" s="91"/>
      <c r="BJ833" s="91"/>
      <c r="BK833" s="91"/>
      <c r="BL833" s="91"/>
      <c r="BM833" s="91"/>
      <c r="BN833" s="91"/>
      <c r="BO833" s="91"/>
      <c r="BP833" s="91"/>
      <c r="BQ833" s="91"/>
      <c r="BR833" s="91"/>
    </row>
    <row r="834" spans="1:70" ht="15.75" customHeight="1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  <c r="AU834" s="91"/>
      <c r="AV834" s="91"/>
      <c r="AW834" s="91"/>
      <c r="AX834" s="91"/>
      <c r="AY834" s="91"/>
      <c r="AZ834" s="91"/>
      <c r="BA834" s="91"/>
      <c r="BB834" s="91"/>
      <c r="BC834" s="91"/>
      <c r="BD834" s="91"/>
      <c r="BE834" s="91"/>
      <c r="BF834" s="91"/>
      <c r="BG834" s="91"/>
      <c r="BH834" s="91"/>
      <c r="BI834" s="91"/>
      <c r="BJ834" s="91"/>
      <c r="BK834" s="91"/>
      <c r="BL834" s="91"/>
      <c r="BM834" s="91"/>
      <c r="BN834" s="91"/>
      <c r="BO834" s="91"/>
      <c r="BP834" s="91"/>
      <c r="BQ834" s="91"/>
      <c r="BR834" s="91"/>
    </row>
    <row r="835" spans="1:70" ht="15.75" customHeight="1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  <c r="AU835" s="91"/>
      <c r="AV835" s="91"/>
      <c r="AW835" s="91"/>
      <c r="AX835" s="91"/>
      <c r="AY835" s="91"/>
      <c r="AZ835" s="91"/>
      <c r="BA835" s="91"/>
      <c r="BB835" s="91"/>
      <c r="BC835" s="91"/>
      <c r="BD835" s="91"/>
      <c r="BE835" s="91"/>
      <c r="BF835" s="91"/>
      <c r="BG835" s="91"/>
      <c r="BH835" s="91"/>
      <c r="BI835" s="91"/>
      <c r="BJ835" s="91"/>
      <c r="BK835" s="91"/>
      <c r="BL835" s="91"/>
      <c r="BM835" s="91"/>
      <c r="BN835" s="91"/>
      <c r="BO835" s="91"/>
      <c r="BP835" s="91"/>
      <c r="BQ835" s="91"/>
      <c r="BR835" s="91"/>
    </row>
    <row r="836" spans="1:70" ht="15.75" customHeight="1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  <c r="AU836" s="91"/>
      <c r="AV836" s="91"/>
      <c r="AW836" s="91"/>
      <c r="AX836" s="91"/>
      <c r="AY836" s="91"/>
      <c r="AZ836" s="91"/>
      <c r="BA836" s="91"/>
      <c r="BB836" s="91"/>
      <c r="BC836" s="91"/>
      <c r="BD836" s="91"/>
      <c r="BE836" s="91"/>
      <c r="BF836" s="91"/>
      <c r="BG836" s="91"/>
      <c r="BH836" s="91"/>
      <c r="BI836" s="91"/>
      <c r="BJ836" s="91"/>
      <c r="BK836" s="91"/>
      <c r="BL836" s="91"/>
      <c r="BM836" s="91"/>
      <c r="BN836" s="91"/>
      <c r="BO836" s="91"/>
      <c r="BP836" s="91"/>
      <c r="BQ836" s="91"/>
      <c r="BR836" s="91"/>
    </row>
    <row r="837" spans="1:70" ht="15.75" customHeight="1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  <c r="AU837" s="91"/>
      <c r="AV837" s="91"/>
      <c r="AW837" s="91"/>
      <c r="AX837" s="91"/>
      <c r="AY837" s="91"/>
      <c r="AZ837" s="91"/>
      <c r="BA837" s="91"/>
      <c r="BB837" s="91"/>
      <c r="BC837" s="91"/>
      <c r="BD837" s="91"/>
      <c r="BE837" s="91"/>
      <c r="BF837" s="91"/>
      <c r="BG837" s="91"/>
      <c r="BH837" s="91"/>
      <c r="BI837" s="91"/>
      <c r="BJ837" s="91"/>
      <c r="BK837" s="91"/>
      <c r="BL837" s="91"/>
      <c r="BM837" s="91"/>
      <c r="BN837" s="91"/>
      <c r="BO837" s="91"/>
      <c r="BP837" s="91"/>
      <c r="BQ837" s="91"/>
      <c r="BR837" s="91"/>
    </row>
    <row r="838" spans="1:70" ht="15.75" customHeight="1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  <c r="AU838" s="91"/>
      <c r="AV838" s="91"/>
      <c r="AW838" s="91"/>
      <c r="AX838" s="91"/>
      <c r="AY838" s="91"/>
      <c r="AZ838" s="91"/>
      <c r="BA838" s="91"/>
      <c r="BB838" s="91"/>
      <c r="BC838" s="91"/>
      <c r="BD838" s="91"/>
      <c r="BE838" s="91"/>
      <c r="BF838" s="91"/>
      <c r="BG838" s="91"/>
      <c r="BH838" s="91"/>
      <c r="BI838" s="91"/>
      <c r="BJ838" s="91"/>
      <c r="BK838" s="91"/>
      <c r="BL838" s="91"/>
      <c r="BM838" s="91"/>
      <c r="BN838" s="91"/>
      <c r="BO838" s="91"/>
      <c r="BP838" s="91"/>
      <c r="BQ838" s="91"/>
      <c r="BR838" s="91"/>
    </row>
    <row r="839" spans="1:70" ht="15.75" customHeight="1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  <c r="AU839" s="91"/>
      <c r="AV839" s="91"/>
      <c r="AW839" s="91"/>
      <c r="AX839" s="91"/>
      <c r="AY839" s="91"/>
      <c r="AZ839" s="91"/>
      <c r="BA839" s="91"/>
      <c r="BB839" s="91"/>
      <c r="BC839" s="91"/>
      <c r="BD839" s="91"/>
      <c r="BE839" s="91"/>
      <c r="BF839" s="91"/>
      <c r="BG839" s="91"/>
      <c r="BH839" s="91"/>
      <c r="BI839" s="91"/>
      <c r="BJ839" s="91"/>
      <c r="BK839" s="91"/>
      <c r="BL839" s="91"/>
      <c r="BM839" s="91"/>
      <c r="BN839" s="91"/>
      <c r="BO839" s="91"/>
      <c r="BP839" s="91"/>
      <c r="BQ839" s="91"/>
      <c r="BR839" s="91"/>
    </row>
    <row r="840" spans="1:70" ht="15.75" customHeight="1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  <c r="AU840" s="91"/>
      <c r="AV840" s="91"/>
      <c r="AW840" s="91"/>
      <c r="AX840" s="91"/>
      <c r="AY840" s="91"/>
      <c r="AZ840" s="91"/>
      <c r="BA840" s="91"/>
      <c r="BB840" s="91"/>
      <c r="BC840" s="91"/>
      <c r="BD840" s="91"/>
      <c r="BE840" s="91"/>
      <c r="BF840" s="91"/>
      <c r="BG840" s="91"/>
      <c r="BH840" s="91"/>
      <c r="BI840" s="91"/>
      <c r="BJ840" s="91"/>
      <c r="BK840" s="91"/>
      <c r="BL840" s="91"/>
      <c r="BM840" s="91"/>
      <c r="BN840" s="91"/>
      <c r="BO840" s="91"/>
      <c r="BP840" s="91"/>
      <c r="BQ840" s="91"/>
      <c r="BR840" s="91"/>
    </row>
    <row r="841" spans="1:70" ht="15.75" customHeight="1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  <c r="AU841" s="91"/>
      <c r="AV841" s="91"/>
      <c r="AW841" s="91"/>
      <c r="AX841" s="91"/>
      <c r="AY841" s="91"/>
      <c r="AZ841" s="91"/>
      <c r="BA841" s="91"/>
      <c r="BB841" s="91"/>
      <c r="BC841" s="91"/>
      <c r="BD841" s="91"/>
      <c r="BE841" s="91"/>
      <c r="BF841" s="91"/>
      <c r="BG841" s="91"/>
      <c r="BH841" s="91"/>
      <c r="BI841" s="91"/>
      <c r="BJ841" s="91"/>
      <c r="BK841" s="91"/>
      <c r="BL841" s="91"/>
      <c r="BM841" s="91"/>
      <c r="BN841" s="91"/>
      <c r="BO841" s="91"/>
      <c r="BP841" s="91"/>
      <c r="BQ841" s="91"/>
      <c r="BR841" s="91"/>
    </row>
    <row r="842" spans="1:70" ht="15.75" customHeight="1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  <c r="AU842" s="91"/>
      <c r="AV842" s="91"/>
      <c r="AW842" s="91"/>
      <c r="AX842" s="91"/>
      <c r="AY842" s="91"/>
      <c r="AZ842" s="91"/>
      <c r="BA842" s="91"/>
      <c r="BB842" s="91"/>
      <c r="BC842" s="91"/>
      <c r="BD842" s="91"/>
      <c r="BE842" s="91"/>
      <c r="BF842" s="91"/>
      <c r="BG842" s="91"/>
      <c r="BH842" s="91"/>
      <c r="BI842" s="91"/>
      <c r="BJ842" s="91"/>
      <c r="BK842" s="91"/>
      <c r="BL842" s="91"/>
      <c r="BM842" s="91"/>
      <c r="BN842" s="91"/>
      <c r="BO842" s="91"/>
      <c r="BP842" s="91"/>
      <c r="BQ842" s="91"/>
      <c r="BR842" s="91"/>
    </row>
    <row r="843" spans="1:70" ht="15.75" customHeight="1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  <c r="AU843" s="91"/>
      <c r="AV843" s="91"/>
      <c r="AW843" s="91"/>
      <c r="AX843" s="91"/>
      <c r="AY843" s="91"/>
      <c r="AZ843" s="91"/>
      <c r="BA843" s="91"/>
      <c r="BB843" s="91"/>
      <c r="BC843" s="91"/>
      <c r="BD843" s="91"/>
      <c r="BE843" s="91"/>
      <c r="BF843" s="91"/>
      <c r="BG843" s="91"/>
      <c r="BH843" s="91"/>
      <c r="BI843" s="91"/>
      <c r="BJ843" s="91"/>
      <c r="BK843" s="91"/>
      <c r="BL843" s="91"/>
      <c r="BM843" s="91"/>
      <c r="BN843" s="91"/>
      <c r="BO843" s="91"/>
      <c r="BP843" s="91"/>
      <c r="BQ843" s="91"/>
      <c r="BR843" s="91"/>
    </row>
    <row r="844" spans="1:70" ht="15.75" customHeight="1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  <c r="AU844" s="91"/>
      <c r="AV844" s="91"/>
      <c r="AW844" s="91"/>
      <c r="AX844" s="91"/>
      <c r="AY844" s="91"/>
      <c r="AZ844" s="91"/>
      <c r="BA844" s="91"/>
      <c r="BB844" s="91"/>
      <c r="BC844" s="91"/>
      <c r="BD844" s="91"/>
      <c r="BE844" s="91"/>
      <c r="BF844" s="91"/>
      <c r="BG844" s="91"/>
      <c r="BH844" s="91"/>
      <c r="BI844" s="91"/>
      <c r="BJ844" s="91"/>
      <c r="BK844" s="91"/>
      <c r="BL844" s="91"/>
      <c r="BM844" s="91"/>
      <c r="BN844" s="91"/>
      <c r="BO844" s="91"/>
      <c r="BP844" s="91"/>
      <c r="BQ844" s="91"/>
      <c r="BR844" s="91"/>
    </row>
    <row r="845" spans="1:70" ht="15.75" customHeight="1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  <c r="AU845" s="91"/>
      <c r="AV845" s="91"/>
      <c r="AW845" s="91"/>
      <c r="AX845" s="91"/>
      <c r="AY845" s="91"/>
      <c r="AZ845" s="91"/>
      <c r="BA845" s="91"/>
      <c r="BB845" s="91"/>
      <c r="BC845" s="91"/>
      <c r="BD845" s="91"/>
      <c r="BE845" s="91"/>
      <c r="BF845" s="91"/>
      <c r="BG845" s="91"/>
      <c r="BH845" s="91"/>
      <c r="BI845" s="91"/>
      <c r="BJ845" s="91"/>
      <c r="BK845" s="91"/>
      <c r="BL845" s="91"/>
      <c r="BM845" s="91"/>
      <c r="BN845" s="91"/>
      <c r="BO845" s="91"/>
      <c r="BP845" s="91"/>
      <c r="BQ845" s="91"/>
      <c r="BR845" s="91"/>
    </row>
    <row r="846" spans="1:70" ht="15.75" customHeight="1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  <c r="AU846" s="91"/>
      <c r="AV846" s="91"/>
      <c r="AW846" s="91"/>
      <c r="AX846" s="91"/>
      <c r="AY846" s="91"/>
      <c r="AZ846" s="91"/>
      <c r="BA846" s="91"/>
      <c r="BB846" s="91"/>
      <c r="BC846" s="91"/>
      <c r="BD846" s="91"/>
      <c r="BE846" s="91"/>
      <c r="BF846" s="91"/>
      <c r="BG846" s="91"/>
      <c r="BH846" s="91"/>
      <c r="BI846" s="91"/>
      <c r="BJ846" s="91"/>
      <c r="BK846" s="91"/>
      <c r="BL846" s="91"/>
      <c r="BM846" s="91"/>
      <c r="BN846" s="91"/>
      <c r="BO846" s="91"/>
      <c r="BP846" s="91"/>
      <c r="BQ846" s="91"/>
      <c r="BR846" s="91"/>
    </row>
    <row r="847" spans="1:70" ht="15.75" customHeight="1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  <c r="AU847" s="91"/>
      <c r="AV847" s="91"/>
      <c r="AW847" s="91"/>
      <c r="AX847" s="91"/>
      <c r="AY847" s="91"/>
      <c r="AZ847" s="91"/>
      <c r="BA847" s="91"/>
      <c r="BB847" s="91"/>
      <c r="BC847" s="91"/>
      <c r="BD847" s="91"/>
      <c r="BE847" s="91"/>
      <c r="BF847" s="91"/>
      <c r="BG847" s="91"/>
      <c r="BH847" s="91"/>
      <c r="BI847" s="91"/>
      <c r="BJ847" s="91"/>
      <c r="BK847" s="91"/>
      <c r="BL847" s="91"/>
      <c r="BM847" s="91"/>
      <c r="BN847" s="91"/>
      <c r="BO847" s="91"/>
      <c r="BP847" s="91"/>
      <c r="BQ847" s="91"/>
      <c r="BR847" s="91"/>
    </row>
    <row r="848" spans="1:70" ht="15.75" customHeight="1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  <c r="AU848" s="91"/>
      <c r="AV848" s="91"/>
      <c r="AW848" s="91"/>
      <c r="AX848" s="91"/>
      <c r="AY848" s="91"/>
      <c r="AZ848" s="91"/>
      <c r="BA848" s="91"/>
      <c r="BB848" s="91"/>
      <c r="BC848" s="91"/>
      <c r="BD848" s="91"/>
      <c r="BE848" s="91"/>
      <c r="BF848" s="91"/>
      <c r="BG848" s="91"/>
      <c r="BH848" s="91"/>
      <c r="BI848" s="91"/>
      <c r="BJ848" s="91"/>
      <c r="BK848" s="91"/>
      <c r="BL848" s="91"/>
      <c r="BM848" s="91"/>
      <c r="BN848" s="91"/>
      <c r="BO848" s="91"/>
      <c r="BP848" s="91"/>
      <c r="BQ848" s="91"/>
      <c r="BR848" s="91"/>
    </row>
    <row r="849" spans="1:70" ht="15.75" customHeight="1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  <c r="AU849" s="91"/>
      <c r="AV849" s="91"/>
      <c r="AW849" s="91"/>
      <c r="AX849" s="91"/>
      <c r="AY849" s="91"/>
      <c r="AZ849" s="91"/>
      <c r="BA849" s="91"/>
      <c r="BB849" s="91"/>
      <c r="BC849" s="91"/>
      <c r="BD849" s="91"/>
      <c r="BE849" s="91"/>
      <c r="BF849" s="91"/>
      <c r="BG849" s="91"/>
      <c r="BH849" s="91"/>
      <c r="BI849" s="91"/>
      <c r="BJ849" s="91"/>
      <c r="BK849" s="91"/>
      <c r="BL849" s="91"/>
      <c r="BM849" s="91"/>
      <c r="BN849" s="91"/>
      <c r="BO849" s="91"/>
      <c r="BP849" s="91"/>
      <c r="BQ849" s="91"/>
      <c r="BR849" s="91"/>
    </row>
    <row r="850" spans="1:70" ht="15.75" customHeight="1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  <c r="AU850" s="91"/>
      <c r="AV850" s="91"/>
      <c r="AW850" s="91"/>
      <c r="AX850" s="91"/>
      <c r="AY850" s="91"/>
      <c r="AZ850" s="91"/>
      <c r="BA850" s="91"/>
      <c r="BB850" s="91"/>
      <c r="BC850" s="91"/>
      <c r="BD850" s="91"/>
      <c r="BE850" s="91"/>
      <c r="BF850" s="91"/>
      <c r="BG850" s="91"/>
      <c r="BH850" s="91"/>
      <c r="BI850" s="91"/>
      <c r="BJ850" s="91"/>
      <c r="BK850" s="91"/>
      <c r="BL850" s="91"/>
      <c r="BM850" s="91"/>
      <c r="BN850" s="91"/>
      <c r="BO850" s="91"/>
      <c r="BP850" s="91"/>
      <c r="BQ850" s="91"/>
      <c r="BR850" s="91"/>
    </row>
    <row r="851" spans="1:70" ht="15.75" customHeight="1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  <c r="AU851" s="91"/>
      <c r="AV851" s="91"/>
      <c r="AW851" s="91"/>
      <c r="AX851" s="91"/>
      <c r="AY851" s="91"/>
      <c r="AZ851" s="91"/>
      <c r="BA851" s="91"/>
      <c r="BB851" s="91"/>
      <c r="BC851" s="91"/>
      <c r="BD851" s="91"/>
      <c r="BE851" s="91"/>
      <c r="BF851" s="91"/>
      <c r="BG851" s="91"/>
      <c r="BH851" s="91"/>
      <c r="BI851" s="91"/>
      <c r="BJ851" s="91"/>
      <c r="BK851" s="91"/>
      <c r="BL851" s="91"/>
      <c r="BM851" s="91"/>
      <c r="BN851" s="91"/>
      <c r="BO851" s="91"/>
      <c r="BP851" s="91"/>
      <c r="BQ851" s="91"/>
      <c r="BR851" s="91"/>
    </row>
    <row r="852" spans="1:70" ht="15.75" customHeight="1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  <c r="AU852" s="91"/>
      <c r="AV852" s="91"/>
      <c r="AW852" s="91"/>
      <c r="AX852" s="91"/>
      <c r="AY852" s="91"/>
      <c r="AZ852" s="91"/>
      <c r="BA852" s="91"/>
      <c r="BB852" s="91"/>
      <c r="BC852" s="91"/>
      <c r="BD852" s="91"/>
      <c r="BE852" s="91"/>
      <c r="BF852" s="91"/>
      <c r="BG852" s="91"/>
      <c r="BH852" s="91"/>
      <c r="BI852" s="91"/>
      <c r="BJ852" s="91"/>
      <c r="BK852" s="91"/>
      <c r="BL852" s="91"/>
      <c r="BM852" s="91"/>
      <c r="BN852" s="91"/>
      <c r="BO852" s="91"/>
      <c r="BP852" s="91"/>
      <c r="BQ852" s="91"/>
      <c r="BR852" s="91"/>
    </row>
    <row r="853" spans="1:70" ht="15.75" customHeight="1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  <c r="AU853" s="91"/>
      <c r="AV853" s="91"/>
      <c r="AW853" s="91"/>
      <c r="AX853" s="91"/>
      <c r="AY853" s="91"/>
      <c r="AZ853" s="91"/>
      <c r="BA853" s="91"/>
      <c r="BB853" s="91"/>
      <c r="BC853" s="91"/>
      <c r="BD853" s="91"/>
      <c r="BE853" s="91"/>
      <c r="BF853" s="91"/>
      <c r="BG853" s="91"/>
      <c r="BH853" s="91"/>
      <c r="BI853" s="91"/>
      <c r="BJ853" s="91"/>
      <c r="BK853" s="91"/>
      <c r="BL853" s="91"/>
      <c r="BM853" s="91"/>
      <c r="BN853" s="91"/>
      <c r="BO853" s="91"/>
      <c r="BP853" s="91"/>
      <c r="BQ853" s="91"/>
      <c r="BR853" s="91"/>
    </row>
    <row r="854" spans="1:70" ht="15.75" customHeight="1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  <c r="AU854" s="91"/>
      <c r="AV854" s="91"/>
      <c r="AW854" s="91"/>
      <c r="AX854" s="91"/>
      <c r="AY854" s="91"/>
      <c r="AZ854" s="91"/>
      <c r="BA854" s="91"/>
      <c r="BB854" s="91"/>
      <c r="BC854" s="91"/>
      <c r="BD854" s="91"/>
      <c r="BE854" s="91"/>
      <c r="BF854" s="91"/>
      <c r="BG854" s="91"/>
      <c r="BH854" s="91"/>
      <c r="BI854" s="91"/>
      <c r="BJ854" s="91"/>
      <c r="BK854" s="91"/>
      <c r="BL854" s="91"/>
      <c r="BM854" s="91"/>
      <c r="BN854" s="91"/>
      <c r="BO854" s="91"/>
      <c r="BP854" s="91"/>
      <c r="BQ854" s="91"/>
      <c r="BR854" s="91"/>
    </row>
    <row r="855" spans="1:70" ht="15.75" customHeight="1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  <c r="AU855" s="91"/>
      <c r="AV855" s="91"/>
      <c r="AW855" s="91"/>
      <c r="AX855" s="91"/>
      <c r="AY855" s="91"/>
      <c r="AZ855" s="91"/>
      <c r="BA855" s="91"/>
      <c r="BB855" s="91"/>
      <c r="BC855" s="91"/>
      <c r="BD855" s="91"/>
      <c r="BE855" s="91"/>
      <c r="BF855" s="91"/>
      <c r="BG855" s="91"/>
      <c r="BH855" s="91"/>
      <c r="BI855" s="91"/>
      <c r="BJ855" s="91"/>
      <c r="BK855" s="91"/>
      <c r="BL855" s="91"/>
      <c r="BM855" s="91"/>
      <c r="BN855" s="91"/>
      <c r="BO855" s="91"/>
      <c r="BP855" s="91"/>
      <c r="BQ855" s="91"/>
      <c r="BR855" s="91"/>
    </row>
    <row r="856" spans="1:70" ht="15.75" customHeight="1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  <c r="AU856" s="91"/>
      <c r="AV856" s="91"/>
      <c r="AW856" s="91"/>
      <c r="AX856" s="91"/>
      <c r="AY856" s="91"/>
      <c r="AZ856" s="91"/>
      <c r="BA856" s="91"/>
      <c r="BB856" s="91"/>
      <c r="BC856" s="91"/>
      <c r="BD856" s="91"/>
      <c r="BE856" s="91"/>
      <c r="BF856" s="91"/>
      <c r="BG856" s="91"/>
      <c r="BH856" s="91"/>
      <c r="BI856" s="91"/>
      <c r="BJ856" s="91"/>
      <c r="BK856" s="91"/>
      <c r="BL856" s="91"/>
      <c r="BM856" s="91"/>
      <c r="BN856" s="91"/>
      <c r="BO856" s="91"/>
      <c r="BP856" s="91"/>
      <c r="BQ856" s="91"/>
      <c r="BR856" s="91"/>
    </row>
    <row r="857" spans="1:70" ht="15.75" customHeight="1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  <c r="AU857" s="91"/>
      <c r="AV857" s="91"/>
      <c r="AW857" s="91"/>
      <c r="AX857" s="91"/>
      <c r="AY857" s="91"/>
      <c r="AZ857" s="91"/>
      <c r="BA857" s="91"/>
      <c r="BB857" s="91"/>
      <c r="BC857" s="91"/>
      <c r="BD857" s="91"/>
      <c r="BE857" s="91"/>
      <c r="BF857" s="91"/>
      <c r="BG857" s="91"/>
      <c r="BH857" s="91"/>
      <c r="BI857" s="91"/>
      <c r="BJ857" s="91"/>
      <c r="BK857" s="91"/>
      <c r="BL857" s="91"/>
      <c r="BM857" s="91"/>
      <c r="BN857" s="91"/>
      <c r="BO857" s="91"/>
      <c r="BP857" s="91"/>
      <c r="BQ857" s="91"/>
      <c r="BR857" s="91"/>
    </row>
    <row r="858" spans="1:70" ht="15.75" customHeight="1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  <c r="AU858" s="91"/>
      <c r="AV858" s="91"/>
      <c r="AW858" s="91"/>
      <c r="AX858" s="91"/>
      <c r="AY858" s="91"/>
      <c r="AZ858" s="91"/>
      <c r="BA858" s="91"/>
      <c r="BB858" s="91"/>
      <c r="BC858" s="91"/>
      <c r="BD858" s="91"/>
      <c r="BE858" s="91"/>
      <c r="BF858" s="91"/>
      <c r="BG858" s="91"/>
      <c r="BH858" s="91"/>
      <c r="BI858" s="91"/>
      <c r="BJ858" s="91"/>
      <c r="BK858" s="91"/>
      <c r="BL858" s="91"/>
      <c r="BM858" s="91"/>
      <c r="BN858" s="91"/>
      <c r="BO858" s="91"/>
      <c r="BP858" s="91"/>
      <c r="BQ858" s="91"/>
      <c r="BR858" s="91"/>
    </row>
    <row r="859" spans="1:70" ht="15.75" customHeight="1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  <c r="AU859" s="91"/>
      <c r="AV859" s="91"/>
      <c r="AW859" s="91"/>
      <c r="AX859" s="91"/>
      <c r="AY859" s="91"/>
      <c r="AZ859" s="91"/>
      <c r="BA859" s="91"/>
      <c r="BB859" s="91"/>
      <c r="BC859" s="91"/>
      <c r="BD859" s="91"/>
      <c r="BE859" s="91"/>
      <c r="BF859" s="91"/>
      <c r="BG859" s="91"/>
      <c r="BH859" s="91"/>
      <c r="BI859" s="91"/>
      <c r="BJ859" s="91"/>
      <c r="BK859" s="91"/>
      <c r="BL859" s="91"/>
      <c r="BM859" s="91"/>
      <c r="BN859" s="91"/>
      <c r="BO859" s="91"/>
      <c r="BP859" s="91"/>
      <c r="BQ859" s="91"/>
      <c r="BR859" s="91"/>
    </row>
    <row r="860" spans="1:70" ht="15.75" customHeight="1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  <c r="AU860" s="91"/>
      <c r="AV860" s="91"/>
      <c r="AW860" s="91"/>
      <c r="AX860" s="91"/>
      <c r="AY860" s="91"/>
      <c r="AZ860" s="91"/>
      <c r="BA860" s="91"/>
      <c r="BB860" s="91"/>
      <c r="BC860" s="91"/>
      <c r="BD860" s="91"/>
      <c r="BE860" s="91"/>
      <c r="BF860" s="91"/>
      <c r="BG860" s="91"/>
      <c r="BH860" s="91"/>
      <c r="BI860" s="91"/>
      <c r="BJ860" s="91"/>
      <c r="BK860" s="91"/>
      <c r="BL860" s="91"/>
      <c r="BM860" s="91"/>
      <c r="BN860" s="91"/>
      <c r="BO860" s="91"/>
      <c r="BP860" s="91"/>
      <c r="BQ860" s="91"/>
      <c r="BR860" s="91"/>
    </row>
    <row r="861" spans="1:70" ht="15.75" customHeight="1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  <c r="AU861" s="91"/>
      <c r="AV861" s="91"/>
      <c r="AW861" s="91"/>
      <c r="AX861" s="91"/>
      <c r="AY861" s="91"/>
      <c r="AZ861" s="91"/>
      <c r="BA861" s="91"/>
      <c r="BB861" s="91"/>
      <c r="BC861" s="91"/>
      <c r="BD861" s="91"/>
      <c r="BE861" s="91"/>
      <c r="BF861" s="91"/>
      <c r="BG861" s="91"/>
      <c r="BH861" s="91"/>
      <c r="BI861" s="91"/>
      <c r="BJ861" s="91"/>
      <c r="BK861" s="91"/>
      <c r="BL861" s="91"/>
      <c r="BM861" s="91"/>
      <c r="BN861" s="91"/>
      <c r="BO861" s="91"/>
      <c r="BP861" s="91"/>
      <c r="BQ861" s="91"/>
      <c r="BR861" s="91"/>
    </row>
    <row r="862" spans="1:70" ht="15.75" customHeight="1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  <c r="AU862" s="91"/>
      <c r="AV862" s="91"/>
      <c r="AW862" s="91"/>
      <c r="AX862" s="91"/>
      <c r="AY862" s="91"/>
      <c r="AZ862" s="91"/>
      <c r="BA862" s="91"/>
      <c r="BB862" s="91"/>
      <c r="BC862" s="91"/>
      <c r="BD862" s="91"/>
      <c r="BE862" s="91"/>
      <c r="BF862" s="91"/>
      <c r="BG862" s="91"/>
      <c r="BH862" s="91"/>
      <c r="BI862" s="91"/>
      <c r="BJ862" s="91"/>
      <c r="BK862" s="91"/>
      <c r="BL862" s="91"/>
      <c r="BM862" s="91"/>
      <c r="BN862" s="91"/>
      <c r="BO862" s="91"/>
      <c r="BP862" s="91"/>
      <c r="BQ862" s="91"/>
      <c r="BR862" s="91"/>
    </row>
    <row r="863" spans="1:70" ht="15.75" customHeight="1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  <c r="AU863" s="91"/>
      <c r="AV863" s="91"/>
      <c r="AW863" s="91"/>
      <c r="AX863" s="91"/>
      <c r="AY863" s="91"/>
      <c r="AZ863" s="91"/>
      <c r="BA863" s="91"/>
      <c r="BB863" s="91"/>
      <c r="BC863" s="91"/>
      <c r="BD863" s="91"/>
      <c r="BE863" s="91"/>
      <c r="BF863" s="91"/>
      <c r="BG863" s="91"/>
      <c r="BH863" s="91"/>
      <c r="BI863" s="91"/>
      <c r="BJ863" s="91"/>
      <c r="BK863" s="91"/>
      <c r="BL863" s="91"/>
      <c r="BM863" s="91"/>
      <c r="BN863" s="91"/>
      <c r="BO863" s="91"/>
      <c r="BP863" s="91"/>
      <c r="BQ863" s="91"/>
      <c r="BR863" s="91"/>
    </row>
    <row r="864" spans="1:70" ht="15.75" customHeight="1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  <c r="AU864" s="91"/>
      <c r="AV864" s="91"/>
      <c r="AW864" s="91"/>
      <c r="AX864" s="91"/>
      <c r="AY864" s="91"/>
      <c r="AZ864" s="91"/>
      <c r="BA864" s="91"/>
      <c r="BB864" s="91"/>
      <c r="BC864" s="91"/>
      <c r="BD864" s="91"/>
      <c r="BE864" s="91"/>
      <c r="BF864" s="91"/>
      <c r="BG864" s="91"/>
      <c r="BH864" s="91"/>
      <c r="BI864" s="91"/>
      <c r="BJ864" s="91"/>
      <c r="BK864" s="91"/>
      <c r="BL864" s="91"/>
      <c r="BM864" s="91"/>
      <c r="BN864" s="91"/>
      <c r="BO864" s="91"/>
      <c r="BP864" s="91"/>
      <c r="BQ864" s="91"/>
      <c r="BR864" s="91"/>
    </row>
    <row r="865" spans="1:70" ht="15.75" customHeight="1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  <c r="AU865" s="91"/>
      <c r="AV865" s="91"/>
      <c r="AW865" s="91"/>
      <c r="AX865" s="91"/>
      <c r="AY865" s="91"/>
      <c r="AZ865" s="91"/>
      <c r="BA865" s="91"/>
      <c r="BB865" s="91"/>
      <c r="BC865" s="91"/>
      <c r="BD865" s="91"/>
      <c r="BE865" s="91"/>
      <c r="BF865" s="91"/>
      <c r="BG865" s="91"/>
      <c r="BH865" s="91"/>
      <c r="BI865" s="91"/>
      <c r="BJ865" s="91"/>
      <c r="BK865" s="91"/>
      <c r="BL865" s="91"/>
      <c r="BM865" s="91"/>
      <c r="BN865" s="91"/>
      <c r="BO865" s="91"/>
      <c r="BP865" s="91"/>
      <c r="BQ865" s="91"/>
      <c r="BR865" s="91"/>
    </row>
    <row r="866" spans="1:70" ht="15.75" customHeight="1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  <c r="AU866" s="91"/>
      <c r="AV866" s="91"/>
      <c r="AW866" s="91"/>
      <c r="AX866" s="91"/>
      <c r="AY866" s="91"/>
      <c r="AZ866" s="91"/>
      <c r="BA866" s="91"/>
      <c r="BB866" s="91"/>
      <c r="BC866" s="91"/>
      <c r="BD866" s="91"/>
      <c r="BE866" s="91"/>
      <c r="BF866" s="91"/>
      <c r="BG866" s="91"/>
      <c r="BH866" s="91"/>
      <c r="BI866" s="91"/>
      <c r="BJ866" s="91"/>
      <c r="BK866" s="91"/>
      <c r="BL866" s="91"/>
      <c r="BM866" s="91"/>
      <c r="BN866" s="91"/>
      <c r="BO866" s="91"/>
      <c r="BP866" s="91"/>
      <c r="BQ866" s="91"/>
      <c r="BR866" s="91"/>
    </row>
    <row r="867" spans="1:70" ht="15.75" customHeight="1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  <c r="AU867" s="91"/>
      <c r="AV867" s="91"/>
      <c r="AW867" s="91"/>
      <c r="AX867" s="91"/>
      <c r="AY867" s="91"/>
      <c r="AZ867" s="91"/>
      <c r="BA867" s="91"/>
      <c r="BB867" s="91"/>
      <c r="BC867" s="91"/>
      <c r="BD867" s="91"/>
      <c r="BE867" s="91"/>
      <c r="BF867" s="91"/>
      <c r="BG867" s="91"/>
      <c r="BH867" s="91"/>
      <c r="BI867" s="91"/>
      <c r="BJ867" s="91"/>
      <c r="BK867" s="91"/>
      <c r="BL867" s="91"/>
      <c r="BM867" s="91"/>
      <c r="BN867" s="91"/>
      <c r="BO867" s="91"/>
      <c r="BP867" s="91"/>
      <c r="BQ867" s="91"/>
      <c r="BR867" s="91"/>
    </row>
    <row r="868" spans="1:70" ht="15.75" customHeight="1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  <c r="AU868" s="91"/>
      <c r="AV868" s="91"/>
      <c r="AW868" s="91"/>
      <c r="AX868" s="91"/>
      <c r="AY868" s="91"/>
      <c r="AZ868" s="91"/>
      <c r="BA868" s="91"/>
      <c r="BB868" s="91"/>
      <c r="BC868" s="91"/>
      <c r="BD868" s="91"/>
      <c r="BE868" s="91"/>
      <c r="BF868" s="91"/>
      <c r="BG868" s="91"/>
      <c r="BH868" s="91"/>
      <c r="BI868" s="91"/>
      <c r="BJ868" s="91"/>
      <c r="BK868" s="91"/>
      <c r="BL868" s="91"/>
      <c r="BM868" s="91"/>
      <c r="BN868" s="91"/>
      <c r="BO868" s="91"/>
      <c r="BP868" s="91"/>
      <c r="BQ868" s="91"/>
      <c r="BR868" s="91"/>
    </row>
    <row r="869" spans="1:70" ht="15.75" customHeight="1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  <c r="AU869" s="91"/>
      <c r="AV869" s="91"/>
      <c r="AW869" s="91"/>
      <c r="AX869" s="91"/>
      <c r="AY869" s="91"/>
      <c r="AZ869" s="91"/>
      <c r="BA869" s="91"/>
      <c r="BB869" s="91"/>
      <c r="BC869" s="91"/>
      <c r="BD869" s="91"/>
      <c r="BE869" s="91"/>
      <c r="BF869" s="91"/>
      <c r="BG869" s="91"/>
      <c r="BH869" s="91"/>
      <c r="BI869" s="91"/>
      <c r="BJ869" s="91"/>
      <c r="BK869" s="91"/>
      <c r="BL869" s="91"/>
      <c r="BM869" s="91"/>
      <c r="BN869" s="91"/>
      <c r="BO869" s="91"/>
      <c r="BP869" s="91"/>
      <c r="BQ869" s="91"/>
      <c r="BR869" s="91"/>
    </row>
    <row r="870" spans="1:70" ht="15.75" customHeight="1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  <c r="AU870" s="91"/>
      <c r="AV870" s="91"/>
      <c r="AW870" s="91"/>
      <c r="AX870" s="91"/>
      <c r="AY870" s="91"/>
      <c r="AZ870" s="91"/>
      <c r="BA870" s="91"/>
      <c r="BB870" s="91"/>
      <c r="BC870" s="91"/>
      <c r="BD870" s="91"/>
      <c r="BE870" s="91"/>
      <c r="BF870" s="91"/>
      <c r="BG870" s="91"/>
      <c r="BH870" s="91"/>
      <c r="BI870" s="91"/>
      <c r="BJ870" s="91"/>
      <c r="BK870" s="91"/>
      <c r="BL870" s="91"/>
      <c r="BM870" s="91"/>
      <c r="BN870" s="91"/>
      <c r="BO870" s="91"/>
      <c r="BP870" s="91"/>
      <c r="BQ870" s="91"/>
      <c r="BR870" s="91"/>
    </row>
    <row r="871" spans="1:70" ht="15.75" customHeight="1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  <c r="AU871" s="91"/>
      <c r="AV871" s="91"/>
      <c r="AW871" s="91"/>
      <c r="AX871" s="91"/>
      <c r="AY871" s="91"/>
      <c r="AZ871" s="91"/>
      <c r="BA871" s="91"/>
      <c r="BB871" s="91"/>
      <c r="BC871" s="91"/>
      <c r="BD871" s="91"/>
      <c r="BE871" s="91"/>
      <c r="BF871" s="91"/>
      <c r="BG871" s="91"/>
      <c r="BH871" s="91"/>
      <c r="BI871" s="91"/>
      <c r="BJ871" s="91"/>
      <c r="BK871" s="91"/>
      <c r="BL871" s="91"/>
      <c r="BM871" s="91"/>
      <c r="BN871" s="91"/>
      <c r="BO871" s="91"/>
      <c r="BP871" s="91"/>
      <c r="BQ871" s="91"/>
      <c r="BR871" s="91"/>
    </row>
    <row r="872" spans="1:70" ht="15.75" customHeight="1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  <c r="AU872" s="91"/>
      <c r="AV872" s="91"/>
      <c r="AW872" s="91"/>
      <c r="AX872" s="91"/>
      <c r="AY872" s="91"/>
      <c r="AZ872" s="91"/>
      <c r="BA872" s="91"/>
      <c r="BB872" s="91"/>
      <c r="BC872" s="91"/>
      <c r="BD872" s="91"/>
      <c r="BE872" s="91"/>
      <c r="BF872" s="91"/>
      <c r="BG872" s="91"/>
      <c r="BH872" s="91"/>
      <c r="BI872" s="91"/>
      <c r="BJ872" s="91"/>
      <c r="BK872" s="91"/>
      <c r="BL872" s="91"/>
      <c r="BM872" s="91"/>
      <c r="BN872" s="91"/>
      <c r="BO872" s="91"/>
      <c r="BP872" s="91"/>
      <c r="BQ872" s="91"/>
      <c r="BR872" s="91"/>
    </row>
    <row r="873" spans="1:70" ht="15.75" customHeight="1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  <c r="AU873" s="91"/>
      <c r="AV873" s="91"/>
      <c r="AW873" s="91"/>
      <c r="AX873" s="91"/>
      <c r="AY873" s="91"/>
      <c r="AZ873" s="91"/>
      <c r="BA873" s="91"/>
      <c r="BB873" s="91"/>
      <c r="BC873" s="91"/>
      <c r="BD873" s="91"/>
      <c r="BE873" s="91"/>
      <c r="BF873" s="91"/>
      <c r="BG873" s="91"/>
      <c r="BH873" s="91"/>
      <c r="BI873" s="91"/>
      <c r="BJ873" s="91"/>
      <c r="BK873" s="91"/>
      <c r="BL873" s="91"/>
      <c r="BM873" s="91"/>
      <c r="BN873" s="91"/>
      <c r="BO873" s="91"/>
      <c r="BP873" s="91"/>
      <c r="BQ873" s="91"/>
      <c r="BR873" s="91"/>
    </row>
    <row r="874" spans="1:70" ht="15.75" customHeight="1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  <c r="AU874" s="91"/>
      <c r="AV874" s="91"/>
      <c r="AW874" s="91"/>
      <c r="AX874" s="91"/>
      <c r="AY874" s="91"/>
      <c r="AZ874" s="91"/>
      <c r="BA874" s="91"/>
      <c r="BB874" s="91"/>
      <c r="BC874" s="91"/>
      <c r="BD874" s="91"/>
      <c r="BE874" s="91"/>
      <c r="BF874" s="91"/>
      <c r="BG874" s="91"/>
      <c r="BH874" s="91"/>
      <c r="BI874" s="91"/>
      <c r="BJ874" s="91"/>
      <c r="BK874" s="91"/>
      <c r="BL874" s="91"/>
      <c r="BM874" s="91"/>
      <c r="BN874" s="91"/>
      <c r="BO874" s="91"/>
      <c r="BP874" s="91"/>
      <c r="BQ874" s="91"/>
      <c r="BR874" s="91"/>
    </row>
    <row r="875" spans="1:70" ht="15.75" customHeight="1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  <c r="AU875" s="91"/>
      <c r="AV875" s="91"/>
      <c r="AW875" s="91"/>
      <c r="AX875" s="91"/>
      <c r="AY875" s="91"/>
      <c r="AZ875" s="91"/>
      <c r="BA875" s="91"/>
      <c r="BB875" s="91"/>
      <c r="BC875" s="91"/>
      <c r="BD875" s="91"/>
      <c r="BE875" s="91"/>
      <c r="BF875" s="91"/>
      <c r="BG875" s="91"/>
      <c r="BH875" s="91"/>
      <c r="BI875" s="91"/>
      <c r="BJ875" s="91"/>
      <c r="BK875" s="91"/>
      <c r="BL875" s="91"/>
      <c r="BM875" s="91"/>
      <c r="BN875" s="91"/>
      <c r="BO875" s="91"/>
      <c r="BP875" s="91"/>
      <c r="BQ875" s="91"/>
      <c r="BR875" s="91"/>
    </row>
    <row r="876" spans="1:70" ht="15.75" customHeight="1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  <c r="AU876" s="91"/>
      <c r="AV876" s="91"/>
      <c r="AW876" s="91"/>
      <c r="AX876" s="91"/>
      <c r="AY876" s="91"/>
      <c r="AZ876" s="91"/>
      <c r="BA876" s="91"/>
      <c r="BB876" s="91"/>
      <c r="BC876" s="91"/>
      <c r="BD876" s="91"/>
      <c r="BE876" s="91"/>
      <c r="BF876" s="91"/>
      <c r="BG876" s="91"/>
      <c r="BH876" s="91"/>
      <c r="BI876" s="91"/>
      <c r="BJ876" s="91"/>
      <c r="BK876" s="91"/>
      <c r="BL876" s="91"/>
      <c r="BM876" s="91"/>
      <c r="BN876" s="91"/>
      <c r="BO876" s="91"/>
      <c r="BP876" s="91"/>
      <c r="BQ876" s="91"/>
      <c r="BR876" s="91"/>
    </row>
    <row r="877" spans="1:70" ht="15.75" customHeight="1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  <c r="AU877" s="91"/>
      <c r="AV877" s="91"/>
      <c r="AW877" s="91"/>
      <c r="AX877" s="91"/>
      <c r="AY877" s="91"/>
      <c r="AZ877" s="91"/>
      <c r="BA877" s="91"/>
      <c r="BB877" s="91"/>
      <c r="BC877" s="91"/>
      <c r="BD877" s="91"/>
      <c r="BE877" s="91"/>
      <c r="BF877" s="91"/>
      <c r="BG877" s="91"/>
      <c r="BH877" s="91"/>
      <c r="BI877" s="91"/>
      <c r="BJ877" s="91"/>
      <c r="BK877" s="91"/>
      <c r="BL877" s="91"/>
      <c r="BM877" s="91"/>
      <c r="BN877" s="91"/>
      <c r="BO877" s="91"/>
      <c r="BP877" s="91"/>
      <c r="BQ877" s="91"/>
      <c r="BR877" s="91"/>
    </row>
    <row r="878" spans="1:70" ht="15.75" customHeight="1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  <c r="AU878" s="91"/>
      <c r="AV878" s="91"/>
      <c r="AW878" s="91"/>
      <c r="AX878" s="91"/>
      <c r="AY878" s="91"/>
      <c r="AZ878" s="91"/>
      <c r="BA878" s="91"/>
      <c r="BB878" s="91"/>
      <c r="BC878" s="91"/>
      <c r="BD878" s="91"/>
      <c r="BE878" s="91"/>
      <c r="BF878" s="91"/>
      <c r="BG878" s="91"/>
      <c r="BH878" s="91"/>
      <c r="BI878" s="91"/>
      <c r="BJ878" s="91"/>
      <c r="BK878" s="91"/>
      <c r="BL878" s="91"/>
      <c r="BM878" s="91"/>
      <c r="BN878" s="91"/>
      <c r="BO878" s="91"/>
      <c r="BP878" s="91"/>
      <c r="BQ878" s="91"/>
      <c r="BR878" s="91"/>
    </row>
    <row r="879" spans="1:70" ht="15.75" customHeight="1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  <c r="AU879" s="91"/>
      <c r="AV879" s="91"/>
      <c r="AW879" s="91"/>
      <c r="AX879" s="91"/>
      <c r="AY879" s="91"/>
      <c r="AZ879" s="91"/>
      <c r="BA879" s="91"/>
      <c r="BB879" s="91"/>
      <c r="BC879" s="91"/>
      <c r="BD879" s="91"/>
      <c r="BE879" s="91"/>
      <c r="BF879" s="91"/>
      <c r="BG879" s="91"/>
      <c r="BH879" s="91"/>
      <c r="BI879" s="91"/>
      <c r="BJ879" s="91"/>
      <c r="BK879" s="91"/>
      <c r="BL879" s="91"/>
      <c r="BM879" s="91"/>
      <c r="BN879" s="91"/>
      <c r="BO879" s="91"/>
      <c r="BP879" s="91"/>
      <c r="BQ879" s="91"/>
      <c r="BR879" s="91"/>
    </row>
    <row r="880" spans="1:70" ht="15.75" customHeight="1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  <c r="AU880" s="91"/>
      <c r="AV880" s="91"/>
      <c r="AW880" s="91"/>
      <c r="AX880" s="91"/>
      <c r="AY880" s="91"/>
      <c r="AZ880" s="91"/>
      <c r="BA880" s="91"/>
      <c r="BB880" s="91"/>
      <c r="BC880" s="91"/>
      <c r="BD880" s="91"/>
      <c r="BE880" s="91"/>
      <c r="BF880" s="91"/>
      <c r="BG880" s="91"/>
      <c r="BH880" s="91"/>
      <c r="BI880" s="91"/>
      <c r="BJ880" s="91"/>
      <c r="BK880" s="91"/>
      <c r="BL880" s="91"/>
      <c r="BM880" s="91"/>
      <c r="BN880" s="91"/>
      <c r="BO880" s="91"/>
      <c r="BP880" s="91"/>
      <c r="BQ880" s="91"/>
      <c r="BR880" s="91"/>
    </row>
    <row r="881" spans="1:70" ht="15.75" customHeight="1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  <c r="AU881" s="91"/>
      <c r="AV881" s="91"/>
      <c r="AW881" s="91"/>
      <c r="AX881" s="91"/>
      <c r="AY881" s="91"/>
      <c r="AZ881" s="91"/>
      <c r="BA881" s="91"/>
      <c r="BB881" s="91"/>
      <c r="BC881" s="91"/>
      <c r="BD881" s="91"/>
      <c r="BE881" s="91"/>
      <c r="BF881" s="91"/>
      <c r="BG881" s="91"/>
      <c r="BH881" s="91"/>
      <c r="BI881" s="91"/>
      <c r="BJ881" s="91"/>
      <c r="BK881" s="91"/>
      <c r="BL881" s="91"/>
      <c r="BM881" s="91"/>
      <c r="BN881" s="91"/>
      <c r="BO881" s="91"/>
      <c r="BP881" s="91"/>
      <c r="BQ881" s="91"/>
      <c r="BR881" s="91"/>
    </row>
    <row r="882" spans="1:70" ht="15.75" customHeight="1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  <c r="AU882" s="91"/>
      <c r="AV882" s="91"/>
      <c r="AW882" s="91"/>
      <c r="AX882" s="91"/>
      <c r="AY882" s="91"/>
      <c r="AZ882" s="91"/>
      <c r="BA882" s="91"/>
      <c r="BB882" s="91"/>
      <c r="BC882" s="91"/>
      <c r="BD882" s="91"/>
      <c r="BE882" s="91"/>
      <c r="BF882" s="91"/>
      <c r="BG882" s="91"/>
      <c r="BH882" s="91"/>
      <c r="BI882" s="91"/>
      <c r="BJ882" s="91"/>
      <c r="BK882" s="91"/>
      <c r="BL882" s="91"/>
      <c r="BM882" s="91"/>
      <c r="BN882" s="91"/>
      <c r="BO882" s="91"/>
      <c r="BP882" s="91"/>
      <c r="BQ882" s="91"/>
      <c r="BR882" s="91"/>
    </row>
    <row r="883" spans="1:70" ht="15.75" customHeight="1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  <c r="AU883" s="91"/>
      <c r="AV883" s="91"/>
      <c r="AW883" s="91"/>
      <c r="AX883" s="91"/>
      <c r="AY883" s="91"/>
      <c r="AZ883" s="91"/>
      <c r="BA883" s="91"/>
      <c r="BB883" s="91"/>
      <c r="BC883" s="91"/>
      <c r="BD883" s="91"/>
      <c r="BE883" s="91"/>
      <c r="BF883" s="91"/>
      <c r="BG883" s="91"/>
      <c r="BH883" s="91"/>
      <c r="BI883" s="91"/>
      <c r="BJ883" s="91"/>
      <c r="BK883" s="91"/>
      <c r="BL883" s="91"/>
      <c r="BM883" s="91"/>
      <c r="BN883" s="91"/>
      <c r="BO883" s="91"/>
      <c r="BP883" s="91"/>
      <c r="BQ883" s="91"/>
      <c r="BR883" s="91"/>
    </row>
    <row r="884" spans="1:70" ht="15.75" customHeight="1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  <c r="AU884" s="91"/>
      <c r="AV884" s="91"/>
      <c r="AW884" s="91"/>
      <c r="AX884" s="91"/>
      <c r="AY884" s="91"/>
      <c r="AZ884" s="91"/>
      <c r="BA884" s="91"/>
      <c r="BB884" s="91"/>
      <c r="BC884" s="91"/>
      <c r="BD884" s="91"/>
      <c r="BE884" s="91"/>
      <c r="BF884" s="91"/>
      <c r="BG884" s="91"/>
      <c r="BH884" s="91"/>
      <c r="BI884" s="91"/>
      <c r="BJ884" s="91"/>
      <c r="BK884" s="91"/>
      <c r="BL884" s="91"/>
      <c r="BM884" s="91"/>
      <c r="BN884" s="91"/>
      <c r="BO884" s="91"/>
      <c r="BP884" s="91"/>
      <c r="BQ884" s="91"/>
      <c r="BR884" s="91"/>
    </row>
    <row r="885" spans="1:70" ht="15.75" customHeight="1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  <c r="AU885" s="91"/>
      <c r="AV885" s="91"/>
      <c r="AW885" s="91"/>
      <c r="AX885" s="91"/>
      <c r="AY885" s="91"/>
      <c r="AZ885" s="91"/>
      <c r="BA885" s="91"/>
      <c r="BB885" s="91"/>
      <c r="BC885" s="91"/>
      <c r="BD885" s="91"/>
      <c r="BE885" s="91"/>
      <c r="BF885" s="91"/>
      <c r="BG885" s="91"/>
      <c r="BH885" s="91"/>
      <c r="BI885" s="91"/>
      <c r="BJ885" s="91"/>
      <c r="BK885" s="91"/>
      <c r="BL885" s="91"/>
      <c r="BM885" s="91"/>
      <c r="BN885" s="91"/>
      <c r="BO885" s="91"/>
      <c r="BP885" s="91"/>
      <c r="BQ885" s="91"/>
      <c r="BR885" s="91"/>
    </row>
    <row r="886" spans="1:70" ht="15.75" customHeight="1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  <c r="AU886" s="91"/>
      <c r="AV886" s="91"/>
      <c r="AW886" s="91"/>
      <c r="AX886" s="91"/>
      <c r="AY886" s="91"/>
      <c r="AZ886" s="91"/>
      <c r="BA886" s="91"/>
      <c r="BB886" s="91"/>
      <c r="BC886" s="91"/>
      <c r="BD886" s="91"/>
      <c r="BE886" s="91"/>
      <c r="BF886" s="91"/>
      <c r="BG886" s="91"/>
      <c r="BH886" s="91"/>
      <c r="BI886" s="91"/>
      <c r="BJ886" s="91"/>
      <c r="BK886" s="91"/>
      <c r="BL886" s="91"/>
      <c r="BM886" s="91"/>
      <c r="BN886" s="91"/>
      <c r="BO886" s="91"/>
      <c r="BP886" s="91"/>
      <c r="BQ886" s="91"/>
      <c r="BR886" s="91"/>
    </row>
    <row r="887" spans="1:70" ht="15.75" customHeight="1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  <c r="AU887" s="91"/>
      <c r="AV887" s="91"/>
      <c r="AW887" s="91"/>
      <c r="AX887" s="91"/>
      <c r="AY887" s="91"/>
      <c r="AZ887" s="91"/>
      <c r="BA887" s="91"/>
      <c r="BB887" s="91"/>
      <c r="BC887" s="91"/>
      <c r="BD887" s="91"/>
      <c r="BE887" s="91"/>
      <c r="BF887" s="91"/>
      <c r="BG887" s="91"/>
      <c r="BH887" s="91"/>
      <c r="BI887" s="91"/>
      <c r="BJ887" s="91"/>
      <c r="BK887" s="91"/>
      <c r="BL887" s="91"/>
      <c r="BM887" s="91"/>
      <c r="BN887" s="91"/>
      <c r="BO887" s="91"/>
      <c r="BP887" s="91"/>
      <c r="BQ887" s="91"/>
      <c r="BR887" s="91"/>
    </row>
    <row r="888" spans="1:70" ht="15.75" customHeight="1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  <c r="AU888" s="91"/>
      <c r="AV888" s="91"/>
      <c r="AW888" s="91"/>
      <c r="AX888" s="91"/>
      <c r="AY888" s="91"/>
      <c r="AZ888" s="91"/>
      <c r="BA888" s="91"/>
      <c r="BB888" s="91"/>
      <c r="BC888" s="91"/>
      <c r="BD888" s="91"/>
      <c r="BE888" s="91"/>
      <c r="BF888" s="91"/>
      <c r="BG888" s="91"/>
      <c r="BH888" s="91"/>
      <c r="BI888" s="91"/>
      <c r="BJ888" s="91"/>
      <c r="BK888" s="91"/>
      <c r="BL888" s="91"/>
      <c r="BM888" s="91"/>
      <c r="BN888" s="91"/>
      <c r="BO888" s="91"/>
      <c r="BP888" s="91"/>
      <c r="BQ888" s="91"/>
      <c r="BR888" s="91"/>
    </row>
    <row r="889" spans="1:70" ht="15.75" customHeight="1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  <c r="AU889" s="91"/>
      <c r="AV889" s="91"/>
      <c r="AW889" s="91"/>
      <c r="AX889" s="91"/>
      <c r="AY889" s="91"/>
      <c r="AZ889" s="91"/>
      <c r="BA889" s="91"/>
      <c r="BB889" s="91"/>
      <c r="BC889" s="91"/>
      <c r="BD889" s="91"/>
      <c r="BE889" s="91"/>
      <c r="BF889" s="91"/>
      <c r="BG889" s="91"/>
      <c r="BH889" s="91"/>
      <c r="BI889" s="91"/>
      <c r="BJ889" s="91"/>
      <c r="BK889" s="91"/>
      <c r="BL889" s="91"/>
      <c r="BM889" s="91"/>
      <c r="BN889" s="91"/>
      <c r="BO889" s="91"/>
      <c r="BP889" s="91"/>
      <c r="BQ889" s="91"/>
      <c r="BR889" s="91"/>
    </row>
    <row r="890" spans="1:70" ht="15.75" customHeight="1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  <c r="AU890" s="91"/>
      <c r="AV890" s="91"/>
      <c r="AW890" s="91"/>
      <c r="AX890" s="91"/>
      <c r="AY890" s="91"/>
      <c r="AZ890" s="91"/>
      <c r="BA890" s="91"/>
      <c r="BB890" s="91"/>
      <c r="BC890" s="91"/>
      <c r="BD890" s="91"/>
      <c r="BE890" s="91"/>
      <c r="BF890" s="91"/>
      <c r="BG890" s="91"/>
      <c r="BH890" s="91"/>
      <c r="BI890" s="91"/>
      <c r="BJ890" s="91"/>
      <c r="BK890" s="91"/>
      <c r="BL890" s="91"/>
      <c r="BM890" s="91"/>
      <c r="BN890" s="91"/>
      <c r="BO890" s="91"/>
      <c r="BP890" s="91"/>
      <c r="BQ890" s="91"/>
      <c r="BR890" s="91"/>
    </row>
    <row r="891" spans="1:70" ht="15.75" customHeight="1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  <c r="AU891" s="91"/>
      <c r="AV891" s="91"/>
      <c r="AW891" s="91"/>
      <c r="AX891" s="91"/>
      <c r="AY891" s="91"/>
      <c r="AZ891" s="91"/>
      <c r="BA891" s="91"/>
      <c r="BB891" s="91"/>
      <c r="BC891" s="91"/>
      <c r="BD891" s="91"/>
      <c r="BE891" s="91"/>
      <c r="BF891" s="91"/>
      <c r="BG891" s="91"/>
      <c r="BH891" s="91"/>
      <c r="BI891" s="91"/>
      <c r="BJ891" s="91"/>
      <c r="BK891" s="91"/>
      <c r="BL891" s="91"/>
      <c r="BM891" s="91"/>
      <c r="BN891" s="91"/>
      <c r="BO891" s="91"/>
      <c r="BP891" s="91"/>
      <c r="BQ891" s="91"/>
      <c r="BR891" s="91"/>
    </row>
    <row r="892" spans="1:70" ht="15.75" customHeight="1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  <c r="AU892" s="91"/>
      <c r="AV892" s="91"/>
      <c r="AW892" s="91"/>
      <c r="AX892" s="91"/>
      <c r="AY892" s="91"/>
      <c r="AZ892" s="91"/>
      <c r="BA892" s="91"/>
      <c r="BB892" s="91"/>
      <c r="BC892" s="91"/>
      <c r="BD892" s="91"/>
      <c r="BE892" s="91"/>
      <c r="BF892" s="91"/>
      <c r="BG892" s="91"/>
      <c r="BH892" s="91"/>
      <c r="BI892" s="91"/>
      <c r="BJ892" s="91"/>
      <c r="BK892" s="91"/>
      <c r="BL892" s="91"/>
      <c r="BM892" s="91"/>
      <c r="BN892" s="91"/>
      <c r="BO892" s="91"/>
      <c r="BP892" s="91"/>
      <c r="BQ892" s="91"/>
      <c r="BR892" s="91"/>
    </row>
    <row r="893" spans="1:70" ht="15.75" customHeight="1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  <c r="AU893" s="91"/>
      <c r="AV893" s="91"/>
      <c r="AW893" s="91"/>
      <c r="AX893" s="91"/>
      <c r="AY893" s="91"/>
      <c r="AZ893" s="91"/>
      <c r="BA893" s="91"/>
      <c r="BB893" s="91"/>
      <c r="BC893" s="91"/>
      <c r="BD893" s="91"/>
      <c r="BE893" s="91"/>
      <c r="BF893" s="91"/>
      <c r="BG893" s="91"/>
      <c r="BH893" s="91"/>
      <c r="BI893" s="91"/>
      <c r="BJ893" s="91"/>
      <c r="BK893" s="91"/>
      <c r="BL893" s="91"/>
      <c r="BM893" s="91"/>
      <c r="BN893" s="91"/>
      <c r="BO893" s="91"/>
      <c r="BP893" s="91"/>
      <c r="BQ893" s="91"/>
      <c r="BR893" s="91"/>
    </row>
    <row r="894" spans="1:70" ht="15.75" customHeight="1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  <c r="AU894" s="91"/>
      <c r="AV894" s="91"/>
      <c r="AW894" s="91"/>
      <c r="AX894" s="91"/>
      <c r="AY894" s="91"/>
      <c r="AZ894" s="91"/>
      <c r="BA894" s="91"/>
      <c r="BB894" s="91"/>
      <c r="BC894" s="91"/>
      <c r="BD894" s="91"/>
      <c r="BE894" s="91"/>
      <c r="BF894" s="91"/>
      <c r="BG894" s="91"/>
      <c r="BH894" s="91"/>
      <c r="BI894" s="91"/>
      <c r="BJ894" s="91"/>
      <c r="BK894" s="91"/>
      <c r="BL894" s="91"/>
      <c r="BM894" s="91"/>
      <c r="BN894" s="91"/>
      <c r="BO894" s="91"/>
      <c r="BP894" s="91"/>
      <c r="BQ894" s="91"/>
      <c r="BR894" s="91"/>
    </row>
    <row r="895" spans="1:70" ht="15.75" customHeight="1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  <c r="AU895" s="91"/>
      <c r="AV895" s="91"/>
      <c r="AW895" s="91"/>
      <c r="AX895" s="91"/>
      <c r="AY895" s="91"/>
      <c r="AZ895" s="91"/>
      <c r="BA895" s="91"/>
      <c r="BB895" s="91"/>
      <c r="BC895" s="91"/>
      <c r="BD895" s="91"/>
      <c r="BE895" s="91"/>
      <c r="BF895" s="91"/>
      <c r="BG895" s="91"/>
      <c r="BH895" s="91"/>
      <c r="BI895" s="91"/>
      <c r="BJ895" s="91"/>
      <c r="BK895" s="91"/>
      <c r="BL895" s="91"/>
      <c r="BM895" s="91"/>
      <c r="BN895" s="91"/>
      <c r="BO895" s="91"/>
      <c r="BP895" s="91"/>
      <c r="BQ895" s="91"/>
      <c r="BR895" s="91"/>
    </row>
    <row r="896" spans="1:70" ht="15.75" customHeight="1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  <c r="AU896" s="91"/>
      <c r="AV896" s="91"/>
      <c r="AW896" s="91"/>
      <c r="AX896" s="91"/>
      <c r="AY896" s="91"/>
      <c r="AZ896" s="91"/>
      <c r="BA896" s="91"/>
      <c r="BB896" s="91"/>
      <c r="BC896" s="91"/>
      <c r="BD896" s="91"/>
      <c r="BE896" s="91"/>
      <c r="BF896" s="91"/>
      <c r="BG896" s="91"/>
      <c r="BH896" s="91"/>
      <c r="BI896" s="91"/>
      <c r="BJ896" s="91"/>
      <c r="BK896" s="91"/>
      <c r="BL896" s="91"/>
      <c r="BM896" s="91"/>
      <c r="BN896" s="91"/>
      <c r="BO896" s="91"/>
      <c r="BP896" s="91"/>
      <c r="BQ896" s="91"/>
      <c r="BR896" s="91"/>
    </row>
    <row r="897" spans="1:70" ht="15.75" customHeight="1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  <c r="AU897" s="91"/>
      <c r="AV897" s="91"/>
      <c r="AW897" s="91"/>
      <c r="AX897" s="91"/>
      <c r="AY897" s="91"/>
      <c r="AZ897" s="91"/>
      <c r="BA897" s="91"/>
      <c r="BB897" s="91"/>
      <c r="BC897" s="91"/>
      <c r="BD897" s="91"/>
      <c r="BE897" s="91"/>
      <c r="BF897" s="91"/>
      <c r="BG897" s="91"/>
      <c r="BH897" s="91"/>
      <c r="BI897" s="91"/>
      <c r="BJ897" s="91"/>
      <c r="BK897" s="91"/>
      <c r="BL897" s="91"/>
      <c r="BM897" s="91"/>
      <c r="BN897" s="91"/>
      <c r="BO897" s="91"/>
      <c r="BP897" s="91"/>
      <c r="BQ897" s="91"/>
      <c r="BR897" s="91"/>
    </row>
    <row r="898" spans="1:70" ht="15.75" customHeight="1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  <c r="AU898" s="91"/>
      <c r="AV898" s="91"/>
      <c r="AW898" s="91"/>
      <c r="AX898" s="91"/>
      <c r="AY898" s="91"/>
      <c r="AZ898" s="91"/>
      <c r="BA898" s="91"/>
      <c r="BB898" s="91"/>
      <c r="BC898" s="91"/>
      <c r="BD898" s="91"/>
      <c r="BE898" s="91"/>
      <c r="BF898" s="91"/>
      <c r="BG898" s="91"/>
      <c r="BH898" s="91"/>
      <c r="BI898" s="91"/>
      <c r="BJ898" s="91"/>
      <c r="BK898" s="91"/>
      <c r="BL898" s="91"/>
      <c r="BM898" s="91"/>
      <c r="BN898" s="91"/>
      <c r="BO898" s="91"/>
      <c r="BP898" s="91"/>
      <c r="BQ898" s="91"/>
      <c r="BR898" s="91"/>
    </row>
    <row r="899" spans="1:70" ht="15.75" customHeight="1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  <c r="AU899" s="91"/>
      <c r="AV899" s="91"/>
      <c r="AW899" s="91"/>
      <c r="AX899" s="91"/>
      <c r="AY899" s="91"/>
      <c r="AZ899" s="91"/>
      <c r="BA899" s="91"/>
      <c r="BB899" s="91"/>
      <c r="BC899" s="91"/>
      <c r="BD899" s="91"/>
      <c r="BE899" s="91"/>
      <c r="BF899" s="91"/>
      <c r="BG899" s="91"/>
      <c r="BH899" s="91"/>
      <c r="BI899" s="91"/>
      <c r="BJ899" s="91"/>
      <c r="BK899" s="91"/>
      <c r="BL899" s="91"/>
      <c r="BM899" s="91"/>
      <c r="BN899" s="91"/>
      <c r="BO899" s="91"/>
      <c r="BP899" s="91"/>
      <c r="BQ899" s="91"/>
      <c r="BR899" s="91"/>
    </row>
    <row r="900" spans="1:70" ht="15.75" customHeight="1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  <c r="AU900" s="91"/>
      <c r="AV900" s="91"/>
      <c r="AW900" s="91"/>
      <c r="AX900" s="91"/>
      <c r="AY900" s="91"/>
      <c r="AZ900" s="91"/>
      <c r="BA900" s="91"/>
      <c r="BB900" s="91"/>
      <c r="BC900" s="91"/>
      <c r="BD900" s="91"/>
      <c r="BE900" s="91"/>
      <c r="BF900" s="91"/>
      <c r="BG900" s="91"/>
      <c r="BH900" s="91"/>
      <c r="BI900" s="91"/>
      <c r="BJ900" s="91"/>
      <c r="BK900" s="91"/>
      <c r="BL900" s="91"/>
      <c r="BM900" s="91"/>
      <c r="BN900" s="91"/>
      <c r="BO900" s="91"/>
      <c r="BP900" s="91"/>
      <c r="BQ900" s="91"/>
      <c r="BR900" s="91"/>
    </row>
    <row r="901" spans="1:70" ht="15.75" customHeight="1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  <c r="AU901" s="91"/>
      <c r="AV901" s="91"/>
      <c r="AW901" s="91"/>
      <c r="AX901" s="91"/>
      <c r="AY901" s="91"/>
      <c r="AZ901" s="91"/>
      <c r="BA901" s="91"/>
      <c r="BB901" s="91"/>
      <c r="BC901" s="91"/>
      <c r="BD901" s="91"/>
      <c r="BE901" s="91"/>
      <c r="BF901" s="91"/>
      <c r="BG901" s="91"/>
      <c r="BH901" s="91"/>
      <c r="BI901" s="91"/>
      <c r="BJ901" s="91"/>
      <c r="BK901" s="91"/>
      <c r="BL901" s="91"/>
      <c r="BM901" s="91"/>
      <c r="BN901" s="91"/>
      <c r="BO901" s="91"/>
      <c r="BP901" s="91"/>
      <c r="BQ901" s="91"/>
      <c r="BR901" s="91"/>
    </row>
    <row r="902" spans="1:70" ht="15.75" customHeight="1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  <c r="AU902" s="91"/>
      <c r="AV902" s="91"/>
      <c r="AW902" s="91"/>
      <c r="AX902" s="91"/>
      <c r="AY902" s="91"/>
      <c r="AZ902" s="91"/>
      <c r="BA902" s="91"/>
      <c r="BB902" s="91"/>
      <c r="BC902" s="91"/>
      <c r="BD902" s="91"/>
      <c r="BE902" s="91"/>
      <c r="BF902" s="91"/>
      <c r="BG902" s="91"/>
      <c r="BH902" s="91"/>
      <c r="BI902" s="91"/>
      <c r="BJ902" s="91"/>
      <c r="BK902" s="91"/>
      <c r="BL902" s="91"/>
      <c r="BM902" s="91"/>
      <c r="BN902" s="91"/>
      <c r="BO902" s="91"/>
      <c r="BP902" s="91"/>
      <c r="BQ902" s="91"/>
      <c r="BR902" s="91"/>
    </row>
    <row r="903" spans="1:70" ht="15.75" customHeight="1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  <c r="AU903" s="91"/>
      <c r="AV903" s="91"/>
      <c r="AW903" s="91"/>
      <c r="AX903" s="91"/>
      <c r="AY903" s="91"/>
      <c r="AZ903" s="91"/>
      <c r="BA903" s="91"/>
      <c r="BB903" s="91"/>
      <c r="BC903" s="91"/>
      <c r="BD903" s="91"/>
      <c r="BE903" s="91"/>
      <c r="BF903" s="91"/>
      <c r="BG903" s="91"/>
      <c r="BH903" s="91"/>
      <c r="BI903" s="91"/>
      <c r="BJ903" s="91"/>
      <c r="BK903" s="91"/>
      <c r="BL903" s="91"/>
      <c r="BM903" s="91"/>
      <c r="BN903" s="91"/>
      <c r="BO903" s="91"/>
      <c r="BP903" s="91"/>
      <c r="BQ903" s="91"/>
      <c r="BR903" s="91"/>
    </row>
    <row r="904" spans="1:70" ht="15.75" customHeight="1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  <c r="AU904" s="91"/>
      <c r="AV904" s="91"/>
      <c r="AW904" s="91"/>
      <c r="AX904" s="91"/>
      <c r="AY904" s="91"/>
      <c r="AZ904" s="91"/>
      <c r="BA904" s="91"/>
      <c r="BB904" s="91"/>
      <c r="BC904" s="91"/>
      <c r="BD904" s="91"/>
      <c r="BE904" s="91"/>
      <c r="BF904" s="91"/>
      <c r="BG904" s="91"/>
      <c r="BH904" s="91"/>
      <c r="BI904" s="91"/>
      <c r="BJ904" s="91"/>
      <c r="BK904" s="91"/>
      <c r="BL904" s="91"/>
      <c r="BM904" s="91"/>
      <c r="BN904" s="91"/>
      <c r="BO904" s="91"/>
      <c r="BP904" s="91"/>
      <c r="BQ904" s="91"/>
      <c r="BR904" s="91"/>
    </row>
    <row r="905" spans="1:70" ht="15.75" customHeight="1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  <c r="AU905" s="91"/>
      <c r="AV905" s="91"/>
      <c r="AW905" s="91"/>
      <c r="AX905" s="91"/>
      <c r="AY905" s="91"/>
      <c r="AZ905" s="91"/>
      <c r="BA905" s="91"/>
      <c r="BB905" s="91"/>
      <c r="BC905" s="91"/>
      <c r="BD905" s="91"/>
      <c r="BE905" s="91"/>
      <c r="BF905" s="91"/>
      <c r="BG905" s="91"/>
      <c r="BH905" s="91"/>
      <c r="BI905" s="91"/>
      <c r="BJ905" s="91"/>
      <c r="BK905" s="91"/>
      <c r="BL905" s="91"/>
      <c r="BM905" s="91"/>
      <c r="BN905" s="91"/>
      <c r="BO905" s="91"/>
      <c r="BP905" s="91"/>
      <c r="BQ905" s="91"/>
      <c r="BR905" s="91"/>
    </row>
    <row r="906" spans="1:70" ht="15.75" customHeight="1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  <c r="AU906" s="91"/>
      <c r="AV906" s="91"/>
      <c r="AW906" s="91"/>
      <c r="AX906" s="91"/>
      <c r="AY906" s="91"/>
      <c r="AZ906" s="91"/>
      <c r="BA906" s="91"/>
      <c r="BB906" s="91"/>
      <c r="BC906" s="91"/>
      <c r="BD906" s="91"/>
      <c r="BE906" s="91"/>
      <c r="BF906" s="91"/>
      <c r="BG906" s="91"/>
      <c r="BH906" s="91"/>
      <c r="BI906" s="91"/>
      <c r="BJ906" s="91"/>
      <c r="BK906" s="91"/>
      <c r="BL906" s="91"/>
      <c r="BM906" s="91"/>
      <c r="BN906" s="91"/>
      <c r="BO906" s="91"/>
      <c r="BP906" s="91"/>
      <c r="BQ906" s="91"/>
      <c r="BR906" s="91"/>
    </row>
    <row r="907" spans="1:70" ht="15.75" customHeight="1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  <c r="AU907" s="91"/>
      <c r="AV907" s="91"/>
      <c r="AW907" s="91"/>
      <c r="AX907" s="91"/>
      <c r="AY907" s="91"/>
      <c r="AZ907" s="91"/>
      <c r="BA907" s="91"/>
      <c r="BB907" s="91"/>
      <c r="BC907" s="91"/>
      <c r="BD907" s="91"/>
      <c r="BE907" s="91"/>
      <c r="BF907" s="91"/>
      <c r="BG907" s="91"/>
      <c r="BH907" s="91"/>
      <c r="BI907" s="91"/>
      <c r="BJ907" s="91"/>
      <c r="BK907" s="91"/>
      <c r="BL907" s="91"/>
      <c r="BM907" s="91"/>
      <c r="BN907" s="91"/>
      <c r="BO907" s="91"/>
      <c r="BP907" s="91"/>
      <c r="BQ907" s="91"/>
      <c r="BR907" s="91"/>
    </row>
    <row r="908" spans="1:70" ht="15.75" customHeight="1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  <c r="AU908" s="91"/>
      <c r="AV908" s="91"/>
      <c r="AW908" s="91"/>
      <c r="AX908" s="91"/>
      <c r="AY908" s="91"/>
      <c r="AZ908" s="91"/>
      <c r="BA908" s="91"/>
      <c r="BB908" s="91"/>
      <c r="BC908" s="91"/>
      <c r="BD908" s="91"/>
      <c r="BE908" s="91"/>
      <c r="BF908" s="91"/>
      <c r="BG908" s="91"/>
      <c r="BH908" s="91"/>
      <c r="BI908" s="91"/>
      <c r="BJ908" s="91"/>
      <c r="BK908" s="91"/>
      <c r="BL908" s="91"/>
      <c r="BM908" s="91"/>
      <c r="BN908" s="91"/>
      <c r="BO908" s="91"/>
      <c r="BP908" s="91"/>
      <c r="BQ908" s="91"/>
      <c r="BR908" s="91"/>
    </row>
    <row r="909" spans="1:70" ht="15.75" customHeight="1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  <c r="AU909" s="91"/>
      <c r="AV909" s="91"/>
      <c r="AW909" s="91"/>
      <c r="AX909" s="91"/>
      <c r="AY909" s="91"/>
      <c r="AZ909" s="91"/>
      <c r="BA909" s="91"/>
      <c r="BB909" s="91"/>
      <c r="BC909" s="91"/>
      <c r="BD909" s="91"/>
      <c r="BE909" s="91"/>
      <c r="BF909" s="91"/>
      <c r="BG909" s="91"/>
      <c r="BH909" s="91"/>
      <c r="BI909" s="91"/>
      <c r="BJ909" s="91"/>
      <c r="BK909" s="91"/>
      <c r="BL909" s="91"/>
      <c r="BM909" s="91"/>
      <c r="BN909" s="91"/>
      <c r="BO909" s="91"/>
      <c r="BP909" s="91"/>
      <c r="BQ909" s="91"/>
      <c r="BR909" s="91"/>
    </row>
    <row r="910" spans="1:70" ht="15.75" customHeight="1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  <c r="AU910" s="91"/>
      <c r="AV910" s="91"/>
      <c r="AW910" s="91"/>
      <c r="AX910" s="91"/>
      <c r="AY910" s="91"/>
      <c r="AZ910" s="91"/>
      <c r="BA910" s="91"/>
      <c r="BB910" s="91"/>
      <c r="BC910" s="91"/>
      <c r="BD910" s="91"/>
      <c r="BE910" s="91"/>
      <c r="BF910" s="91"/>
      <c r="BG910" s="91"/>
      <c r="BH910" s="91"/>
      <c r="BI910" s="91"/>
      <c r="BJ910" s="91"/>
      <c r="BK910" s="91"/>
      <c r="BL910" s="91"/>
      <c r="BM910" s="91"/>
      <c r="BN910" s="91"/>
      <c r="BO910" s="91"/>
      <c r="BP910" s="91"/>
      <c r="BQ910" s="91"/>
      <c r="BR910" s="91"/>
    </row>
    <row r="911" spans="1:70" ht="15.75" customHeight="1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  <c r="AU911" s="91"/>
      <c r="AV911" s="91"/>
      <c r="AW911" s="91"/>
      <c r="AX911" s="91"/>
      <c r="AY911" s="91"/>
      <c r="AZ911" s="91"/>
      <c r="BA911" s="91"/>
      <c r="BB911" s="91"/>
      <c r="BC911" s="91"/>
      <c r="BD911" s="91"/>
      <c r="BE911" s="91"/>
      <c r="BF911" s="91"/>
      <c r="BG911" s="91"/>
      <c r="BH911" s="91"/>
      <c r="BI911" s="91"/>
      <c r="BJ911" s="91"/>
      <c r="BK911" s="91"/>
      <c r="BL911" s="91"/>
      <c r="BM911" s="91"/>
      <c r="BN911" s="91"/>
      <c r="BO911" s="91"/>
      <c r="BP911" s="91"/>
      <c r="BQ911" s="91"/>
      <c r="BR911" s="91"/>
    </row>
    <row r="912" spans="1:70" ht="15.75" customHeight="1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  <c r="AU912" s="91"/>
      <c r="AV912" s="91"/>
      <c r="AW912" s="91"/>
      <c r="AX912" s="91"/>
      <c r="AY912" s="91"/>
      <c r="AZ912" s="91"/>
      <c r="BA912" s="91"/>
      <c r="BB912" s="91"/>
      <c r="BC912" s="91"/>
      <c r="BD912" s="91"/>
      <c r="BE912" s="91"/>
      <c r="BF912" s="91"/>
      <c r="BG912" s="91"/>
      <c r="BH912" s="91"/>
      <c r="BI912" s="91"/>
      <c r="BJ912" s="91"/>
      <c r="BK912" s="91"/>
      <c r="BL912" s="91"/>
      <c r="BM912" s="91"/>
      <c r="BN912" s="91"/>
      <c r="BO912" s="91"/>
      <c r="BP912" s="91"/>
      <c r="BQ912" s="91"/>
      <c r="BR912" s="91"/>
    </row>
    <row r="913" spans="1:70" ht="15.75" customHeight="1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  <c r="AU913" s="91"/>
      <c r="AV913" s="91"/>
      <c r="AW913" s="91"/>
      <c r="AX913" s="91"/>
      <c r="AY913" s="91"/>
      <c r="AZ913" s="91"/>
      <c r="BA913" s="91"/>
      <c r="BB913" s="91"/>
      <c r="BC913" s="91"/>
      <c r="BD913" s="91"/>
      <c r="BE913" s="91"/>
      <c r="BF913" s="91"/>
      <c r="BG913" s="91"/>
      <c r="BH913" s="91"/>
      <c r="BI913" s="91"/>
      <c r="BJ913" s="91"/>
      <c r="BK913" s="91"/>
      <c r="BL913" s="91"/>
      <c r="BM913" s="91"/>
      <c r="BN913" s="91"/>
      <c r="BO913" s="91"/>
      <c r="BP913" s="91"/>
      <c r="BQ913" s="91"/>
      <c r="BR913" s="91"/>
    </row>
    <row r="914" spans="1:70" ht="15.75" customHeight="1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  <c r="AU914" s="91"/>
      <c r="AV914" s="91"/>
      <c r="AW914" s="91"/>
      <c r="AX914" s="91"/>
      <c r="AY914" s="91"/>
      <c r="AZ914" s="91"/>
      <c r="BA914" s="91"/>
      <c r="BB914" s="91"/>
      <c r="BC914" s="91"/>
      <c r="BD914" s="91"/>
      <c r="BE914" s="91"/>
      <c r="BF914" s="91"/>
      <c r="BG914" s="91"/>
      <c r="BH914" s="91"/>
      <c r="BI914" s="91"/>
      <c r="BJ914" s="91"/>
      <c r="BK914" s="91"/>
      <c r="BL914" s="91"/>
      <c r="BM914" s="91"/>
      <c r="BN914" s="91"/>
      <c r="BO914" s="91"/>
      <c r="BP914" s="91"/>
      <c r="BQ914" s="91"/>
      <c r="BR914" s="91"/>
    </row>
    <row r="915" spans="1:70" ht="15.75" customHeight="1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  <c r="AU915" s="91"/>
      <c r="AV915" s="91"/>
      <c r="AW915" s="91"/>
      <c r="AX915" s="91"/>
      <c r="AY915" s="91"/>
      <c r="AZ915" s="91"/>
      <c r="BA915" s="91"/>
      <c r="BB915" s="91"/>
      <c r="BC915" s="91"/>
      <c r="BD915" s="91"/>
      <c r="BE915" s="91"/>
      <c r="BF915" s="91"/>
      <c r="BG915" s="91"/>
      <c r="BH915" s="91"/>
      <c r="BI915" s="91"/>
      <c r="BJ915" s="91"/>
      <c r="BK915" s="91"/>
      <c r="BL915" s="91"/>
      <c r="BM915" s="91"/>
      <c r="BN915" s="91"/>
      <c r="BO915" s="91"/>
      <c r="BP915" s="91"/>
      <c r="BQ915" s="91"/>
      <c r="BR915" s="91"/>
    </row>
    <row r="916" spans="1:70" ht="15.75" customHeight="1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  <c r="AU916" s="91"/>
      <c r="AV916" s="91"/>
      <c r="AW916" s="91"/>
      <c r="AX916" s="91"/>
      <c r="AY916" s="91"/>
      <c r="AZ916" s="91"/>
      <c r="BA916" s="91"/>
      <c r="BB916" s="91"/>
      <c r="BC916" s="91"/>
      <c r="BD916" s="91"/>
      <c r="BE916" s="91"/>
      <c r="BF916" s="91"/>
      <c r="BG916" s="91"/>
      <c r="BH916" s="91"/>
      <c r="BI916" s="91"/>
      <c r="BJ916" s="91"/>
      <c r="BK916" s="91"/>
      <c r="BL916" s="91"/>
      <c r="BM916" s="91"/>
      <c r="BN916" s="91"/>
      <c r="BO916" s="91"/>
      <c r="BP916" s="91"/>
      <c r="BQ916" s="91"/>
      <c r="BR916" s="91"/>
    </row>
    <row r="917" spans="1:70" ht="15.75" customHeight="1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  <c r="AU917" s="91"/>
      <c r="AV917" s="91"/>
      <c r="AW917" s="91"/>
      <c r="AX917" s="91"/>
      <c r="AY917" s="91"/>
      <c r="AZ917" s="91"/>
      <c r="BA917" s="91"/>
      <c r="BB917" s="91"/>
      <c r="BC917" s="91"/>
      <c r="BD917" s="91"/>
      <c r="BE917" s="91"/>
      <c r="BF917" s="91"/>
      <c r="BG917" s="91"/>
      <c r="BH917" s="91"/>
      <c r="BI917" s="91"/>
      <c r="BJ917" s="91"/>
      <c r="BK917" s="91"/>
      <c r="BL917" s="91"/>
      <c r="BM917" s="91"/>
      <c r="BN917" s="91"/>
      <c r="BO917" s="91"/>
      <c r="BP917" s="91"/>
      <c r="BQ917" s="91"/>
      <c r="BR917" s="91"/>
    </row>
    <row r="918" spans="1:70" ht="15.75" customHeight="1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  <c r="AU918" s="91"/>
      <c r="AV918" s="91"/>
      <c r="AW918" s="91"/>
      <c r="AX918" s="91"/>
      <c r="AY918" s="91"/>
      <c r="AZ918" s="91"/>
      <c r="BA918" s="91"/>
      <c r="BB918" s="91"/>
      <c r="BC918" s="91"/>
      <c r="BD918" s="91"/>
      <c r="BE918" s="91"/>
      <c r="BF918" s="91"/>
      <c r="BG918" s="91"/>
      <c r="BH918" s="91"/>
      <c r="BI918" s="91"/>
      <c r="BJ918" s="91"/>
      <c r="BK918" s="91"/>
      <c r="BL918" s="91"/>
      <c r="BM918" s="91"/>
      <c r="BN918" s="91"/>
      <c r="BO918" s="91"/>
      <c r="BP918" s="91"/>
      <c r="BQ918" s="91"/>
      <c r="BR918" s="91"/>
    </row>
    <row r="919" spans="1:70" ht="15.75" customHeight="1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  <c r="AU919" s="91"/>
      <c r="AV919" s="91"/>
      <c r="AW919" s="91"/>
      <c r="AX919" s="91"/>
      <c r="AY919" s="91"/>
      <c r="AZ919" s="91"/>
      <c r="BA919" s="91"/>
      <c r="BB919" s="91"/>
      <c r="BC919" s="91"/>
      <c r="BD919" s="91"/>
      <c r="BE919" s="91"/>
      <c r="BF919" s="91"/>
      <c r="BG919" s="91"/>
      <c r="BH919" s="91"/>
      <c r="BI919" s="91"/>
      <c r="BJ919" s="91"/>
      <c r="BK919" s="91"/>
      <c r="BL919" s="91"/>
      <c r="BM919" s="91"/>
      <c r="BN919" s="91"/>
      <c r="BO919" s="91"/>
      <c r="BP919" s="91"/>
      <c r="BQ919" s="91"/>
      <c r="BR919" s="91"/>
    </row>
    <row r="920" spans="1:70" ht="15.75" customHeight="1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  <c r="AU920" s="91"/>
      <c r="AV920" s="91"/>
      <c r="AW920" s="91"/>
      <c r="AX920" s="91"/>
      <c r="AY920" s="91"/>
      <c r="AZ920" s="91"/>
      <c r="BA920" s="91"/>
      <c r="BB920" s="91"/>
      <c r="BC920" s="91"/>
      <c r="BD920" s="91"/>
      <c r="BE920" s="91"/>
      <c r="BF920" s="91"/>
      <c r="BG920" s="91"/>
      <c r="BH920" s="91"/>
      <c r="BI920" s="91"/>
      <c r="BJ920" s="91"/>
      <c r="BK920" s="91"/>
      <c r="BL920" s="91"/>
      <c r="BM920" s="91"/>
      <c r="BN920" s="91"/>
      <c r="BO920" s="91"/>
      <c r="BP920" s="91"/>
      <c r="BQ920" s="91"/>
      <c r="BR920" s="91"/>
    </row>
    <row r="921" spans="1:70" ht="15.75" customHeight="1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  <c r="AU921" s="91"/>
      <c r="AV921" s="91"/>
      <c r="AW921" s="91"/>
      <c r="AX921" s="91"/>
      <c r="AY921" s="91"/>
      <c r="AZ921" s="91"/>
      <c r="BA921" s="91"/>
      <c r="BB921" s="91"/>
      <c r="BC921" s="91"/>
      <c r="BD921" s="91"/>
      <c r="BE921" s="91"/>
      <c r="BF921" s="91"/>
      <c r="BG921" s="91"/>
      <c r="BH921" s="91"/>
      <c r="BI921" s="91"/>
      <c r="BJ921" s="91"/>
      <c r="BK921" s="91"/>
      <c r="BL921" s="91"/>
      <c r="BM921" s="91"/>
      <c r="BN921" s="91"/>
      <c r="BO921" s="91"/>
      <c r="BP921" s="91"/>
      <c r="BQ921" s="91"/>
      <c r="BR921" s="91"/>
    </row>
    <row r="922" spans="1:70" ht="15.75" customHeight="1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  <c r="AU922" s="91"/>
      <c r="AV922" s="91"/>
      <c r="AW922" s="91"/>
      <c r="AX922" s="91"/>
      <c r="AY922" s="91"/>
      <c r="AZ922" s="91"/>
      <c r="BA922" s="91"/>
      <c r="BB922" s="91"/>
      <c r="BC922" s="91"/>
      <c r="BD922" s="91"/>
      <c r="BE922" s="91"/>
      <c r="BF922" s="91"/>
      <c r="BG922" s="91"/>
      <c r="BH922" s="91"/>
      <c r="BI922" s="91"/>
      <c r="BJ922" s="91"/>
      <c r="BK922" s="91"/>
      <c r="BL922" s="91"/>
      <c r="BM922" s="91"/>
      <c r="BN922" s="91"/>
      <c r="BO922" s="91"/>
      <c r="BP922" s="91"/>
      <c r="BQ922" s="91"/>
      <c r="BR922" s="91"/>
    </row>
    <row r="923" spans="1:70" ht="15.75" customHeight="1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  <c r="AU923" s="91"/>
      <c r="AV923" s="91"/>
      <c r="AW923" s="91"/>
      <c r="AX923" s="91"/>
      <c r="AY923" s="91"/>
      <c r="AZ923" s="91"/>
      <c r="BA923" s="91"/>
      <c r="BB923" s="91"/>
      <c r="BC923" s="91"/>
      <c r="BD923" s="91"/>
      <c r="BE923" s="91"/>
      <c r="BF923" s="91"/>
      <c r="BG923" s="91"/>
      <c r="BH923" s="91"/>
      <c r="BI923" s="91"/>
      <c r="BJ923" s="91"/>
      <c r="BK923" s="91"/>
      <c r="BL923" s="91"/>
      <c r="BM923" s="91"/>
      <c r="BN923" s="91"/>
      <c r="BO923" s="91"/>
      <c r="BP923" s="91"/>
      <c r="BQ923" s="91"/>
      <c r="BR923" s="91"/>
    </row>
    <row r="924" spans="1:70" ht="15.75" customHeight="1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  <c r="AU924" s="91"/>
      <c r="AV924" s="91"/>
      <c r="AW924" s="91"/>
      <c r="AX924" s="91"/>
      <c r="AY924" s="91"/>
      <c r="AZ924" s="91"/>
      <c r="BA924" s="91"/>
      <c r="BB924" s="91"/>
      <c r="BC924" s="91"/>
      <c r="BD924" s="91"/>
      <c r="BE924" s="91"/>
      <c r="BF924" s="91"/>
      <c r="BG924" s="91"/>
      <c r="BH924" s="91"/>
      <c r="BI924" s="91"/>
      <c r="BJ924" s="91"/>
      <c r="BK924" s="91"/>
      <c r="BL924" s="91"/>
      <c r="BM924" s="91"/>
      <c r="BN924" s="91"/>
      <c r="BO924" s="91"/>
      <c r="BP924" s="91"/>
      <c r="BQ924" s="91"/>
      <c r="BR924" s="91"/>
    </row>
    <row r="925" spans="1:70" ht="15.75" customHeight="1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  <c r="AU925" s="91"/>
      <c r="AV925" s="91"/>
      <c r="AW925" s="91"/>
      <c r="AX925" s="91"/>
      <c r="AY925" s="91"/>
      <c r="AZ925" s="91"/>
      <c r="BA925" s="91"/>
      <c r="BB925" s="91"/>
      <c r="BC925" s="91"/>
      <c r="BD925" s="91"/>
      <c r="BE925" s="91"/>
      <c r="BF925" s="91"/>
      <c r="BG925" s="91"/>
      <c r="BH925" s="91"/>
      <c r="BI925" s="91"/>
      <c r="BJ925" s="91"/>
      <c r="BK925" s="91"/>
      <c r="BL925" s="91"/>
      <c r="BM925" s="91"/>
      <c r="BN925" s="91"/>
      <c r="BO925" s="91"/>
      <c r="BP925" s="91"/>
      <c r="BQ925" s="91"/>
      <c r="BR925" s="91"/>
    </row>
    <row r="926" spans="1:70" ht="15.75" customHeight="1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  <c r="AU926" s="91"/>
      <c r="AV926" s="91"/>
      <c r="AW926" s="91"/>
      <c r="AX926" s="91"/>
      <c r="AY926" s="91"/>
      <c r="AZ926" s="91"/>
      <c r="BA926" s="91"/>
      <c r="BB926" s="91"/>
      <c r="BC926" s="91"/>
      <c r="BD926" s="91"/>
      <c r="BE926" s="91"/>
      <c r="BF926" s="91"/>
      <c r="BG926" s="91"/>
      <c r="BH926" s="91"/>
      <c r="BI926" s="91"/>
      <c r="BJ926" s="91"/>
      <c r="BK926" s="91"/>
      <c r="BL926" s="91"/>
      <c r="BM926" s="91"/>
      <c r="BN926" s="91"/>
      <c r="BO926" s="91"/>
      <c r="BP926" s="91"/>
      <c r="BQ926" s="91"/>
      <c r="BR926" s="91"/>
    </row>
    <row r="927" spans="1:70" ht="15.75" customHeight="1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  <c r="AU927" s="91"/>
      <c r="AV927" s="91"/>
      <c r="AW927" s="91"/>
      <c r="AX927" s="91"/>
      <c r="AY927" s="91"/>
      <c r="AZ927" s="91"/>
      <c r="BA927" s="91"/>
      <c r="BB927" s="91"/>
      <c r="BC927" s="91"/>
      <c r="BD927" s="91"/>
      <c r="BE927" s="91"/>
      <c r="BF927" s="91"/>
      <c r="BG927" s="91"/>
      <c r="BH927" s="91"/>
      <c r="BI927" s="91"/>
      <c r="BJ927" s="91"/>
      <c r="BK927" s="91"/>
      <c r="BL927" s="91"/>
      <c r="BM927" s="91"/>
      <c r="BN927" s="91"/>
      <c r="BO927" s="91"/>
      <c r="BP927" s="91"/>
      <c r="BQ927" s="91"/>
      <c r="BR927" s="91"/>
    </row>
    <row r="928" spans="1:70" ht="15.75" customHeight="1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  <c r="AU928" s="91"/>
      <c r="AV928" s="91"/>
      <c r="AW928" s="91"/>
      <c r="AX928" s="91"/>
      <c r="AY928" s="91"/>
      <c r="AZ928" s="91"/>
      <c r="BA928" s="91"/>
      <c r="BB928" s="91"/>
      <c r="BC928" s="91"/>
      <c r="BD928" s="91"/>
      <c r="BE928" s="91"/>
      <c r="BF928" s="91"/>
      <c r="BG928" s="91"/>
      <c r="BH928" s="91"/>
      <c r="BI928" s="91"/>
      <c r="BJ928" s="91"/>
      <c r="BK928" s="91"/>
      <c r="BL928" s="91"/>
      <c r="BM928" s="91"/>
      <c r="BN928" s="91"/>
      <c r="BO928" s="91"/>
      <c r="BP928" s="91"/>
      <c r="BQ928" s="91"/>
      <c r="BR928" s="91"/>
    </row>
    <row r="929" spans="1:70" ht="15.75" customHeight="1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  <c r="AU929" s="91"/>
      <c r="AV929" s="91"/>
      <c r="AW929" s="91"/>
      <c r="AX929" s="91"/>
      <c r="AY929" s="91"/>
      <c r="AZ929" s="91"/>
      <c r="BA929" s="91"/>
      <c r="BB929" s="91"/>
      <c r="BC929" s="91"/>
      <c r="BD929" s="91"/>
      <c r="BE929" s="91"/>
      <c r="BF929" s="91"/>
      <c r="BG929" s="91"/>
      <c r="BH929" s="91"/>
      <c r="BI929" s="91"/>
      <c r="BJ929" s="91"/>
      <c r="BK929" s="91"/>
      <c r="BL929" s="91"/>
      <c r="BM929" s="91"/>
      <c r="BN929" s="91"/>
      <c r="BO929" s="91"/>
      <c r="BP929" s="91"/>
      <c r="BQ929" s="91"/>
      <c r="BR929" s="91"/>
    </row>
    <row r="930" spans="1:70" ht="15.75" customHeight="1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  <c r="AU930" s="91"/>
      <c r="AV930" s="91"/>
      <c r="AW930" s="91"/>
      <c r="AX930" s="91"/>
      <c r="AY930" s="91"/>
      <c r="AZ930" s="91"/>
      <c r="BA930" s="91"/>
      <c r="BB930" s="91"/>
      <c r="BC930" s="91"/>
      <c r="BD930" s="91"/>
      <c r="BE930" s="91"/>
      <c r="BF930" s="91"/>
      <c r="BG930" s="91"/>
      <c r="BH930" s="91"/>
      <c r="BI930" s="91"/>
      <c r="BJ930" s="91"/>
      <c r="BK930" s="91"/>
      <c r="BL930" s="91"/>
      <c r="BM930" s="91"/>
      <c r="BN930" s="91"/>
      <c r="BO930" s="91"/>
      <c r="BP930" s="91"/>
      <c r="BQ930" s="91"/>
      <c r="BR930" s="91"/>
    </row>
    <row r="931" spans="1:70" ht="15.75" customHeight="1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  <c r="AU931" s="91"/>
      <c r="AV931" s="91"/>
      <c r="AW931" s="91"/>
      <c r="AX931" s="91"/>
      <c r="AY931" s="91"/>
      <c r="AZ931" s="91"/>
      <c r="BA931" s="91"/>
      <c r="BB931" s="91"/>
      <c r="BC931" s="91"/>
      <c r="BD931" s="91"/>
      <c r="BE931" s="91"/>
      <c r="BF931" s="91"/>
      <c r="BG931" s="91"/>
      <c r="BH931" s="91"/>
      <c r="BI931" s="91"/>
      <c r="BJ931" s="91"/>
      <c r="BK931" s="91"/>
      <c r="BL931" s="91"/>
      <c r="BM931" s="91"/>
      <c r="BN931" s="91"/>
      <c r="BO931" s="91"/>
      <c r="BP931" s="91"/>
      <c r="BQ931" s="91"/>
      <c r="BR931" s="91"/>
    </row>
    <row r="932" spans="1:70" ht="15.75" customHeight="1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  <c r="AU932" s="91"/>
      <c r="AV932" s="91"/>
      <c r="AW932" s="91"/>
      <c r="AX932" s="91"/>
      <c r="AY932" s="91"/>
      <c r="AZ932" s="91"/>
      <c r="BA932" s="91"/>
      <c r="BB932" s="91"/>
      <c r="BC932" s="91"/>
      <c r="BD932" s="91"/>
      <c r="BE932" s="91"/>
      <c r="BF932" s="91"/>
      <c r="BG932" s="91"/>
      <c r="BH932" s="91"/>
      <c r="BI932" s="91"/>
      <c r="BJ932" s="91"/>
      <c r="BK932" s="91"/>
      <c r="BL932" s="91"/>
      <c r="BM932" s="91"/>
      <c r="BN932" s="91"/>
      <c r="BO932" s="91"/>
      <c r="BP932" s="91"/>
      <c r="BQ932" s="91"/>
      <c r="BR932" s="91"/>
    </row>
    <row r="933" spans="1:70" ht="15.75" customHeight="1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  <c r="AU933" s="91"/>
      <c r="AV933" s="91"/>
      <c r="AW933" s="91"/>
      <c r="AX933" s="91"/>
      <c r="AY933" s="91"/>
      <c r="AZ933" s="91"/>
      <c r="BA933" s="91"/>
      <c r="BB933" s="91"/>
      <c r="BC933" s="91"/>
      <c r="BD933" s="91"/>
      <c r="BE933" s="91"/>
      <c r="BF933" s="91"/>
      <c r="BG933" s="91"/>
      <c r="BH933" s="91"/>
      <c r="BI933" s="91"/>
      <c r="BJ933" s="91"/>
      <c r="BK933" s="91"/>
      <c r="BL933" s="91"/>
      <c r="BM933" s="91"/>
      <c r="BN933" s="91"/>
      <c r="BO933" s="91"/>
      <c r="BP933" s="91"/>
      <c r="BQ933" s="91"/>
      <c r="BR933" s="91"/>
    </row>
    <row r="934" spans="1:70" ht="15.75" customHeight="1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  <c r="AU934" s="91"/>
      <c r="AV934" s="91"/>
      <c r="AW934" s="91"/>
      <c r="AX934" s="91"/>
      <c r="AY934" s="91"/>
      <c r="AZ934" s="91"/>
      <c r="BA934" s="91"/>
      <c r="BB934" s="91"/>
      <c r="BC934" s="91"/>
      <c r="BD934" s="91"/>
      <c r="BE934" s="91"/>
      <c r="BF934" s="91"/>
      <c r="BG934" s="91"/>
      <c r="BH934" s="91"/>
      <c r="BI934" s="91"/>
      <c r="BJ934" s="91"/>
      <c r="BK934" s="91"/>
      <c r="BL934" s="91"/>
      <c r="BM934" s="91"/>
      <c r="BN934" s="91"/>
      <c r="BO934" s="91"/>
      <c r="BP934" s="91"/>
      <c r="BQ934" s="91"/>
      <c r="BR934" s="91"/>
    </row>
    <row r="935" spans="1:70" ht="15.75" customHeight="1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  <c r="AU935" s="91"/>
      <c r="AV935" s="91"/>
      <c r="AW935" s="91"/>
      <c r="AX935" s="91"/>
      <c r="AY935" s="91"/>
      <c r="AZ935" s="91"/>
      <c r="BA935" s="91"/>
      <c r="BB935" s="91"/>
      <c r="BC935" s="91"/>
      <c r="BD935" s="91"/>
      <c r="BE935" s="91"/>
      <c r="BF935" s="91"/>
      <c r="BG935" s="91"/>
      <c r="BH935" s="91"/>
      <c r="BI935" s="91"/>
      <c r="BJ935" s="91"/>
      <c r="BK935" s="91"/>
      <c r="BL935" s="91"/>
      <c r="BM935" s="91"/>
      <c r="BN935" s="91"/>
      <c r="BO935" s="91"/>
      <c r="BP935" s="91"/>
      <c r="BQ935" s="91"/>
      <c r="BR935" s="91"/>
    </row>
    <row r="936" spans="1:70" ht="15.75" customHeight="1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  <c r="AU936" s="91"/>
      <c r="AV936" s="91"/>
      <c r="AW936" s="91"/>
      <c r="AX936" s="91"/>
      <c r="AY936" s="91"/>
      <c r="AZ936" s="91"/>
      <c r="BA936" s="91"/>
      <c r="BB936" s="91"/>
      <c r="BC936" s="91"/>
      <c r="BD936" s="91"/>
      <c r="BE936" s="91"/>
      <c r="BF936" s="91"/>
      <c r="BG936" s="91"/>
      <c r="BH936" s="91"/>
      <c r="BI936" s="91"/>
      <c r="BJ936" s="91"/>
      <c r="BK936" s="91"/>
      <c r="BL936" s="91"/>
      <c r="BM936" s="91"/>
      <c r="BN936" s="91"/>
      <c r="BO936" s="91"/>
      <c r="BP936" s="91"/>
      <c r="BQ936" s="91"/>
      <c r="BR936" s="91"/>
    </row>
    <row r="937" spans="1:70" ht="15.75" customHeight="1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  <c r="AU937" s="91"/>
      <c r="AV937" s="91"/>
      <c r="AW937" s="91"/>
      <c r="AX937" s="91"/>
      <c r="AY937" s="91"/>
      <c r="AZ937" s="91"/>
      <c r="BA937" s="91"/>
      <c r="BB937" s="91"/>
      <c r="BC937" s="91"/>
      <c r="BD937" s="91"/>
      <c r="BE937" s="91"/>
      <c r="BF937" s="91"/>
      <c r="BG937" s="91"/>
      <c r="BH937" s="91"/>
      <c r="BI937" s="91"/>
      <c r="BJ937" s="91"/>
      <c r="BK937" s="91"/>
      <c r="BL937" s="91"/>
      <c r="BM937" s="91"/>
      <c r="BN937" s="91"/>
      <c r="BO937" s="91"/>
      <c r="BP937" s="91"/>
      <c r="BQ937" s="91"/>
      <c r="BR937" s="91"/>
    </row>
    <row r="938" spans="1:70" ht="15.75" customHeight="1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  <c r="AU938" s="91"/>
      <c r="AV938" s="91"/>
      <c r="AW938" s="91"/>
      <c r="AX938" s="91"/>
      <c r="AY938" s="91"/>
      <c r="AZ938" s="91"/>
      <c r="BA938" s="91"/>
      <c r="BB938" s="91"/>
      <c r="BC938" s="91"/>
      <c r="BD938" s="91"/>
      <c r="BE938" s="91"/>
      <c r="BF938" s="91"/>
      <c r="BG938" s="91"/>
      <c r="BH938" s="91"/>
      <c r="BI938" s="91"/>
      <c r="BJ938" s="91"/>
      <c r="BK938" s="91"/>
      <c r="BL938" s="91"/>
      <c r="BM938" s="91"/>
      <c r="BN938" s="91"/>
      <c r="BO938" s="91"/>
      <c r="BP938" s="91"/>
      <c r="BQ938" s="91"/>
      <c r="BR938" s="91"/>
    </row>
    <row r="939" spans="1:70" ht="15.75" customHeight="1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  <c r="AU939" s="91"/>
      <c r="AV939" s="91"/>
      <c r="AW939" s="91"/>
      <c r="AX939" s="91"/>
      <c r="AY939" s="91"/>
      <c r="AZ939" s="91"/>
      <c r="BA939" s="91"/>
      <c r="BB939" s="91"/>
      <c r="BC939" s="91"/>
      <c r="BD939" s="91"/>
      <c r="BE939" s="91"/>
      <c r="BF939" s="91"/>
      <c r="BG939" s="91"/>
      <c r="BH939" s="91"/>
      <c r="BI939" s="91"/>
      <c r="BJ939" s="91"/>
      <c r="BK939" s="91"/>
      <c r="BL939" s="91"/>
      <c r="BM939" s="91"/>
      <c r="BN939" s="91"/>
      <c r="BO939" s="91"/>
      <c r="BP939" s="91"/>
      <c r="BQ939" s="91"/>
      <c r="BR939" s="91"/>
    </row>
    <row r="940" spans="1:70" ht="15.75" customHeight="1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  <c r="AU940" s="91"/>
      <c r="AV940" s="91"/>
      <c r="AW940" s="91"/>
      <c r="AX940" s="91"/>
      <c r="AY940" s="91"/>
      <c r="AZ940" s="91"/>
      <c r="BA940" s="91"/>
      <c r="BB940" s="91"/>
      <c r="BC940" s="91"/>
      <c r="BD940" s="91"/>
      <c r="BE940" s="91"/>
      <c r="BF940" s="91"/>
      <c r="BG940" s="91"/>
      <c r="BH940" s="91"/>
      <c r="BI940" s="91"/>
      <c r="BJ940" s="91"/>
      <c r="BK940" s="91"/>
      <c r="BL940" s="91"/>
      <c r="BM940" s="91"/>
      <c r="BN940" s="91"/>
      <c r="BO940" s="91"/>
      <c r="BP940" s="91"/>
      <c r="BQ940" s="91"/>
      <c r="BR940" s="91"/>
    </row>
    <row r="941" spans="1:70" ht="15.75" customHeight="1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  <c r="AU941" s="91"/>
      <c r="AV941" s="91"/>
      <c r="AW941" s="91"/>
      <c r="AX941" s="91"/>
      <c r="AY941" s="91"/>
      <c r="AZ941" s="91"/>
      <c r="BA941" s="91"/>
      <c r="BB941" s="91"/>
      <c r="BC941" s="91"/>
      <c r="BD941" s="91"/>
      <c r="BE941" s="91"/>
      <c r="BF941" s="91"/>
      <c r="BG941" s="91"/>
      <c r="BH941" s="91"/>
      <c r="BI941" s="91"/>
      <c r="BJ941" s="91"/>
      <c r="BK941" s="91"/>
      <c r="BL941" s="91"/>
      <c r="BM941" s="91"/>
      <c r="BN941" s="91"/>
      <c r="BO941" s="91"/>
      <c r="BP941" s="91"/>
      <c r="BQ941" s="91"/>
      <c r="BR941" s="91"/>
    </row>
    <row r="942" spans="1:70" ht="15.75" customHeight="1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  <c r="AU942" s="91"/>
      <c r="AV942" s="91"/>
      <c r="AW942" s="91"/>
      <c r="AX942" s="91"/>
      <c r="AY942" s="91"/>
      <c r="AZ942" s="91"/>
      <c r="BA942" s="91"/>
      <c r="BB942" s="91"/>
      <c r="BC942" s="91"/>
      <c r="BD942" s="91"/>
      <c r="BE942" s="91"/>
      <c r="BF942" s="91"/>
      <c r="BG942" s="91"/>
      <c r="BH942" s="91"/>
      <c r="BI942" s="91"/>
      <c r="BJ942" s="91"/>
      <c r="BK942" s="91"/>
      <c r="BL942" s="91"/>
      <c r="BM942" s="91"/>
      <c r="BN942" s="91"/>
      <c r="BO942" s="91"/>
      <c r="BP942" s="91"/>
      <c r="BQ942" s="91"/>
      <c r="BR942" s="91"/>
    </row>
    <row r="943" spans="1:70" ht="15.75" customHeight="1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  <c r="AU943" s="91"/>
      <c r="AV943" s="91"/>
      <c r="AW943" s="91"/>
      <c r="AX943" s="91"/>
      <c r="AY943" s="91"/>
      <c r="AZ943" s="91"/>
      <c r="BA943" s="91"/>
      <c r="BB943" s="91"/>
      <c r="BC943" s="91"/>
      <c r="BD943" s="91"/>
      <c r="BE943" s="91"/>
      <c r="BF943" s="91"/>
      <c r="BG943" s="91"/>
      <c r="BH943" s="91"/>
      <c r="BI943" s="91"/>
      <c r="BJ943" s="91"/>
      <c r="BK943" s="91"/>
      <c r="BL943" s="91"/>
      <c r="BM943" s="91"/>
      <c r="BN943" s="91"/>
      <c r="BO943" s="91"/>
      <c r="BP943" s="91"/>
      <c r="BQ943" s="91"/>
      <c r="BR943" s="91"/>
    </row>
    <row r="944" spans="1:70" ht="15.75" customHeight="1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  <c r="AU944" s="91"/>
      <c r="AV944" s="91"/>
      <c r="AW944" s="91"/>
      <c r="AX944" s="91"/>
      <c r="AY944" s="91"/>
      <c r="AZ944" s="91"/>
      <c r="BA944" s="91"/>
      <c r="BB944" s="91"/>
      <c r="BC944" s="91"/>
      <c r="BD944" s="91"/>
      <c r="BE944" s="91"/>
      <c r="BF944" s="91"/>
      <c r="BG944" s="91"/>
      <c r="BH944" s="91"/>
      <c r="BI944" s="91"/>
      <c r="BJ944" s="91"/>
      <c r="BK944" s="91"/>
      <c r="BL944" s="91"/>
      <c r="BM944" s="91"/>
      <c r="BN944" s="91"/>
      <c r="BO944" s="91"/>
      <c r="BP944" s="91"/>
      <c r="BQ944" s="91"/>
      <c r="BR944" s="91"/>
    </row>
    <row r="945" spans="1:70" ht="15.75" customHeight="1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  <c r="AU945" s="91"/>
      <c r="AV945" s="91"/>
      <c r="AW945" s="91"/>
      <c r="AX945" s="91"/>
      <c r="AY945" s="91"/>
      <c r="AZ945" s="91"/>
      <c r="BA945" s="91"/>
      <c r="BB945" s="91"/>
      <c r="BC945" s="91"/>
      <c r="BD945" s="91"/>
      <c r="BE945" s="91"/>
      <c r="BF945" s="91"/>
      <c r="BG945" s="91"/>
      <c r="BH945" s="91"/>
      <c r="BI945" s="91"/>
      <c r="BJ945" s="91"/>
      <c r="BK945" s="91"/>
      <c r="BL945" s="91"/>
      <c r="BM945" s="91"/>
      <c r="BN945" s="91"/>
      <c r="BO945" s="91"/>
      <c r="BP945" s="91"/>
      <c r="BQ945" s="91"/>
      <c r="BR945" s="91"/>
    </row>
    <row r="946" spans="1:70" ht="15.75" customHeight="1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  <c r="AU946" s="91"/>
      <c r="AV946" s="91"/>
      <c r="AW946" s="91"/>
      <c r="AX946" s="91"/>
      <c r="AY946" s="91"/>
      <c r="AZ946" s="91"/>
      <c r="BA946" s="91"/>
      <c r="BB946" s="91"/>
      <c r="BC946" s="91"/>
      <c r="BD946" s="91"/>
      <c r="BE946" s="91"/>
      <c r="BF946" s="91"/>
      <c r="BG946" s="91"/>
      <c r="BH946" s="91"/>
      <c r="BI946" s="91"/>
      <c r="BJ946" s="91"/>
      <c r="BK946" s="91"/>
      <c r="BL946" s="91"/>
      <c r="BM946" s="91"/>
      <c r="BN946" s="91"/>
      <c r="BO946" s="91"/>
      <c r="BP946" s="91"/>
      <c r="BQ946" s="91"/>
      <c r="BR946" s="91"/>
    </row>
    <row r="947" spans="1:70" ht="15.75" customHeight="1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  <c r="AU947" s="91"/>
      <c r="AV947" s="91"/>
      <c r="AW947" s="91"/>
      <c r="AX947" s="91"/>
      <c r="AY947" s="91"/>
      <c r="AZ947" s="91"/>
      <c r="BA947" s="91"/>
      <c r="BB947" s="91"/>
      <c r="BC947" s="91"/>
      <c r="BD947" s="91"/>
      <c r="BE947" s="91"/>
      <c r="BF947" s="91"/>
      <c r="BG947" s="91"/>
      <c r="BH947" s="91"/>
      <c r="BI947" s="91"/>
      <c r="BJ947" s="91"/>
      <c r="BK947" s="91"/>
      <c r="BL947" s="91"/>
      <c r="BM947" s="91"/>
      <c r="BN947" s="91"/>
      <c r="BO947" s="91"/>
      <c r="BP947" s="91"/>
      <c r="BQ947" s="91"/>
      <c r="BR947" s="91"/>
    </row>
    <row r="948" spans="1:70" ht="15.75" customHeight="1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  <c r="AU948" s="91"/>
      <c r="AV948" s="91"/>
      <c r="AW948" s="91"/>
      <c r="AX948" s="91"/>
      <c r="AY948" s="91"/>
      <c r="AZ948" s="91"/>
      <c r="BA948" s="91"/>
      <c r="BB948" s="91"/>
      <c r="BC948" s="91"/>
      <c r="BD948" s="91"/>
      <c r="BE948" s="91"/>
      <c r="BF948" s="91"/>
      <c r="BG948" s="91"/>
      <c r="BH948" s="91"/>
      <c r="BI948" s="91"/>
      <c r="BJ948" s="91"/>
      <c r="BK948" s="91"/>
      <c r="BL948" s="91"/>
      <c r="BM948" s="91"/>
      <c r="BN948" s="91"/>
      <c r="BO948" s="91"/>
      <c r="BP948" s="91"/>
      <c r="BQ948" s="91"/>
      <c r="BR948" s="91"/>
    </row>
    <row r="949" spans="1:70" ht="15.75" customHeight="1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  <c r="AU949" s="91"/>
      <c r="AV949" s="91"/>
      <c r="AW949" s="91"/>
      <c r="AX949" s="91"/>
      <c r="AY949" s="91"/>
      <c r="AZ949" s="91"/>
      <c r="BA949" s="91"/>
      <c r="BB949" s="91"/>
      <c r="BC949" s="91"/>
      <c r="BD949" s="91"/>
      <c r="BE949" s="91"/>
      <c r="BF949" s="91"/>
      <c r="BG949" s="91"/>
      <c r="BH949" s="91"/>
      <c r="BI949" s="91"/>
      <c r="BJ949" s="91"/>
      <c r="BK949" s="91"/>
      <c r="BL949" s="91"/>
      <c r="BM949" s="91"/>
      <c r="BN949" s="91"/>
      <c r="BO949" s="91"/>
      <c r="BP949" s="91"/>
      <c r="BQ949" s="91"/>
      <c r="BR949" s="91"/>
    </row>
    <row r="950" spans="1:70" ht="15.75" customHeight="1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  <c r="AU950" s="91"/>
      <c r="AV950" s="91"/>
      <c r="AW950" s="91"/>
      <c r="AX950" s="91"/>
      <c r="AY950" s="91"/>
      <c r="AZ950" s="91"/>
      <c r="BA950" s="91"/>
      <c r="BB950" s="91"/>
      <c r="BC950" s="91"/>
      <c r="BD950" s="91"/>
      <c r="BE950" s="91"/>
      <c r="BF950" s="91"/>
      <c r="BG950" s="91"/>
      <c r="BH950" s="91"/>
      <c r="BI950" s="91"/>
      <c r="BJ950" s="91"/>
      <c r="BK950" s="91"/>
      <c r="BL950" s="91"/>
      <c r="BM950" s="91"/>
      <c r="BN950" s="91"/>
      <c r="BO950" s="91"/>
      <c r="BP950" s="91"/>
      <c r="BQ950" s="91"/>
      <c r="BR950" s="91"/>
    </row>
    <row r="951" spans="1:70" ht="15.75" customHeight="1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  <c r="AU951" s="91"/>
      <c r="AV951" s="91"/>
      <c r="AW951" s="91"/>
      <c r="AX951" s="91"/>
      <c r="AY951" s="91"/>
      <c r="AZ951" s="91"/>
      <c r="BA951" s="91"/>
      <c r="BB951" s="91"/>
      <c r="BC951" s="91"/>
      <c r="BD951" s="91"/>
      <c r="BE951" s="91"/>
      <c r="BF951" s="91"/>
      <c r="BG951" s="91"/>
      <c r="BH951" s="91"/>
      <c r="BI951" s="91"/>
      <c r="BJ951" s="91"/>
      <c r="BK951" s="91"/>
      <c r="BL951" s="91"/>
      <c r="BM951" s="91"/>
      <c r="BN951" s="91"/>
      <c r="BO951" s="91"/>
      <c r="BP951" s="91"/>
      <c r="BQ951" s="91"/>
      <c r="BR951" s="91"/>
    </row>
    <row r="952" spans="1:70" ht="15.75" customHeight="1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  <c r="AU952" s="91"/>
      <c r="AV952" s="91"/>
      <c r="AW952" s="91"/>
      <c r="AX952" s="91"/>
      <c r="AY952" s="91"/>
      <c r="AZ952" s="91"/>
      <c r="BA952" s="91"/>
      <c r="BB952" s="91"/>
      <c r="BC952" s="91"/>
      <c r="BD952" s="91"/>
      <c r="BE952" s="91"/>
      <c r="BF952" s="91"/>
      <c r="BG952" s="91"/>
      <c r="BH952" s="91"/>
      <c r="BI952" s="91"/>
      <c r="BJ952" s="91"/>
      <c r="BK952" s="91"/>
      <c r="BL952" s="91"/>
      <c r="BM952" s="91"/>
      <c r="BN952" s="91"/>
      <c r="BO952" s="91"/>
      <c r="BP952" s="91"/>
      <c r="BQ952" s="91"/>
      <c r="BR952" s="91"/>
    </row>
    <row r="953" spans="1:70" ht="15.75" customHeight="1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  <c r="AU953" s="91"/>
      <c r="AV953" s="91"/>
      <c r="AW953" s="91"/>
      <c r="AX953" s="91"/>
      <c r="AY953" s="91"/>
      <c r="AZ953" s="91"/>
      <c r="BA953" s="91"/>
      <c r="BB953" s="91"/>
      <c r="BC953" s="91"/>
      <c r="BD953" s="91"/>
      <c r="BE953" s="91"/>
      <c r="BF953" s="91"/>
      <c r="BG953" s="91"/>
      <c r="BH953" s="91"/>
      <c r="BI953" s="91"/>
      <c r="BJ953" s="91"/>
      <c r="BK953" s="91"/>
      <c r="BL953" s="91"/>
      <c r="BM953" s="91"/>
      <c r="BN953" s="91"/>
      <c r="BO953" s="91"/>
      <c r="BP953" s="91"/>
      <c r="BQ953" s="91"/>
      <c r="BR953" s="91"/>
    </row>
    <row r="954" spans="1:70" ht="15.75" customHeight="1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  <c r="AU954" s="91"/>
      <c r="AV954" s="91"/>
      <c r="AW954" s="91"/>
      <c r="AX954" s="91"/>
      <c r="AY954" s="91"/>
      <c r="AZ954" s="91"/>
      <c r="BA954" s="91"/>
      <c r="BB954" s="91"/>
      <c r="BC954" s="91"/>
      <c r="BD954" s="91"/>
      <c r="BE954" s="91"/>
      <c r="BF954" s="91"/>
      <c r="BG954" s="91"/>
      <c r="BH954" s="91"/>
      <c r="BI954" s="91"/>
      <c r="BJ954" s="91"/>
      <c r="BK954" s="91"/>
      <c r="BL954" s="91"/>
      <c r="BM954" s="91"/>
      <c r="BN954" s="91"/>
      <c r="BO954" s="91"/>
      <c r="BP954" s="91"/>
      <c r="BQ954" s="91"/>
      <c r="BR954" s="91"/>
    </row>
    <row r="955" spans="1:70" ht="15.75" customHeight="1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  <c r="AU955" s="91"/>
      <c r="AV955" s="91"/>
      <c r="AW955" s="91"/>
      <c r="AX955" s="91"/>
      <c r="AY955" s="91"/>
      <c r="AZ955" s="91"/>
      <c r="BA955" s="91"/>
      <c r="BB955" s="91"/>
      <c r="BC955" s="91"/>
      <c r="BD955" s="91"/>
      <c r="BE955" s="91"/>
      <c r="BF955" s="91"/>
      <c r="BG955" s="91"/>
      <c r="BH955" s="91"/>
      <c r="BI955" s="91"/>
      <c r="BJ955" s="91"/>
      <c r="BK955" s="91"/>
      <c r="BL955" s="91"/>
      <c r="BM955" s="91"/>
      <c r="BN955" s="91"/>
      <c r="BO955" s="91"/>
      <c r="BP955" s="91"/>
      <c r="BQ955" s="91"/>
      <c r="BR955" s="91"/>
    </row>
    <row r="956" spans="1:70" ht="15.75" customHeight="1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  <c r="AU956" s="91"/>
      <c r="AV956" s="91"/>
      <c r="AW956" s="91"/>
      <c r="AX956" s="91"/>
      <c r="AY956" s="91"/>
      <c r="AZ956" s="91"/>
      <c r="BA956" s="91"/>
      <c r="BB956" s="91"/>
      <c r="BC956" s="91"/>
      <c r="BD956" s="91"/>
      <c r="BE956" s="91"/>
      <c r="BF956" s="91"/>
      <c r="BG956" s="91"/>
      <c r="BH956" s="91"/>
      <c r="BI956" s="91"/>
      <c r="BJ956" s="91"/>
      <c r="BK956" s="91"/>
      <c r="BL956" s="91"/>
      <c r="BM956" s="91"/>
      <c r="BN956" s="91"/>
      <c r="BO956" s="91"/>
      <c r="BP956" s="91"/>
      <c r="BQ956" s="91"/>
      <c r="BR956" s="91"/>
    </row>
    <row r="957" spans="1:70" ht="15.75" customHeight="1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  <c r="AU957" s="91"/>
      <c r="AV957" s="91"/>
      <c r="AW957" s="91"/>
      <c r="AX957" s="91"/>
      <c r="AY957" s="91"/>
      <c r="AZ957" s="91"/>
      <c r="BA957" s="91"/>
      <c r="BB957" s="91"/>
      <c r="BC957" s="91"/>
      <c r="BD957" s="91"/>
      <c r="BE957" s="91"/>
      <c r="BF957" s="91"/>
      <c r="BG957" s="91"/>
      <c r="BH957" s="91"/>
      <c r="BI957" s="91"/>
      <c r="BJ957" s="91"/>
      <c r="BK957" s="91"/>
      <c r="BL957" s="91"/>
      <c r="BM957" s="91"/>
      <c r="BN957" s="91"/>
      <c r="BO957" s="91"/>
      <c r="BP957" s="91"/>
      <c r="BQ957" s="91"/>
      <c r="BR957" s="91"/>
    </row>
    <row r="958" spans="1:70" ht="15.75" customHeight="1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  <c r="AU958" s="91"/>
      <c r="AV958" s="91"/>
      <c r="AW958" s="91"/>
      <c r="AX958" s="91"/>
      <c r="AY958" s="91"/>
      <c r="AZ958" s="91"/>
      <c r="BA958" s="91"/>
      <c r="BB958" s="91"/>
      <c r="BC958" s="91"/>
      <c r="BD958" s="91"/>
      <c r="BE958" s="91"/>
      <c r="BF958" s="91"/>
      <c r="BG958" s="91"/>
      <c r="BH958" s="91"/>
      <c r="BI958" s="91"/>
      <c r="BJ958" s="91"/>
      <c r="BK958" s="91"/>
      <c r="BL958" s="91"/>
      <c r="BM958" s="91"/>
      <c r="BN958" s="91"/>
      <c r="BO958" s="91"/>
      <c r="BP958" s="91"/>
      <c r="BQ958" s="91"/>
      <c r="BR958" s="91"/>
    </row>
    <row r="959" spans="1:70" ht="15.75" customHeight="1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  <c r="AU959" s="91"/>
      <c r="AV959" s="91"/>
      <c r="AW959" s="91"/>
      <c r="AX959" s="91"/>
      <c r="AY959" s="91"/>
      <c r="AZ959" s="91"/>
      <c r="BA959" s="91"/>
      <c r="BB959" s="91"/>
      <c r="BC959" s="91"/>
      <c r="BD959" s="91"/>
      <c r="BE959" s="91"/>
      <c r="BF959" s="91"/>
      <c r="BG959" s="91"/>
      <c r="BH959" s="91"/>
      <c r="BI959" s="91"/>
      <c r="BJ959" s="91"/>
      <c r="BK959" s="91"/>
      <c r="BL959" s="91"/>
      <c r="BM959" s="91"/>
      <c r="BN959" s="91"/>
      <c r="BO959" s="91"/>
      <c r="BP959" s="91"/>
      <c r="BQ959" s="91"/>
      <c r="BR959" s="91"/>
    </row>
    <row r="960" spans="1:70" ht="15.75" customHeight="1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  <c r="AU960" s="91"/>
      <c r="AV960" s="91"/>
      <c r="AW960" s="91"/>
      <c r="AX960" s="91"/>
      <c r="AY960" s="91"/>
      <c r="AZ960" s="91"/>
      <c r="BA960" s="91"/>
      <c r="BB960" s="91"/>
      <c r="BC960" s="91"/>
      <c r="BD960" s="91"/>
      <c r="BE960" s="91"/>
      <c r="BF960" s="91"/>
      <c r="BG960" s="91"/>
      <c r="BH960" s="91"/>
      <c r="BI960" s="91"/>
      <c r="BJ960" s="91"/>
      <c r="BK960" s="91"/>
      <c r="BL960" s="91"/>
      <c r="BM960" s="91"/>
      <c r="BN960" s="91"/>
      <c r="BO960" s="91"/>
      <c r="BP960" s="91"/>
      <c r="BQ960" s="91"/>
      <c r="BR960" s="91"/>
    </row>
    <row r="961" spans="1:70" ht="15.75" customHeight="1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  <c r="AU961" s="91"/>
      <c r="AV961" s="91"/>
      <c r="AW961" s="91"/>
      <c r="AX961" s="91"/>
      <c r="AY961" s="91"/>
      <c r="AZ961" s="91"/>
      <c r="BA961" s="91"/>
      <c r="BB961" s="91"/>
      <c r="BC961" s="91"/>
      <c r="BD961" s="91"/>
      <c r="BE961" s="91"/>
      <c r="BF961" s="91"/>
      <c r="BG961" s="91"/>
      <c r="BH961" s="91"/>
      <c r="BI961" s="91"/>
      <c r="BJ961" s="91"/>
      <c r="BK961" s="91"/>
      <c r="BL961" s="91"/>
      <c r="BM961" s="91"/>
      <c r="BN961" s="91"/>
      <c r="BO961" s="91"/>
      <c r="BP961" s="91"/>
      <c r="BQ961" s="91"/>
      <c r="BR961" s="91"/>
    </row>
    <row r="962" spans="1:70" ht="15.75" customHeight="1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  <c r="AU962" s="91"/>
      <c r="AV962" s="91"/>
      <c r="AW962" s="91"/>
      <c r="AX962" s="91"/>
      <c r="AY962" s="91"/>
      <c r="AZ962" s="91"/>
      <c r="BA962" s="91"/>
      <c r="BB962" s="91"/>
      <c r="BC962" s="91"/>
      <c r="BD962" s="91"/>
      <c r="BE962" s="91"/>
      <c r="BF962" s="91"/>
      <c r="BG962" s="91"/>
      <c r="BH962" s="91"/>
      <c r="BI962" s="91"/>
      <c r="BJ962" s="91"/>
      <c r="BK962" s="91"/>
      <c r="BL962" s="91"/>
      <c r="BM962" s="91"/>
      <c r="BN962" s="91"/>
      <c r="BO962" s="91"/>
      <c r="BP962" s="91"/>
      <c r="BQ962" s="91"/>
      <c r="BR962" s="91"/>
    </row>
    <row r="963" spans="1:70" ht="15.75" customHeight="1">
      <c r="A963" s="91"/>
      <c r="B963" s="91"/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  <c r="AM963" s="91"/>
      <c r="AN963" s="91"/>
      <c r="AO963" s="91"/>
      <c r="AP963" s="91"/>
      <c r="AQ963" s="91"/>
      <c r="AR963" s="91"/>
      <c r="AS963" s="91"/>
      <c r="AT963" s="91"/>
      <c r="AU963" s="91"/>
      <c r="AV963" s="91"/>
      <c r="AW963" s="91"/>
      <c r="AX963" s="91"/>
      <c r="AY963" s="91"/>
      <c r="AZ963" s="91"/>
      <c r="BA963" s="91"/>
      <c r="BB963" s="91"/>
      <c r="BC963" s="91"/>
      <c r="BD963" s="91"/>
      <c r="BE963" s="91"/>
      <c r="BF963" s="91"/>
      <c r="BG963" s="91"/>
      <c r="BH963" s="91"/>
      <c r="BI963" s="91"/>
      <c r="BJ963" s="91"/>
      <c r="BK963" s="91"/>
      <c r="BL963" s="91"/>
      <c r="BM963" s="91"/>
      <c r="BN963" s="91"/>
      <c r="BO963" s="91"/>
      <c r="BP963" s="91"/>
      <c r="BQ963" s="91"/>
      <c r="BR963" s="91"/>
    </row>
    <row r="964" spans="1:70" ht="15.75" customHeight="1">
      <c r="A964" s="91"/>
      <c r="B964" s="91"/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  <c r="AM964" s="91"/>
      <c r="AN964" s="91"/>
      <c r="AO964" s="91"/>
      <c r="AP964" s="91"/>
      <c r="AQ964" s="91"/>
      <c r="AR964" s="91"/>
      <c r="AS964" s="91"/>
      <c r="AT964" s="91"/>
      <c r="AU964" s="91"/>
      <c r="AV964" s="91"/>
      <c r="AW964" s="91"/>
      <c r="AX964" s="91"/>
      <c r="AY964" s="91"/>
      <c r="AZ964" s="91"/>
      <c r="BA964" s="91"/>
      <c r="BB964" s="91"/>
      <c r="BC964" s="91"/>
      <c r="BD964" s="91"/>
      <c r="BE964" s="91"/>
      <c r="BF964" s="91"/>
      <c r="BG964" s="91"/>
      <c r="BH964" s="91"/>
      <c r="BI964" s="91"/>
      <c r="BJ964" s="91"/>
      <c r="BK964" s="91"/>
      <c r="BL964" s="91"/>
      <c r="BM964" s="91"/>
      <c r="BN964" s="91"/>
      <c r="BO964" s="91"/>
      <c r="BP964" s="91"/>
      <c r="BQ964" s="91"/>
      <c r="BR964" s="91"/>
    </row>
    <row r="965" spans="1:70" ht="15.75" customHeight="1">
      <c r="A965" s="91"/>
      <c r="B965" s="91"/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  <c r="AM965" s="91"/>
      <c r="AN965" s="91"/>
      <c r="AO965" s="91"/>
      <c r="AP965" s="91"/>
      <c r="AQ965" s="91"/>
      <c r="AR965" s="91"/>
      <c r="AS965" s="91"/>
      <c r="AT965" s="91"/>
      <c r="AU965" s="91"/>
      <c r="AV965" s="91"/>
      <c r="AW965" s="91"/>
      <c r="AX965" s="91"/>
      <c r="AY965" s="91"/>
      <c r="AZ965" s="91"/>
      <c r="BA965" s="91"/>
      <c r="BB965" s="91"/>
      <c r="BC965" s="91"/>
      <c r="BD965" s="91"/>
      <c r="BE965" s="91"/>
      <c r="BF965" s="91"/>
      <c r="BG965" s="91"/>
      <c r="BH965" s="91"/>
      <c r="BI965" s="91"/>
      <c r="BJ965" s="91"/>
      <c r="BK965" s="91"/>
      <c r="BL965" s="91"/>
      <c r="BM965" s="91"/>
      <c r="BN965" s="91"/>
      <c r="BO965" s="91"/>
      <c r="BP965" s="91"/>
      <c r="BQ965" s="91"/>
      <c r="BR965" s="91"/>
    </row>
    <row r="966" spans="1:70" ht="15.75" customHeight="1">
      <c r="A966" s="91"/>
      <c r="B966" s="91"/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  <c r="AM966" s="91"/>
      <c r="AN966" s="91"/>
      <c r="AO966" s="91"/>
      <c r="AP966" s="91"/>
      <c r="AQ966" s="91"/>
      <c r="AR966" s="91"/>
      <c r="AS966" s="91"/>
      <c r="AT966" s="91"/>
      <c r="AU966" s="91"/>
      <c r="AV966" s="91"/>
      <c r="AW966" s="91"/>
      <c r="AX966" s="91"/>
      <c r="AY966" s="91"/>
      <c r="AZ966" s="91"/>
      <c r="BA966" s="91"/>
      <c r="BB966" s="91"/>
      <c r="BC966" s="91"/>
      <c r="BD966" s="91"/>
      <c r="BE966" s="91"/>
      <c r="BF966" s="91"/>
      <c r="BG966" s="91"/>
      <c r="BH966" s="91"/>
      <c r="BI966" s="91"/>
      <c r="BJ966" s="91"/>
      <c r="BK966" s="91"/>
      <c r="BL966" s="91"/>
      <c r="BM966" s="91"/>
      <c r="BN966" s="91"/>
      <c r="BO966" s="91"/>
      <c r="BP966" s="91"/>
      <c r="BQ966" s="91"/>
      <c r="BR966" s="91"/>
    </row>
    <row r="967" spans="1:70" ht="15.75" customHeight="1">
      <c r="A967" s="91"/>
      <c r="B967" s="91"/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  <c r="AM967" s="91"/>
      <c r="AN967" s="91"/>
      <c r="AO967" s="91"/>
      <c r="AP967" s="91"/>
      <c r="AQ967" s="91"/>
      <c r="AR967" s="91"/>
      <c r="AS967" s="91"/>
      <c r="AT967" s="91"/>
      <c r="AU967" s="91"/>
      <c r="AV967" s="91"/>
      <c r="AW967" s="91"/>
      <c r="AX967" s="91"/>
      <c r="AY967" s="91"/>
      <c r="AZ967" s="91"/>
      <c r="BA967" s="91"/>
      <c r="BB967" s="91"/>
      <c r="BC967" s="91"/>
      <c r="BD967" s="91"/>
      <c r="BE967" s="91"/>
      <c r="BF967" s="91"/>
      <c r="BG967" s="91"/>
      <c r="BH967" s="91"/>
      <c r="BI967" s="91"/>
      <c r="BJ967" s="91"/>
      <c r="BK967" s="91"/>
      <c r="BL967" s="91"/>
      <c r="BM967" s="91"/>
      <c r="BN967" s="91"/>
      <c r="BO967" s="91"/>
      <c r="BP967" s="91"/>
      <c r="BQ967" s="91"/>
      <c r="BR967" s="91"/>
    </row>
    <row r="968" spans="1:70" ht="15.75" customHeight="1">
      <c r="A968" s="91"/>
      <c r="B968" s="91"/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  <c r="AM968" s="91"/>
      <c r="AN968" s="91"/>
      <c r="AO968" s="91"/>
      <c r="AP968" s="91"/>
      <c r="AQ968" s="91"/>
      <c r="AR968" s="91"/>
      <c r="AS968" s="91"/>
      <c r="AT968" s="91"/>
      <c r="AU968" s="91"/>
      <c r="AV968" s="91"/>
      <c r="AW968" s="91"/>
      <c r="AX968" s="91"/>
      <c r="AY968" s="91"/>
      <c r="AZ968" s="91"/>
      <c r="BA968" s="91"/>
      <c r="BB968" s="91"/>
      <c r="BC968" s="91"/>
      <c r="BD968" s="91"/>
      <c r="BE968" s="91"/>
      <c r="BF968" s="91"/>
      <c r="BG968" s="91"/>
      <c r="BH968" s="91"/>
      <c r="BI968" s="91"/>
      <c r="BJ968" s="91"/>
      <c r="BK968" s="91"/>
      <c r="BL968" s="91"/>
      <c r="BM968" s="91"/>
      <c r="BN968" s="91"/>
      <c r="BO968" s="91"/>
      <c r="BP968" s="91"/>
      <c r="BQ968" s="91"/>
      <c r="BR968" s="91"/>
    </row>
    <row r="969" spans="1:70" ht="15.75" customHeight="1">
      <c r="A969" s="91"/>
      <c r="B969" s="91"/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  <c r="AM969" s="91"/>
      <c r="AN969" s="91"/>
      <c r="AO969" s="91"/>
      <c r="AP969" s="91"/>
      <c r="AQ969" s="91"/>
      <c r="AR969" s="91"/>
      <c r="AS969" s="91"/>
      <c r="AT969" s="91"/>
      <c r="AU969" s="91"/>
      <c r="AV969" s="91"/>
      <c r="AW969" s="91"/>
      <c r="AX969" s="91"/>
      <c r="AY969" s="91"/>
      <c r="AZ969" s="91"/>
      <c r="BA969" s="91"/>
      <c r="BB969" s="91"/>
      <c r="BC969" s="91"/>
      <c r="BD969" s="91"/>
      <c r="BE969" s="91"/>
      <c r="BF969" s="91"/>
      <c r="BG969" s="91"/>
      <c r="BH969" s="91"/>
      <c r="BI969" s="91"/>
      <c r="BJ969" s="91"/>
      <c r="BK969" s="91"/>
      <c r="BL969" s="91"/>
      <c r="BM969" s="91"/>
      <c r="BN969" s="91"/>
      <c r="BO969" s="91"/>
      <c r="BP969" s="91"/>
      <c r="BQ969" s="91"/>
      <c r="BR969" s="91"/>
    </row>
    <row r="970" spans="1:70" ht="15.75" customHeight="1">
      <c r="A970" s="91"/>
      <c r="B970" s="91"/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  <c r="AM970" s="91"/>
      <c r="AN970" s="91"/>
      <c r="AO970" s="91"/>
      <c r="AP970" s="91"/>
      <c r="AQ970" s="91"/>
      <c r="AR970" s="91"/>
      <c r="AS970" s="91"/>
      <c r="AT970" s="91"/>
      <c r="AU970" s="91"/>
      <c r="AV970" s="91"/>
      <c r="AW970" s="91"/>
      <c r="AX970" s="91"/>
      <c r="AY970" s="91"/>
      <c r="AZ970" s="91"/>
      <c r="BA970" s="91"/>
      <c r="BB970" s="91"/>
      <c r="BC970" s="91"/>
      <c r="BD970" s="91"/>
      <c r="BE970" s="91"/>
      <c r="BF970" s="91"/>
      <c r="BG970" s="91"/>
      <c r="BH970" s="91"/>
      <c r="BI970" s="91"/>
      <c r="BJ970" s="91"/>
      <c r="BK970" s="91"/>
      <c r="BL970" s="91"/>
      <c r="BM970" s="91"/>
      <c r="BN970" s="91"/>
      <c r="BO970" s="91"/>
      <c r="BP970" s="91"/>
      <c r="BQ970" s="91"/>
      <c r="BR970" s="91"/>
    </row>
    <row r="971" spans="1:70" ht="15.75" customHeight="1">
      <c r="A971" s="91"/>
      <c r="B971" s="91"/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  <c r="AM971" s="91"/>
      <c r="AN971" s="91"/>
      <c r="AO971" s="91"/>
      <c r="AP971" s="91"/>
      <c r="AQ971" s="91"/>
      <c r="AR971" s="91"/>
      <c r="AS971" s="91"/>
      <c r="AT971" s="91"/>
      <c r="AU971" s="91"/>
      <c r="AV971" s="91"/>
      <c r="AW971" s="91"/>
      <c r="AX971" s="91"/>
      <c r="AY971" s="91"/>
      <c r="AZ971" s="91"/>
      <c r="BA971" s="91"/>
      <c r="BB971" s="91"/>
      <c r="BC971" s="91"/>
      <c r="BD971" s="91"/>
      <c r="BE971" s="91"/>
      <c r="BF971" s="91"/>
      <c r="BG971" s="91"/>
      <c r="BH971" s="91"/>
      <c r="BI971" s="91"/>
      <c r="BJ971" s="91"/>
      <c r="BK971" s="91"/>
      <c r="BL971" s="91"/>
      <c r="BM971" s="91"/>
      <c r="BN971" s="91"/>
      <c r="BO971" s="91"/>
      <c r="BP971" s="91"/>
      <c r="BQ971" s="91"/>
      <c r="BR971" s="91"/>
    </row>
    <row r="972" spans="1:70" ht="15.75" customHeight="1">
      <c r="A972" s="91"/>
      <c r="B972" s="91"/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  <c r="AM972" s="91"/>
      <c r="AN972" s="91"/>
      <c r="AO972" s="91"/>
      <c r="AP972" s="91"/>
      <c r="AQ972" s="91"/>
      <c r="AR972" s="91"/>
      <c r="AS972" s="91"/>
      <c r="AT972" s="91"/>
      <c r="AU972" s="91"/>
      <c r="AV972" s="91"/>
      <c r="AW972" s="91"/>
      <c r="AX972" s="91"/>
      <c r="AY972" s="91"/>
      <c r="AZ972" s="91"/>
      <c r="BA972" s="91"/>
      <c r="BB972" s="91"/>
      <c r="BC972" s="91"/>
      <c r="BD972" s="91"/>
      <c r="BE972" s="91"/>
      <c r="BF972" s="91"/>
      <c r="BG972" s="91"/>
      <c r="BH972" s="91"/>
      <c r="BI972" s="91"/>
      <c r="BJ972" s="91"/>
      <c r="BK972" s="91"/>
      <c r="BL972" s="91"/>
      <c r="BM972" s="91"/>
      <c r="BN972" s="91"/>
      <c r="BO972" s="91"/>
      <c r="BP972" s="91"/>
      <c r="BQ972" s="91"/>
      <c r="BR972" s="91"/>
    </row>
    <row r="973" spans="1:70" ht="15.75" customHeight="1">
      <c r="A973" s="91"/>
      <c r="B973" s="91"/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91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  <c r="AG973" s="91"/>
      <c r="AH973" s="91"/>
      <c r="AI973" s="91"/>
      <c r="AJ973" s="91"/>
      <c r="AK973" s="91"/>
      <c r="AL973" s="91"/>
      <c r="AM973" s="91"/>
      <c r="AN973" s="91"/>
      <c r="AO973" s="91"/>
      <c r="AP973" s="91"/>
      <c r="AQ973" s="91"/>
      <c r="AR973" s="91"/>
      <c r="AS973" s="91"/>
      <c r="AT973" s="91"/>
      <c r="AU973" s="91"/>
      <c r="AV973" s="91"/>
      <c r="AW973" s="91"/>
      <c r="AX973" s="91"/>
      <c r="AY973" s="91"/>
      <c r="AZ973" s="91"/>
      <c r="BA973" s="91"/>
      <c r="BB973" s="91"/>
      <c r="BC973" s="91"/>
      <c r="BD973" s="91"/>
      <c r="BE973" s="91"/>
      <c r="BF973" s="91"/>
      <c r="BG973" s="91"/>
      <c r="BH973" s="91"/>
      <c r="BI973" s="91"/>
      <c r="BJ973" s="91"/>
      <c r="BK973" s="91"/>
      <c r="BL973" s="91"/>
      <c r="BM973" s="91"/>
      <c r="BN973" s="91"/>
      <c r="BO973" s="91"/>
      <c r="BP973" s="91"/>
      <c r="BQ973" s="91"/>
      <c r="BR973" s="91"/>
    </row>
    <row r="974" spans="1:70" ht="15.75" customHeight="1">
      <c r="A974" s="91"/>
      <c r="B974" s="91"/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91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  <c r="AG974" s="91"/>
      <c r="AH974" s="91"/>
      <c r="AI974" s="91"/>
      <c r="AJ974" s="91"/>
      <c r="AK974" s="91"/>
      <c r="AL974" s="91"/>
      <c r="AM974" s="91"/>
      <c r="AN974" s="91"/>
      <c r="AO974" s="91"/>
      <c r="AP974" s="91"/>
      <c r="AQ974" s="91"/>
      <c r="AR974" s="91"/>
      <c r="AS974" s="91"/>
      <c r="AT974" s="91"/>
      <c r="AU974" s="91"/>
      <c r="AV974" s="91"/>
      <c r="AW974" s="91"/>
      <c r="AX974" s="91"/>
      <c r="AY974" s="91"/>
      <c r="AZ974" s="91"/>
      <c r="BA974" s="91"/>
      <c r="BB974" s="91"/>
      <c r="BC974" s="91"/>
      <c r="BD974" s="91"/>
      <c r="BE974" s="91"/>
      <c r="BF974" s="91"/>
      <c r="BG974" s="91"/>
      <c r="BH974" s="91"/>
      <c r="BI974" s="91"/>
      <c r="BJ974" s="91"/>
      <c r="BK974" s="91"/>
      <c r="BL974" s="91"/>
      <c r="BM974" s="91"/>
      <c r="BN974" s="91"/>
      <c r="BO974" s="91"/>
      <c r="BP974" s="91"/>
      <c r="BQ974" s="91"/>
      <c r="BR974" s="91"/>
    </row>
    <row r="975" spans="1:70" ht="15.75" customHeight="1">
      <c r="A975" s="91"/>
      <c r="B975" s="91"/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91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  <c r="AG975" s="91"/>
      <c r="AH975" s="91"/>
      <c r="AI975" s="91"/>
      <c r="AJ975" s="91"/>
      <c r="AK975" s="91"/>
      <c r="AL975" s="91"/>
      <c r="AM975" s="91"/>
      <c r="AN975" s="91"/>
      <c r="AO975" s="91"/>
      <c r="AP975" s="91"/>
      <c r="AQ975" s="91"/>
      <c r="AR975" s="91"/>
      <c r="AS975" s="91"/>
      <c r="AT975" s="91"/>
      <c r="AU975" s="91"/>
      <c r="AV975" s="91"/>
      <c r="AW975" s="91"/>
      <c r="AX975" s="91"/>
      <c r="AY975" s="91"/>
      <c r="AZ975" s="91"/>
      <c r="BA975" s="91"/>
      <c r="BB975" s="91"/>
      <c r="BC975" s="91"/>
      <c r="BD975" s="91"/>
      <c r="BE975" s="91"/>
      <c r="BF975" s="91"/>
      <c r="BG975" s="91"/>
      <c r="BH975" s="91"/>
      <c r="BI975" s="91"/>
      <c r="BJ975" s="91"/>
      <c r="BK975" s="91"/>
      <c r="BL975" s="91"/>
      <c r="BM975" s="91"/>
      <c r="BN975" s="91"/>
      <c r="BO975" s="91"/>
      <c r="BP975" s="91"/>
      <c r="BQ975" s="91"/>
      <c r="BR975" s="91"/>
    </row>
    <row r="976" spans="1:70" ht="15.75" customHeight="1">
      <c r="A976" s="91"/>
      <c r="B976" s="91"/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  <c r="T976" s="91"/>
      <c r="U976" s="91"/>
      <c r="V976" s="91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  <c r="AG976" s="91"/>
      <c r="AH976" s="91"/>
      <c r="AI976" s="91"/>
      <c r="AJ976" s="91"/>
      <c r="AK976" s="91"/>
      <c r="AL976" s="91"/>
      <c r="AM976" s="91"/>
      <c r="AN976" s="91"/>
      <c r="AO976" s="91"/>
      <c r="AP976" s="91"/>
      <c r="AQ976" s="91"/>
      <c r="AR976" s="91"/>
      <c r="AS976" s="91"/>
      <c r="AT976" s="91"/>
      <c r="AU976" s="91"/>
      <c r="AV976" s="91"/>
      <c r="AW976" s="91"/>
      <c r="AX976" s="91"/>
      <c r="AY976" s="91"/>
      <c r="AZ976" s="91"/>
      <c r="BA976" s="91"/>
      <c r="BB976" s="91"/>
      <c r="BC976" s="91"/>
      <c r="BD976" s="91"/>
      <c r="BE976" s="91"/>
      <c r="BF976" s="91"/>
      <c r="BG976" s="91"/>
      <c r="BH976" s="91"/>
      <c r="BI976" s="91"/>
      <c r="BJ976" s="91"/>
      <c r="BK976" s="91"/>
      <c r="BL976" s="91"/>
      <c r="BM976" s="91"/>
      <c r="BN976" s="91"/>
      <c r="BO976" s="91"/>
      <c r="BP976" s="91"/>
      <c r="BQ976" s="91"/>
      <c r="BR976" s="91"/>
    </row>
    <row r="977" spans="1:70" ht="15.75" customHeight="1">
      <c r="A977" s="91"/>
      <c r="B977" s="91"/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  <c r="T977" s="91"/>
      <c r="U977" s="91"/>
      <c r="V977" s="91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  <c r="AG977" s="91"/>
      <c r="AH977" s="91"/>
      <c r="AI977" s="91"/>
      <c r="AJ977" s="91"/>
      <c r="AK977" s="91"/>
      <c r="AL977" s="91"/>
      <c r="AM977" s="91"/>
      <c r="AN977" s="91"/>
      <c r="AO977" s="91"/>
      <c r="AP977" s="91"/>
      <c r="AQ977" s="91"/>
      <c r="AR977" s="91"/>
      <c r="AS977" s="91"/>
      <c r="AT977" s="91"/>
      <c r="AU977" s="91"/>
      <c r="AV977" s="91"/>
      <c r="AW977" s="91"/>
      <c r="AX977" s="91"/>
      <c r="AY977" s="91"/>
      <c r="AZ977" s="91"/>
      <c r="BA977" s="91"/>
      <c r="BB977" s="91"/>
      <c r="BC977" s="91"/>
      <c r="BD977" s="91"/>
      <c r="BE977" s="91"/>
      <c r="BF977" s="91"/>
      <c r="BG977" s="91"/>
      <c r="BH977" s="91"/>
      <c r="BI977" s="91"/>
      <c r="BJ977" s="91"/>
      <c r="BK977" s="91"/>
      <c r="BL977" s="91"/>
      <c r="BM977" s="91"/>
      <c r="BN977" s="91"/>
      <c r="BO977" s="91"/>
      <c r="BP977" s="91"/>
      <c r="BQ977" s="91"/>
      <c r="BR977" s="91"/>
    </row>
    <row r="978" spans="1:70" ht="15.75" customHeight="1">
      <c r="A978" s="91"/>
      <c r="B978" s="91"/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  <c r="T978" s="91"/>
      <c r="U978" s="91"/>
      <c r="V978" s="91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  <c r="AG978" s="91"/>
      <c r="AH978" s="91"/>
      <c r="AI978" s="91"/>
      <c r="AJ978" s="91"/>
      <c r="AK978" s="91"/>
      <c r="AL978" s="91"/>
      <c r="AM978" s="91"/>
      <c r="AN978" s="91"/>
      <c r="AO978" s="91"/>
      <c r="AP978" s="91"/>
      <c r="AQ978" s="91"/>
      <c r="AR978" s="91"/>
      <c r="AS978" s="91"/>
      <c r="AT978" s="91"/>
      <c r="AU978" s="91"/>
      <c r="AV978" s="91"/>
      <c r="AW978" s="91"/>
      <c r="AX978" s="91"/>
      <c r="AY978" s="91"/>
      <c r="AZ978" s="91"/>
      <c r="BA978" s="91"/>
      <c r="BB978" s="91"/>
      <c r="BC978" s="91"/>
      <c r="BD978" s="91"/>
      <c r="BE978" s="91"/>
      <c r="BF978" s="91"/>
      <c r="BG978" s="91"/>
      <c r="BH978" s="91"/>
      <c r="BI978" s="91"/>
      <c r="BJ978" s="91"/>
      <c r="BK978" s="91"/>
      <c r="BL978" s="91"/>
      <c r="BM978" s="91"/>
      <c r="BN978" s="91"/>
      <c r="BO978" s="91"/>
      <c r="BP978" s="91"/>
      <c r="BQ978" s="91"/>
      <c r="BR978" s="91"/>
    </row>
    <row r="979" spans="1:70" ht="15.75" customHeight="1">
      <c r="A979" s="91"/>
      <c r="B979" s="91"/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  <c r="T979" s="91"/>
      <c r="U979" s="91"/>
      <c r="V979" s="91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  <c r="AG979" s="91"/>
      <c r="AH979" s="91"/>
      <c r="AI979" s="91"/>
      <c r="AJ979" s="91"/>
      <c r="AK979" s="91"/>
      <c r="AL979" s="91"/>
      <c r="AM979" s="91"/>
      <c r="AN979" s="91"/>
      <c r="AO979" s="91"/>
      <c r="AP979" s="91"/>
      <c r="AQ979" s="91"/>
      <c r="AR979" s="91"/>
      <c r="AS979" s="91"/>
      <c r="AT979" s="91"/>
      <c r="AU979" s="91"/>
      <c r="AV979" s="91"/>
      <c r="AW979" s="91"/>
      <c r="AX979" s="91"/>
      <c r="AY979" s="91"/>
      <c r="AZ979" s="91"/>
      <c r="BA979" s="91"/>
      <c r="BB979" s="91"/>
      <c r="BC979" s="91"/>
      <c r="BD979" s="91"/>
      <c r="BE979" s="91"/>
      <c r="BF979" s="91"/>
      <c r="BG979" s="91"/>
      <c r="BH979" s="91"/>
      <c r="BI979" s="91"/>
      <c r="BJ979" s="91"/>
      <c r="BK979" s="91"/>
      <c r="BL979" s="91"/>
      <c r="BM979" s="91"/>
      <c r="BN979" s="91"/>
      <c r="BO979" s="91"/>
      <c r="BP979" s="91"/>
      <c r="BQ979" s="91"/>
      <c r="BR979" s="91"/>
    </row>
    <row r="980" spans="1:70" ht="15.75" customHeight="1">
      <c r="A980" s="91"/>
      <c r="B980" s="91"/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  <c r="T980" s="91"/>
      <c r="U980" s="91"/>
      <c r="V980" s="91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  <c r="AG980" s="91"/>
      <c r="AH980" s="91"/>
      <c r="AI980" s="91"/>
      <c r="AJ980" s="91"/>
      <c r="AK980" s="91"/>
      <c r="AL980" s="91"/>
      <c r="AM980" s="91"/>
      <c r="AN980" s="91"/>
      <c r="AO980" s="91"/>
      <c r="AP980" s="91"/>
      <c r="AQ980" s="91"/>
      <c r="AR980" s="91"/>
      <c r="AS980" s="91"/>
      <c r="AT980" s="91"/>
      <c r="AU980" s="91"/>
      <c r="AV980" s="91"/>
      <c r="AW980" s="91"/>
      <c r="AX980" s="91"/>
      <c r="AY980" s="91"/>
      <c r="AZ980" s="91"/>
      <c r="BA980" s="91"/>
      <c r="BB980" s="91"/>
      <c r="BC980" s="91"/>
      <c r="BD980" s="91"/>
      <c r="BE980" s="91"/>
      <c r="BF980" s="91"/>
      <c r="BG980" s="91"/>
      <c r="BH980" s="91"/>
      <c r="BI980" s="91"/>
      <c r="BJ980" s="91"/>
      <c r="BK980" s="91"/>
      <c r="BL980" s="91"/>
      <c r="BM980" s="91"/>
      <c r="BN980" s="91"/>
      <c r="BO980" s="91"/>
      <c r="BP980" s="91"/>
      <c r="BQ980" s="91"/>
      <c r="BR980" s="91"/>
    </row>
    <row r="981" spans="1:70" ht="15.75" customHeight="1">
      <c r="A981" s="91"/>
      <c r="B981" s="91"/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  <c r="T981" s="91"/>
      <c r="U981" s="91"/>
      <c r="V981" s="91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  <c r="AG981" s="91"/>
      <c r="AH981" s="91"/>
      <c r="AI981" s="91"/>
      <c r="AJ981" s="91"/>
      <c r="AK981" s="91"/>
      <c r="AL981" s="91"/>
      <c r="AM981" s="91"/>
      <c r="AN981" s="91"/>
      <c r="AO981" s="91"/>
      <c r="AP981" s="91"/>
      <c r="AQ981" s="91"/>
      <c r="AR981" s="91"/>
      <c r="AS981" s="91"/>
      <c r="AT981" s="91"/>
      <c r="AU981" s="91"/>
      <c r="AV981" s="91"/>
      <c r="AW981" s="91"/>
      <c r="AX981" s="91"/>
      <c r="AY981" s="91"/>
      <c r="AZ981" s="91"/>
      <c r="BA981" s="91"/>
      <c r="BB981" s="91"/>
      <c r="BC981" s="91"/>
      <c r="BD981" s="91"/>
      <c r="BE981" s="91"/>
      <c r="BF981" s="91"/>
      <c r="BG981" s="91"/>
      <c r="BH981" s="91"/>
      <c r="BI981" s="91"/>
      <c r="BJ981" s="91"/>
      <c r="BK981" s="91"/>
      <c r="BL981" s="91"/>
      <c r="BM981" s="91"/>
      <c r="BN981" s="91"/>
      <c r="BO981" s="91"/>
      <c r="BP981" s="91"/>
      <c r="BQ981" s="91"/>
      <c r="BR981" s="91"/>
    </row>
    <row r="982" spans="1:70" ht="15.75" customHeight="1">
      <c r="A982" s="91"/>
      <c r="B982" s="91"/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  <c r="T982" s="91"/>
      <c r="U982" s="91"/>
      <c r="V982" s="91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  <c r="AG982" s="91"/>
      <c r="AH982" s="91"/>
      <c r="AI982" s="91"/>
      <c r="AJ982" s="91"/>
      <c r="AK982" s="91"/>
      <c r="AL982" s="91"/>
      <c r="AM982" s="91"/>
      <c r="AN982" s="91"/>
      <c r="AO982" s="91"/>
      <c r="AP982" s="91"/>
      <c r="AQ982" s="91"/>
      <c r="AR982" s="91"/>
      <c r="AS982" s="91"/>
      <c r="AT982" s="91"/>
      <c r="AU982" s="91"/>
      <c r="AV982" s="91"/>
      <c r="AW982" s="91"/>
      <c r="AX982" s="91"/>
      <c r="AY982" s="91"/>
      <c r="AZ982" s="91"/>
      <c r="BA982" s="91"/>
      <c r="BB982" s="91"/>
      <c r="BC982" s="91"/>
      <c r="BD982" s="91"/>
      <c r="BE982" s="91"/>
      <c r="BF982" s="91"/>
      <c r="BG982" s="91"/>
      <c r="BH982" s="91"/>
      <c r="BI982" s="91"/>
      <c r="BJ982" s="91"/>
      <c r="BK982" s="91"/>
      <c r="BL982" s="91"/>
      <c r="BM982" s="91"/>
      <c r="BN982" s="91"/>
      <c r="BO982" s="91"/>
      <c r="BP982" s="91"/>
      <c r="BQ982" s="91"/>
      <c r="BR982" s="91"/>
    </row>
    <row r="983" spans="1:70" ht="15.75" customHeight="1">
      <c r="A983" s="91"/>
      <c r="B983" s="91"/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  <c r="T983" s="91"/>
      <c r="U983" s="91"/>
      <c r="V983" s="91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  <c r="AG983" s="91"/>
      <c r="AH983" s="91"/>
      <c r="AI983" s="91"/>
      <c r="AJ983" s="91"/>
      <c r="AK983" s="91"/>
      <c r="AL983" s="91"/>
      <c r="AM983" s="91"/>
      <c r="AN983" s="91"/>
      <c r="AO983" s="91"/>
      <c r="AP983" s="91"/>
      <c r="AQ983" s="91"/>
      <c r="AR983" s="91"/>
      <c r="AS983" s="91"/>
      <c r="AT983" s="91"/>
      <c r="AU983" s="91"/>
      <c r="AV983" s="91"/>
      <c r="AW983" s="91"/>
      <c r="AX983" s="91"/>
      <c r="AY983" s="91"/>
      <c r="AZ983" s="91"/>
      <c r="BA983" s="91"/>
      <c r="BB983" s="91"/>
      <c r="BC983" s="91"/>
      <c r="BD983" s="91"/>
      <c r="BE983" s="91"/>
      <c r="BF983" s="91"/>
      <c r="BG983" s="91"/>
      <c r="BH983" s="91"/>
      <c r="BI983" s="91"/>
      <c r="BJ983" s="91"/>
      <c r="BK983" s="91"/>
      <c r="BL983" s="91"/>
      <c r="BM983" s="91"/>
      <c r="BN983" s="91"/>
      <c r="BO983" s="91"/>
      <c r="BP983" s="91"/>
      <c r="BQ983" s="91"/>
      <c r="BR983" s="91"/>
    </row>
    <row r="984" spans="1:70" ht="15.75" customHeight="1">
      <c r="A984" s="91"/>
      <c r="B984" s="91"/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  <c r="T984" s="91"/>
      <c r="U984" s="91"/>
      <c r="V984" s="91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  <c r="AG984" s="91"/>
      <c r="AH984" s="91"/>
      <c r="AI984" s="91"/>
      <c r="AJ984" s="91"/>
      <c r="AK984" s="91"/>
      <c r="AL984" s="91"/>
      <c r="AM984" s="91"/>
      <c r="AN984" s="91"/>
      <c r="AO984" s="91"/>
      <c r="AP984" s="91"/>
      <c r="AQ984" s="91"/>
      <c r="AR984" s="91"/>
      <c r="AS984" s="91"/>
      <c r="AT984" s="91"/>
      <c r="AU984" s="91"/>
      <c r="AV984" s="91"/>
      <c r="AW984" s="91"/>
      <c r="AX984" s="91"/>
      <c r="AY984" s="91"/>
      <c r="AZ984" s="91"/>
      <c r="BA984" s="91"/>
      <c r="BB984" s="91"/>
      <c r="BC984" s="91"/>
      <c r="BD984" s="91"/>
      <c r="BE984" s="91"/>
      <c r="BF984" s="91"/>
      <c r="BG984" s="91"/>
      <c r="BH984" s="91"/>
      <c r="BI984" s="91"/>
      <c r="BJ984" s="91"/>
      <c r="BK984" s="91"/>
      <c r="BL984" s="91"/>
      <c r="BM984" s="91"/>
      <c r="BN984" s="91"/>
      <c r="BO984" s="91"/>
      <c r="BP984" s="91"/>
      <c r="BQ984" s="91"/>
      <c r="BR984" s="91"/>
    </row>
    <row r="985" spans="1:70" ht="15.75" customHeight="1">
      <c r="A985" s="91"/>
      <c r="B985" s="91"/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  <c r="T985" s="91"/>
      <c r="U985" s="91"/>
      <c r="V985" s="91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  <c r="AG985" s="91"/>
      <c r="AH985" s="91"/>
      <c r="AI985" s="91"/>
      <c r="AJ985" s="91"/>
      <c r="AK985" s="91"/>
      <c r="AL985" s="91"/>
      <c r="AM985" s="91"/>
      <c r="AN985" s="91"/>
      <c r="AO985" s="91"/>
      <c r="AP985" s="91"/>
      <c r="AQ985" s="91"/>
      <c r="AR985" s="91"/>
      <c r="AS985" s="91"/>
      <c r="AT985" s="91"/>
      <c r="AU985" s="91"/>
      <c r="AV985" s="91"/>
      <c r="AW985" s="91"/>
      <c r="AX985" s="91"/>
      <c r="AY985" s="91"/>
      <c r="AZ985" s="91"/>
      <c r="BA985" s="91"/>
      <c r="BB985" s="91"/>
      <c r="BC985" s="91"/>
      <c r="BD985" s="91"/>
      <c r="BE985" s="91"/>
      <c r="BF985" s="91"/>
      <c r="BG985" s="91"/>
      <c r="BH985" s="91"/>
      <c r="BI985" s="91"/>
      <c r="BJ985" s="91"/>
      <c r="BK985" s="91"/>
      <c r="BL985" s="91"/>
      <c r="BM985" s="91"/>
      <c r="BN985" s="91"/>
      <c r="BO985" s="91"/>
      <c r="BP985" s="91"/>
      <c r="BQ985" s="91"/>
      <c r="BR985" s="91"/>
    </row>
    <row r="986" spans="1:70" ht="15.75" customHeight="1">
      <c r="A986" s="91"/>
      <c r="B986" s="91"/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  <c r="T986" s="91"/>
      <c r="U986" s="91"/>
      <c r="V986" s="91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  <c r="AG986" s="91"/>
      <c r="AH986" s="91"/>
      <c r="AI986" s="91"/>
      <c r="AJ986" s="91"/>
      <c r="AK986" s="91"/>
      <c r="AL986" s="91"/>
      <c r="AM986" s="91"/>
      <c r="AN986" s="91"/>
      <c r="AO986" s="91"/>
      <c r="AP986" s="91"/>
      <c r="AQ986" s="91"/>
      <c r="AR986" s="91"/>
      <c r="AS986" s="91"/>
      <c r="AT986" s="91"/>
      <c r="AU986" s="91"/>
      <c r="AV986" s="91"/>
      <c r="AW986" s="91"/>
      <c r="AX986" s="91"/>
      <c r="AY986" s="91"/>
      <c r="AZ986" s="91"/>
      <c r="BA986" s="91"/>
      <c r="BB986" s="91"/>
      <c r="BC986" s="91"/>
      <c r="BD986" s="91"/>
      <c r="BE986" s="91"/>
      <c r="BF986" s="91"/>
      <c r="BG986" s="91"/>
      <c r="BH986" s="91"/>
      <c r="BI986" s="91"/>
      <c r="BJ986" s="91"/>
      <c r="BK986" s="91"/>
      <c r="BL986" s="91"/>
      <c r="BM986" s="91"/>
      <c r="BN986" s="91"/>
      <c r="BO986" s="91"/>
      <c r="BP986" s="91"/>
      <c r="BQ986" s="91"/>
      <c r="BR986" s="91"/>
    </row>
    <row r="987" spans="1:70" ht="15.75" customHeight="1">
      <c r="A987" s="91"/>
      <c r="B987" s="91"/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  <c r="T987" s="91"/>
      <c r="U987" s="91"/>
      <c r="V987" s="91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  <c r="AG987" s="91"/>
      <c r="AH987" s="91"/>
      <c r="AI987" s="91"/>
      <c r="AJ987" s="91"/>
      <c r="AK987" s="91"/>
      <c r="AL987" s="91"/>
      <c r="AM987" s="91"/>
      <c r="AN987" s="91"/>
      <c r="AO987" s="91"/>
      <c r="AP987" s="91"/>
      <c r="AQ987" s="91"/>
      <c r="AR987" s="91"/>
      <c r="AS987" s="91"/>
      <c r="AT987" s="91"/>
      <c r="AU987" s="91"/>
      <c r="AV987" s="91"/>
      <c r="AW987" s="91"/>
      <c r="AX987" s="91"/>
      <c r="AY987" s="91"/>
      <c r="AZ987" s="91"/>
      <c r="BA987" s="91"/>
      <c r="BB987" s="91"/>
      <c r="BC987" s="91"/>
      <c r="BD987" s="91"/>
      <c r="BE987" s="91"/>
      <c r="BF987" s="91"/>
      <c r="BG987" s="91"/>
      <c r="BH987" s="91"/>
      <c r="BI987" s="91"/>
      <c r="BJ987" s="91"/>
      <c r="BK987" s="91"/>
      <c r="BL987" s="91"/>
      <c r="BM987" s="91"/>
      <c r="BN987" s="91"/>
      <c r="BO987" s="91"/>
      <c r="BP987" s="91"/>
      <c r="BQ987" s="91"/>
      <c r="BR987" s="91"/>
    </row>
    <row r="988" spans="1:70" ht="15.75" customHeight="1">
      <c r="A988" s="91"/>
      <c r="B988" s="91"/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  <c r="T988" s="91"/>
      <c r="U988" s="91"/>
      <c r="V988" s="91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  <c r="AG988" s="91"/>
      <c r="AH988" s="91"/>
      <c r="AI988" s="91"/>
      <c r="AJ988" s="91"/>
      <c r="AK988" s="91"/>
      <c r="AL988" s="91"/>
      <c r="AM988" s="91"/>
      <c r="AN988" s="91"/>
      <c r="AO988" s="91"/>
      <c r="AP988" s="91"/>
      <c r="AQ988" s="91"/>
      <c r="AR988" s="91"/>
      <c r="AS988" s="91"/>
      <c r="AT988" s="91"/>
      <c r="AU988" s="91"/>
      <c r="AV988" s="91"/>
      <c r="AW988" s="91"/>
      <c r="AX988" s="91"/>
      <c r="AY988" s="91"/>
      <c r="AZ988" s="91"/>
      <c r="BA988" s="91"/>
      <c r="BB988" s="91"/>
      <c r="BC988" s="91"/>
      <c r="BD988" s="91"/>
      <c r="BE988" s="91"/>
      <c r="BF988" s="91"/>
      <c r="BG988" s="91"/>
      <c r="BH988" s="91"/>
      <c r="BI988" s="91"/>
      <c r="BJ988" s="91"/>
      <c r="BK988" s="91"/>
      <c r="BL988" s="91"/>
      <c r="BM988" s="91"/>
      <c r="BN988" s="91"/>
      <c r="BO988" s="91"/>
      <c r="BP988" s="91"/>
      <c r="BQ988" s="91"/>
      <c r="BR988" s="91"/>
    </row>
    <row r="989" spans="1:70" ht="15.75" customHeight="1">
      <c r="A989" s="91"/>
      <c r="B989" s="91"/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  <c r="T989" s="91"/>
      <c r="U989" s="91"/>
      <c r="V989" s="91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  <c r="AG989" s="91"/>
      <c r="AH989" s="91"/>
      <c r="AI989" s="91"/>
      <c r="AJ989" s="91"/>
      <c r="AK989" s="91"/>
      <c r="AL989" s="91"/>
      <c r="AM989" s="91"/>
      <c r="AN989" s="91"/>
      <c r="AO989" s="91"/>
      <c r="AP989" s="91"/>
      <c r="AQ989" s="91"/>
      <c r="AR989" s="91"/>
      <c r="AS989" s="91"/>
      <c r="AT989" s="91"/>
      <c r="AU989" s="91"/>
      <c r="AV989" s="91"/>
      <c r="AW989" s="91"/>
      <c r="AX989" s="91"/>
      <c r="AY989" s="91"/>
      <c r="AZ989" s="91"/>
      <c r="BA989" s="91"/>
      <c r="BB989" s="91"/>
      <c r="BC989" s="91"/>
      <c r="BD989" s="91"/>
      <c r="BE989" s="91"/>
      <c r="BF989" s="91"/>
      <c r="BG989" s="91"/>
      <c r="BH989" s="91"/>
      <c r="BI989" s="91"/>
      <c r="BJ989" s="91"/>
      <c r="BK989" s="91"/>
      <c r="BL989" s="91"/>
      <c r="BM989" s="91"/>
      <c r="BN989" s="91"/>
      <c r="BO989" s="91"/>
      <c r="BP989" s="91"/>
      <c r="BQ989" s="91"/>
      <c r="BR989" s="91"/>
    </row>
    <row r="990" spans="1:70" ht="15.75" customHeight="1">
      <c r="A990" s="91"/>
      <c r="B990" s="91"/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  <c r="T990" s="91"/>
      <c r="U990" s="91"/>
      <c r="V990" s="91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  <c r="AG990" s="91"/>
      <c r="AH990" s="91"/>
      <c r="AI990" s="91"/>
      <c r="AJ990" s="91"/>
      <c r="AK990" s="91"/>
      <c r="AL990" s="91"/>
      <c r="AM990" s="91"/>
      <c r="AN990" s="91"/>
      <c r="AO990" s="91"/>
      <c r="AP990" s="91"/>
      <c r="AQ990" s="91"/>
      <c r="AR990" s="91"/>
      <c r="AS990" s="91"/>
      <c r="AT990" s="91"/>
      <c r="AU990" s="91"/>
      <c r="AV990" s="91"/>
      <c r="AW990" s="91"/>
      <c r="AX990" s="91"/>
      <c r="AY990" s="91"/>
      <c r="AZ990" s="91"/>
      <c r="BA990" s="91"/>
      <c r="BB990" s="91"/>
      <c r="BC990" s="91"/>
      <c r="BD990" s="91"/>
      <c r="BE990" s="91"/>
      <c r="BF990" s="91"/>
      <c r="BG990" s="91"/>
      <c r="BH990" s="91"/>
      <c r="BI990" s="91"/>
      <c r="BJ990" s="91"/>
      <c r="BK990" s="91"/>
      <c r="BL990" s="91"/>
      <c r="BM990" s="91"/>
      <c r="BN990" s="91"/>
      <c r="BO990" s="91"/>
      <c r="BP990" s="91"/>
      <c r="BQ990" s="91"/>
      <c r="BR990" s="91"/>
    </row>
    <row r="991" spans="1:70" ht="15.75" customHeight="1">
      <c r="A991" s="91"/>
      <c r="B991" s="91"/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  <c r="T991" s="91"/>
      <c r="U991" s="91"/>
      <c r="V991" s="91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  <c r="AG991" s="91"/>
      <c r="AH991" s="91"/>
      <c r="AI991" s="91"/>
      <c r="AJ991" s="91"/>
      <c r="AK991" s="91"/>
      <c r="AL991" s="91"/>
      <c r="AM991" s="91"/>
      <c r="AN991" s="91"/>
      <c r="AO991" s="91"/>
      <c r="AP991" s="91"/>
      <c r="AQ991" s="91"/>
      <c r="AR991" s="91"/>
      <c r="AS991" s="91"/>
      <c r="AT991" s="91"/>
      <c r="AU991" s="91"/>
      <c r="AV991" s="91"/>
      <c r="AW991" s="91"/>
      <c r="AX991" s="91"/>
      <c r="AY991" s="91"/>
      <c r="AZ991" s="91"/>
      <c r="BA991" s="91"/>
      <c r="BB991" s="91"/>
      <c r="BC991" s="91"/>
      <c r="BD991" s="91"/>
      <c r="BE991" s="91"/>
      <c r="BF991" s="91"/>
      <c r="BG991" s="91"/>
      <c r="BH991" s="91"/>
      <c r="BI991" s="91"/>
      <c r="BJ991" s="91"/>
      <c r="BK991" s="91"/>
      <c r="BL991" s="91"/>
      <c r="BM991" s="91"/>
      <c r="BN991" s="91"/>
      <c r="BO991" s="91"/>
      <c r="BP991" s="91"/>
      <c r="BQ991" s="91"/>
      <c r="BR991" s="91"/>
    </row>
    <row r="992" spans="1:70" ht="15.75" customHeight="1">
      <c r="A992" s="91"/>
      <c r="B992" s="91"/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  <c r="T992" s="91"/>
      <c r="U992" s="91"/>
      <c r="V992" s="91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  <c r="AG992" s="91"/>
      <c r="AH992" s="91"/>
      <c r="AI992" s="91"/>
      <c r="AJ992" s="91"/>
      <c r="AK992" s="91"/>
      <c r="AL992" s="91"/>
      <c r="AM992" s="91"/>
      <c r="AN992" s="91"/>
      <c r="AO992" s="91"/>
      <c r="AP992" s="91"/>
      <c r="AQ992" s="91"/>
      <c r="AR992" s="91"/>
      <c r="AS992" s="91"/>
      <c r="AT992" s="91"/>
      <c r="AU992" s="91"/>
      <c r="AV992" s="91"/>
      <c r="AW992" s="91"/>
      <c r="AX992" s="91"/>
      <c r="AY992" s="91"/>
      <c r="AZ992" s="91"/>
      <c r="BA992" s="91"/>
      <c r="BB992" s="91"/>
      <c r="BC992" s="91"/>
      <c r="BD992" s="91"/>
      <c r="BE992" s="91"/>
      <c r="BF992" s="91"/>
      <c r="BG992" s="91"/>
      <c r="BH992" s="91"/>
      <c r="BI992" s="91"/>
      <c r="BJ992" s="91"/>
      <c r="BK992" s="91"/>
      <c r="BL992" s="91"/>
      <c r="BM992" s="91"/>
      <c r="BN992" s="91"/>
      <c r="BO992" s="91"/>
      <c r="BP992" s="91"/>
      <c r="BQ992" s="91"/>
      <c r="BR992" s="91"/>
    </row>
    <row r="993" spans="1:70" ht="15.75" customHeight="1">
      <c r="A993" s="91"/>
      <c r="B993" s="91"/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  <c r="T993" s="91"/>
      <c r="U993" s="91"/>
      <c r="V993" s="91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  <c r="AG993" s="91"/>
      <c r="AH993" s="91"/>
      <c r="AI993" s="91"/>
      <c r="AJ993" s="91"/>
      <c r="AK993" s="91"/>
      <c r="AL993" s="91"/>
      <c r="AM993" s="91"/>
      <c r="AN993" s="91"/>
      <c r="AO993" s="91"/>
      <c r="AP993" s="91"/>
      <c r="AQ993" s="91"/>
      <c r="AR993" s="91"/>
      <c r="AS993" s="91"/>
      <c r="AT993" s="91"/>
      <c r="AU993" s="91"/>
      <c r="AV993" s="91"/>
      <c r="AW993" s="91"/>
      <c r="AX993" s="91"/>
      <c r="AY993" s="91"/>
      <c r="AZ993" s="91"/>
      <c r="BA993" s="91"/>
      <c r="BB993" s="91"/>
      <c r="BC993" s="91"/>
      <c r="BD993" s="91"/>
      <c r="BE993" s="91"/>
      <c r="BF993" s="91"/>
      <c r="BG993" s="91"/>
      <c r="BH993" s="91"/>
      <c r="BI993" s="91"/>
      <c r="BJ993" s="91"/>
      <c r="BK993" s="91"/>
      <c r="BL993" s="91"/>
      <c r="BM993" s="91"/>
      <c r="BN993" s="91"/>
      <c r="BO993" s="91"/>
      <c r="BP993" s="91"/>
      <c r="BQ993" s="91"/>
      <c r="BR993" s="91"/>
    </row>
    <row r="994" spans="1:70" ht="15.75" customHeight="1">
      <c r="A994" s="91"/>
      <c r="B994" s="91"/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  <c r="T994" s="91"/>
      <c r="U994" s="91"/>
      <c r="V994" s="91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  <c r="AG994" s="91"/>
      <c r="AH994" s="91"/>
      <c r="AI994" s="91"/>
      <c r="AJ994" s="91"/>
      <c r="AK994" s="91"/>
      <c r="AL994" s="91"/>
      <c r="AM994" s="91"/>
      <c r="AN994" s="91"/>
      <c r="AO994" s="91"/>
      <c r="AP994" s="91"/>
      <c r="AQ994" s="91"/>
      <c r="AR994" s="91"/>
      <c r="AS994" s="91"/>
      <c r="AT994" s="91"/>
      <c r="AU994" s="91"/>
      <c r="AV994" s="91"/>
      <c r="AW994" s="91"/>
      <c r="AX994" s="91"/>
      <c r="AY994" s="91"/>
      <c r="AZ994" s="91"/>
      <c r="BA994" s="91"/>
      <c r="BB994" s="91"/>
      <c r="BC994" s="91"/>
      <c r="BD994" s="91"/>
      <c r="BE994" s="91"/>
      <c r="BF994" s="91"/>
      <c r="BG994" s="91"/>
      <c r="BH994" s="91"/>
      <c r="BI994" s="91"/>
      <c r="BJ994" s="91"/>
      <c r="BK994" s="91"/>
      <c r="BL994" s="91"/>
      <c r="BM994" s="91"/>
      <c r="BN994" s="91"/>
      <c r="BO994" s="91"/>
      <c r="BP994" s="91"/>
      <c r="BQ994" s="91"/>
      <c r="BR994" s="91"/>
    </row>
    <row r="995" spans="1:70" ht="15.75" customHeight="1">
      <c r="A995" s="91"/>
      <c r="B995" s="91"/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  <c r="T995" s="91"/>
      <c r="U995" s="91"/>
      <c r="V995" s="91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  <c r="AG995" s="91"/>
      <c r="AH995" s="91"/>
      <c r="AI995" s="91"/>
      <c r="AJ995" s="91"/>
      <c r="AK995" s="91"/>
      <c r="AL995" s="91"/>
      <c r="AM995" s="91"/>
      <c r="AN995" s="91"/>
      <c r="AO995" s="91"/>
      <c r="AP995" s="91"/>
      <c r="AQ995" s="91"/>
      <c r="AR995" s="91"/>
      <c r="AS995" s="91"/>
      <c r="AT995" s="91"/>
      <c r="AU995" s="91"/>
      <c r="AV995" s="91"/>
      <c r="AW995" s="91"/>
      <c r="AX995" s="91"/>
      <c r="AY995" s="91"/>
      <c r="AZ995" s="91"/>
      <c r="BA995" s="91"/>
      <c r="BB995" s="91"/>
      <c r="BC995" s="91"/>
      <c r="BD995" s="91"/>
      <c r="BE995" s="91"/>
      <c r="BF995" s="91"/>
      <c r="BG995" s="91"/>
      <c r="BH995" s="91"/>
      <c r="BI995" s="91"/>
      <c r="BJ995" s="91"/>
      <c r="BK995" s="91"/>
      <c r="BL995" s="91"/>
      <c r="BM995" s="91"/>
      <c r="BN995" s="91"/>
      <c r="BO995" s="91"/>
      <c r="BP995" s="91"/>
      <c r="BQ995" s="91"/>
      <c r="BR995" s="91"/>
    </row>
    <row r="996" spans="1:70" ht="15.75" customHeight="1">
      <c r="A996" s="91"/>
      <c r="B996" s="91"/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  <c r="T996" s="91"/>
      <c r="U996" s="91"/>
      <c r="V996" s="91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  <c r="AG996" s="91"/>
      <c r="AH996" s="91"/>
      <c r="AI996" s="91"/>
      <c r="AJ996" s="91"/>
      <c r="AK996" s="91"/>
      <c r="AL996" s="91"/>
      <c r="AM996" s="91"/>
      <c r="AN996" s="91"/>
      <c r="AO996" s="91"/>
      <c r="AP996" s="91"/>
      <c r="AQ996" s="91"/>
      <c r="AR996" s="91"/>
      <c r="AS996" s="91"/>
      <c r="AT996" s="91"/>
      <c r="AU996" s="91"/>
      <c r="AV996" s="91"/>
      <c r="AW996" s="91"/>
      <c r="AX996" s="91"/>
      <c r="AY996" s="91"/>
      <c r="AZ996" s="91"/>
      <c r="BA996" s="91"/>
      <c r="BB996" s="91"/>
      <c r="BC996" s="91"/>
      <c r="BD996" s="91"/>
      <c r="BE996" s="91"/>
      <c r="BF996" s="91"/>
      <c r="BG996" s="91"/>
      <c r="BH996" s="91"/>
      <c r="BI996" s="91"/>
      <c r="BJ996" s="91"/>
      <c r="BK996" s="91"/>
      <c r="BL996" s="91"/>
      <c r="BM996" s="91"/>
      <c r="BN996" s="91"/>
      <c r="BO996" s="91"/>
      <c r="BP996" s="91"/>
      <c r="BQ996" s="91"/>
      <c r="BR996" s="91"/>
    </row>
    <row r="997" spans="1:70" ht="15.75" customHeight="1">
      <c r="A997" s="91"/>
      <c r="B997" s="91"/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  <c r="T997" s="91"/>
      <c r="U997" s="91"/>
      <c r="V997" s="91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  <c r="AG997" s="91"/>
      <c r="AH997" s="91"/>
      <c r="AI997" s="91"/>
      <c r="AJ997" s="91"/>
      <c r="AK997" s="91"/>
      <c r="AL997" s="91"/>
      <c r="AM997" s="91"/>
      <c r="AN997" s="91"/>
      <c r="AO997" s="91"/>
      <c r="AP997" s="91"/>
      <c r="AQ997" s="91"/>
      <c r="AR997" s="91"/>
      <c r="AS997" s="91"/>
      <c r="AT997" s="91"/>
      <c r="AU997" s="91"/>
      <c r="AV997" s="91"/>
      <c r="AW997" s="91"/>
      <c r="AX997" s="91"/>
      <c r="AY997" s="91"/>
      <c r="AZ997" s="91"/>
      <c r="BA997" s="91"/>
      <c r="BB997" s="91"/>
      <c r="BC997" s="91"/>
      <c r="BD997" s="91"/>
      <c r="BE997" s="91"/>
      <c r="BF997" s="91"/>
      <c r="BG997" s="91"/>
      <c r="BH997" s="91"/>
      <c r="BI997" s="91"/>
      <c r="BJ997" s="91"/>
      <c r="BK997" s="91"/>
      <c r="BL997" s="91"/>
      <c r="BM997" s="91"/>
      <c r="BN997" s="91"/>
      <c r="BO997" s="91"/>
      <c r="BP997" s="91"/>
      <c r="BQ997" s="91"/>
      <c r="BR997" s="91"/>
    </row>
    <row r="998" spans="1:70" ht="15.75" customHeight="1">
      <c r="A998" s="91"/>
      <c r="B998" s="91"/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91"/>
      <c r="V998" s="91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  <c r="AG998" s="91"/>
      <c r="AH998" s="91"/>
      <c r="AI998" s="91"/>
      <c r="AJ998" s="91"/>
      <c r="AK998" s="91"/>
      <c r="AL998" s="91"/>
      <c r="AM998" s="91"/>
      <c r="AN998" s="91"/>
      <c r="AO998" s="91"/>
      <c r="AP998" s="91"/>
      <c r="AQ998" s="91"/>
      <c r="AR998" s="91"/>
      <c r="AS998" s="91"/>
      <c r="AT998" s="91"/>
      <c r="AU998" s="91"/>
      <c r="AV998" s="91"/>
      <c r="AW998" s="91"/>
      <c r="AX998" s="91"/>
      <c r="AY998" s="91"/>
      <c r="AZ998" s="91"/>
      <c r="BA998" s="91"/>
      <c r="BB998" s="91"/>
      <c r="BC998" s="91"/>
      <c r="BD998" s="91"/>
      <c r="BE998" s="91"/>
      <c r="BF998" s="91"/>
      <c r="BG998" s="91"/>
      <c r="BH998" s="91"/>
      <c r="BI998" s="91"/>
      <c r="BJ998" s="91"/>
      <c r="BK998" s="91"/>
      <c r="BL998" s="91"/>
      <c r="BM998" s="91"/>
      <c r="BN998" s="91"/>
      <c r="BO998" s="91"/>
      <c r="BP998" s="91"/>
      <c r="BQ998" s="91"/>
      <c r="BR998" s="91"/>
    </row>
    <row r="999" spans="1:70" ht="15.75" customHeight="1">
      <c r="A999" s="91"/>
      <c r="B999" s="91"/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91"/>
      <c r="V999" s="91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  <c r="AG999" s="91"/>
      <c r="AH999" s="91"/>
      <c r="AI999" s="91"/>
      <c r="AJ999" s="91"/>
      <c r="AK999" s="91"/>
      <c r="AL999" s="91"/>
      <c r="AM999" s="91"/>
      <c r="AN999" s="91"/>
      <c r="AO999" s="91"/>
      <c r="AP999" s="91"/>
      <c r="AQ999" s="91"/>
      <c r="AR999" s="91"/>
      <c r="AS999" s="91"/>
      <c r="AT999" s="91"/>
      <c r="AU999" s="91"/>
      <c r="AV999" s="91"/>
      <c r="AW999" s="91"/>
      <c r="AX999" s="91"/>
      <c r="AY999" s="91"/>
      <c r="AZ999" s="91"/>
      <c r="BA999" s="91"/>
      <c r="BB999" s="91"/>
      <c r="BC999" s="91"/>
      <c r="BD999" s="91"/>
      <c r="BE999" s="91"/>
      <c r="BF999" s="91"/>
      <c r="BG999" s="91"/>
      <c r="BH999" s="91"/>
      <c r="BI999" s="91"/>
      <c r="BJ999" s="91"/>
      <c r="BK999" s="91"/>
      <c r="BL999" s="91"/>
      <c r="BM999" s="91"/>
      <c r="BN999" s="91"/>
      <c r="BO999" s="91"/>
      <c r="BP999" s="91"/>
      <c r="BQ999" s="91"/>
      <c r="BR999" s="91"/>
    </row>
    <row r="1000" spans="1:70" ht="15.75" customHeight="1">
      <c r="A1000" s="91"/>
      <c r="B1000" s="91"/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  <c r="O1000" s="91"/>
      <c r="P1000" s="91"/>
      <c r="Q1000" s="91"/>
      <c r="R1000" s="91"/>
      <c r="S1000" s="91"/>
      <c r="T1000" s="91"/>
      <c r="U1000" s="91"/>
      <c r="V1000" s="91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  <c r="AG1000" s="91"/>
      <c r="AH1000" s="91"/>
      <c r="AI1000" s="91"/>
      <c r="AJ1000" s="91"/>
      <c r="AK1000" s="91"/>
      <c r="AL1000" s="91"/>
      <c r="AM1000" s="91"/>
      <c r="AN1000" s="91"/>
      <c r="AO1000" s="91"/>
      <c r="AP1000" s="91"/>
      <c r="AQ1000" s="91"/>
      <c r="AR1000" s="91"/>
      <c r="AS1000" s="91"/>
      <c r="AT1000" s="91"/>
      <c r="AU1000" s="91"/>
      <c r="AV1000" s="91"/>
      <c r="AW1000" s="91"/>
      <c r="AX1000" s="91"/>
      <c r="AY1000" s="91"/>
      <c r="AZ1000" s="91"/>
      <c r="BA1000" s="91"/>
      <c r="BB1000" s="91"/>
      <c r="BC1000" s="91"/>
      <c r="BD1000" s="91"/>
      <c r="BE1000" s="91"/>
      <c r="BF1000" s="91"/>
      <c r="BG1000" s="91"/>
      <c r="BH1000" s="91"/>
      <c r="BI1000" s="91"/>
      <c r="BJ1000" s="91"/>
      <c r="BK1000" s="91"/>
      <c r="BL1000" s="91"/>
      <c r="BM1000" s="91"/>
      <c r="BN1000" s="91"/>
      <c r="BO1000" s="91"/>
      <c r="BP1000" s="91"/>
      <c r="BQ1000" s="91"/>
      <c r="BR1000" s="91"/>
    </row>
  </sheetData>
  <mergeCells count="16">
    <mergeCell ref="AN14:AS14"/>
    <mergeCell ref="BG14:BR14"/>
    <mergeCell ref="C1:I1"/>
    <mergeCell ref="AU1:BG1"/>
    <mergeCell ref="A11:C13"/>
    <mergeCell ref="AB11:AS11"/>
    <mergeCell ref="AU11:BR11"/>
    <mergeCell ref="D12:I12"/>
    <mergeCell ref="J12:O12"/>
    <mergeCell ref="P12:U12"/>
    <mergeCell ref="V12:AA12"/>
    <mergeCell ref="AB12:AG12"/>
    <mergeCell ref="AH12:AM12"/>
    <mergeCell ref="AN12:AS12"/>
    <mergeCell ref="AU12:BF12"/>
    <mergeCell ref="BG12:BR12"/>
  </mergeCells>
  <pageMargins left="0.7" right="0.7" top="0.75" bottom="0.75" header="0" footer="0"/>
  <pageSetup orientation="landscape" useFirstPageNumber="1" horizontalDpi="4294967295" verticalDpi="4294967295"/>
  <headerFooter>
    <oddHeader>&amp;L Department of CSE, ULAB&amp;C CO_POAttainmentAnalysis&amp;R CSE004(00)</oddHeader>
    <oddFooter>&amp;LGenerated on &amp;D &amp;T&amp;RCSE004(00) Page &amp;P of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zoomScaleNormal="100" workbookViewId="0">
      <selection sqref="A1:D1"/>
    </sheetView>
  </sheetViews>
  <sheetFormatPr defaultColWidth="14.375" defaultRowHeight="14.25"/>
  <cols>
    <col min="1" max="1" width="24.375" customWidth="1"/>
    <col min="2" max="2" width="32" customWidth="1"/>
    <col min="3" max="3" width="22.75" customWidth="1"/>
    <col min="4" max="4" width="16.875" customWidth="1"/>
    <col min="5" max="24" width="9.125" customWidth="1"/>
  </cols>
  <sheetData>
    <row r="1" spans="1:24" ht="35.25" customHeight="1">
      <c r="A1" s="257" t="s">
        <v>151</v>
      </c>
      <c r="B1" s="232"/>
      <c r="C1" s="232"/>
      <c r="D1" s="233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</row>
    <row r="2" spans="1:24" ht="16.5">
      <c r="A2" s="159" t="s">
        <v>0</v>
      </c>
      <c r="B2" s="160" t="str">
        <f>GradeSheet!$H$2</f>
        <v>CSE</v>
      </c>
      <c r="C2" s="161" t="s">
        <v>2</v>
      </c>
      <c r="D2" s="162">
        <f>GradeSheet!$L$2</f>
        <v>1</v>
      </c>
      <c r="E2" s="157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</row>
    <row r="3" spans="1:24" ht="16.5" customHeight="1">
      <c r="A3" s="159" t="s">
        <v>4</v>
      </c>
      <c r="B3" s="160" t="str">
        <f>GradeSheet!$H$3</f>
        <v>Operating Systems</v>
      </c>
      <c r="C3" s="163" t="s">
        <v>6</v>
      </c>
      <c r="D3" s="164" t="str">
        <f>GradeSheet!$L$3</f>
        <v>Spring 2025</v>
      </c>
      <c r="E3" s="157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</row>
    <row r="4" spans="1:24" ht="16.5">
      <c r="A4" s="159" t="s">
        <v>8</v>
      </c>
      <c r="B4" s="165">
        <f>GradeSheet!$H$4</f>
        <v>3</v>
      </c>
      <c r="C4" s="166" t="s">
        <v>152</v>
      </c>
      <c r="D4" s="167">
        <f>GradeSheet!$H$84</f>
        <v>0</v>
      </c>
      <c r="E4" s="157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</row>
    <row r="5" spans="1:24" ht="16.5">
      <c r="A5" s="157"/>
      <c r="B5" s="157"/>
      <c r="C5" s="157"/>
      <c r="D5" s="157"/>
      <c r="E5" s="157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</row>
    <row r="6" spans="1:24" ht="16.5">
      <c r="A6" s="258" t="s">
        <v>153</v>
      </c>
      <c r="B6" s="259"/>
      <c r="C6" s="168" t="s">
        <v>154</v>
      </c>
      <c r="D6" s="169" t="s">
        <v>145</v>
      </c>
      <c r="E6" s="157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</row>
    <row r="7" spans="1:24" ht="16.5">
      <c r="A7" s="260" t="s">
        <v>119</v>
      </c>
      <c r="B7" s="261"/>
      <c r="C7" s="262" t="s">
        <v>155</v>
      </c>
      <c r="D7" s="170" t="e">
        <f>CO_PO_AttainmentAnalysis!AN76/(GradeSheet!H84-GradeSheet!H83-GradeSheet!H82)</f>
        <v>#DIV/0!</v>
      </c>
      <c r="E7" s="157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</row>
    <row r="8" spans="1:24" ht="16.5">
      <c r="A8" s="258" t="s">
        <v>120</v>
      </c>
      <c r="B8" s="232"/>
      <c r="C8" s="263"/>
      <c r="D8" s="170" t="e">
        <f>CO_PO_AttainmentAnalysis!$AO$76/(GradeSheet!H84-GradeSheet!H83-GradeSheet!H82)</f>
        <v>#DIV/0!</v>
      </c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</row>
    <row r="9" spans="1:24" ht="16.5">
      <c r="A9" s="260" t="s">
        <v>121</v>
      </c>
      <c r="B9" s="261"/>
      <c r="C9" s="263"/>
      <c r="D9" s="170" t="e">
        <f>CO_PO_AttainmentAnalysis!$AP$76/(GradeSheet!H84-GradeSheet!H83-GradeSheet!H82)</f>
        <v>#DIV/0!</v>
      </c>
      <c r="E9" s="157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</row>
    <row r="10" spans="1:24" ht="16.5">
      <c r="A10" s="260" t="s">
        <v>122</v>
      </c>
      <c r="B10" s="261"/>
      <c r="C10" s="263"/>
      <c r="D10" s="170" t="e">
        <f>CO_PO_AttainmentAnalysis!$AQ$76/(GradeSheet!H84-GradeSheet!H83-GradeSheet!H82)</f>
        <v>#DIV/0!</v>
      </c>
      <c r="E10" s="157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</row>
    <row r="11" spans="1:24" ht="16.5">
      <c r="A11" s="260" t="s">
        <v>123</v>
      </c>
      <c r="B11" s="261"/>
      <c r="C11" s="263"/>
      <c r="D11" s="170" t="e">
        <f>CO_PO_AttainmentAnalysis!$AR$76/(GradeSheet!H84-GradeSheet!H83-GradeSheet!H82)</f>
        <v>#DIV/0!</v>
      </c>
      <c r="E11" s="157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</row>
    <row r="12" spans="1:24" ht="16.5">
      <c r="A12" s="260" t="s">
        <v>124</v>
      </c>
      <c r="B12" s="261"/>
      <c r="C12" s="264"/>
      <c r="D12" s="170" t="e">
        <f>CO_PO_AttainmentAnalysis!$AS$76/(GradeSheet!H84-GradeSheet!H83-GradeSheet!H82)</f>
        <v>#DIV/0!</v>
      </c>
      <c r="E12" s="157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</row>
    <row r="13" spans="1:24" ht="16.5">
      <c r="A13" s="157"/>
      <c r="B13" s="157"/>
      <c r="C13" s="157"/>
      <c r="D13" s="157"/>
      <c r="E13" s="157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</row>
    <row r="14" spans="1:24" ht="27" customHeight="1">
      <c r="A14" s="253" t="s">
        <v>156</v>
      </c>
      <c r="B14" s="203"/>
      <c r="C14" s="203"/>
      <c r="D14" s="203"/>
      <c r="E14" s="157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</row>
    <row r="15" spans="1:24" ht="15.75">
      <c r="A15" s="254"/>
      <c r="B15" s="194"/>
      <c r="C15" s="194"/>
      <c r="D15" s="195"/>
      <c r="E15" s="171"/>
      <c r="F15" s="172"/>
      <c r="G15" s="172"/>
      <c r="H15" s="172"/>
      <c r="I15" s="172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</row>
    <row r="16" spans="1:24" ht="16.5" customHeight="1">
      <c r="A16" s="255" t="s">
        <v>157</v>
      </c>
      <c r="B16" s="194"/>
      <c r="C16" s="194"/>
      <c r="D16" s="195"/>
      <c r="E16" s="171"/>
      <c r="F16" s="172"/>
      <c r="G16" s="172"/>
      <c r="H16" s="172"/>
      <c r="I16" s="172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</row>
    <row r="17" spans="1:24" ht="15.75">
      <c r="A17" s="256" t="s">
        <v>158</v>
      </c>
      <c r="B17" s="194"/>
      <c r="C17" s="194"/>
      <c r="D17" s="195"/>
      <c r="E17" s="171"/>
      <c r="F17" s="172"/>
      <c r="G17" s="172"/>
      <c r="H17" s="172"/>
      <c r="I17" s="172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</row>
    <row r="18" spans="1:24" ht="15.75">
      <c r="A18" s="256" t="s">
        <v>159</v>
      </c>
      <c r="B18" s="194"/>
      <c r="C18" s="194"/>
      <c r="D18" s="195"/>
      <c r="E18" s="171"/>
      <c r="F18" s="172"/>
      <c r="G18" s="172"/>
      <c r="H18" s="172"/>
      <c r="I18" s="172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</row>
    <row r="19" spans="1:24" ht="15.75">
      <c r="A19" s="252"/>
      <c r="B19" s="194"/>
      <c r="C19" s="194"/>
      <c r="D19" s="195"/>
      <c r="E19" s="171"/>
      <c r="F19" s="172"/>
      <c r="G19" s="172"/>
      <c r="H19" s="172"/>
      <c r="I19" s="172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</row>
    <row r="20" spans="1:24" ht="15.75">
      <c r="A20" s="252"/>
      <c r="B20" s="194"/>
      <c r="C20" s="194"/>
      <c r="D20" s="195"/>
      <c r="E20" s="171"/>
      <c r="F20" s="172"/>
      <c r="G20" s="172"/>
      <c r="H20" s="172"/>
      <c r="I20" s="172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</row>
    <row r="21" spans="1:24" ht="15.75" customHeight="1">
      <c r="A21" s="173"/>
      <c r="B21" s="174"/>
      <c r="C21" s="174"/>
      <c r="D21" s="175"/>
      <c r="E21" s="171"/>
      <c r="F21" s="172"/>
      <c r="G21" s="172"/>
      <c r="H21" s="172"/>
      <c r="I21" s="172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</row>
    <row r="22" spans="1:24" ht="15.75" customHeight="1">
      <c r="A22" s="252"/>
      <c r="B22" s="194"/>
      <c r="C22" s="194"/>
      <c r="D22" s="195"/>
      <c r="E22" s="171"/>
      <c r="F22" s="172"/>
      <c r="G22" s="172"/>
      <c r="H22" s="172"/>
      <c r="I22" s="172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</row>
    <row r="23" spans="1:24" ht="15.75" customHeight="1">
      <c r="A23" s="251"/>
      <c r="B23" s="194"/>
      <c r="C23" s="194"/>
      <c r="D23" s="195"/>
      <c r="E23" s="157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</row>
    <row r="24" spans="1:24" ht="15.75" customHeight="1">
      <c r="A24" s="251"/>
      <c r="B24" s="194"/>
      <c r="C24" s="194"/>
      <c r="D24" s="195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</row>
    <row r="25" spans="1:24" ht="15.75" customHeight="1">
      <c r="A25" s="251"/>
      <c r="B25" s="194"/>
      <c r="C25" s="194"/>
      <c r="D25" s="195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</row>
    <row r="26" spans="1:24" ht="15.75" customHeight="1">
      <c r="A26" s="158"/>
      <c r="B26" s="158"/>
      <c r="C26" s="158"/>
      <c r="D26" s="176" t="s">
        <v>160</v>
      </c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</row>
    <row r="27" spans="1:24" ht="15.75" customHeight="1">
      <c r="A27" s="158"/>
      <c r="B27" s="158"/>
      <c r="C27" s="158"/>
      <c r="D27" s="176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</row>
    <row r="28" spans="1:24" ht="15.75" customHeight="1">
      <c r="A28" s="158"/>
      <c r="B28" s="158"/>
      <c r="C28" s="158"/>
      <c r="D28" s="176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</row>
    <row r="29" spans="1:24" ht="15.75" customHeight="1">
      <c r="A29" s="158"/>
      <c r="B29" s="158"/>
      <c r="C29" s="158"/>
      <c r="D29" s="176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</row>
    <row r="30" spans="1:24" ht="15.75" customHeight="1">
      <c r="A30" s="158"/>
      <c r="B30" s="158"/>
      <c r="C30" s="158"/>
      <c r="D30" s="176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</row>
    <row r="31" spans="1:24" ht="15.75" customHeight="1">
      <c r="A31" s="158"/>
      <c r="B31" s="158"/>
      <c r="C31" s="158"/>
      <c r="D31" s="176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</row>
    <row r="32" spans="1:24" ht="15.75" customHeight="1">
      <c r="A32" s="15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</row>
    <row r="33" spans="1:24" ht="15.75" customHeight="1">
      <c r="A33" s="177" t="s">
        <v>161</v>
      </c>
      <c r="B33" s="17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</row>
    <row r="34" spans="1:24" ht="15.75" customHeight="1">
      <c r="A34" s="177" t="s">
        <v>162</v>
      </c>
      <c r="B34" s="179" t="str">
        <f>GradeSheet!$H$5</f>
        <v>Rubaiya Hafiz</v>
      </c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</row>
    <row r="35" spans="1:24" ht="15.75" customHeight="1">
      <c r="A35" s="177" t="s">
        <v>163</v>
      </c>
      <c r="B35" s="180">
        <f ca="1">TODAY()</f>
        <v>46264</v>
      </c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</row>
    <row r="36" spans="1:24" ht="15.75" customHeight="1">
      <c r="A36" s="177"/>
      <c r="B36" s="180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</row>
    <row r="37" spans="1:24" ht="15.75" customHeight="1">
      <c r="A37" s="181"/>
      <c r="B37" s="63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</row>
    <row r="38" spans="1:24" ht="15.75" customHeight="1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</row>
    <row r="39" spans="1:24" ht="15.75" customHeight="1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</row>
    <row r="40" spans="1:24" ht="15.75" customHeight="1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</row>
    <row r="41" spans="1:24" ht="15.75" customHeight="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</row>
    <row r="42" spans="1:24" ht="15.75" customHeight="1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</row>
    <row r="43" spans="1:24" ht="15.75" customHeight="1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</row>
    <row r="44" spans="1:24" ht="15.75" customHeight="1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</row>
    <row r="45" spans="1:24" ht="15.75" customHeight="1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</row>
    <row r="46" spans="1:24" ht="15.75" customHeight="1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</row>
    <row r="47" spans="1:24" ht="15.75" customHeight="1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</row>
    <row r="48" spans="1:24" ht="15.75" customHeight="1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</row>
    <row r="49" spans="1:24" ht="15.75" customHeight="1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</row>
    <row r="50" spans="1:24" ht="15.75" customHeight="1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</row>
    <row r="51" spans="1:24" ht="15.75" customHeight="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</row>
    <row r="52" spans="1:24" ht="15.75" customHeight="1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</row>
    <row r="53" spans="1:24" ht="15.75" customHeight="1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</row>
    <row r="54" spans="1:24" ht="15.75" customHeight="1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</row>
    <row r="55" spans="1:24" ht="15.75" customHeight="1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</row>
    <row r="56" spans="1:24" ht="15.75" customHeight="1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</row>
    <row r="57" spans="1:24" ht="15.75" customHeight="1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</row>
    <row r="58" spans="1:24" ht="15.75" customHeight="1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</row>
    <row r="59" spans="1:24" ht="15.75" customHeight="1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</row>
    <row r="60" spans="1:24" ht="15.75" customHeight="1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</row>
    <row r="61" spans="1:24" ht="15.75" customHeight="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</row>
    <row r="62" spans="1:24" ht="15.75" customHeight="1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</row>
    <row r="63" spans="1:24" ht="15.75" customHeight="1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</row>
    <row r="64" spans="1:24" ht="15.75" customHeight="1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</row>
    <row r="65" spans="1:24" ht="15.75" customHeight="1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</row>
    <row r="66" spans="1:24" ht="15.75" customHeight="1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</row>
    <row r="67" spans="1:24" ht="15.75" customHeight="1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</row>
    <row r="68" spans="1:24" ht="15.75" customHeight="1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</row>
    <row r="69" spans="1:24" ht="15.75" customHeight="1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</row>
    <row r="70" spans="1:24" ht="15.75" customHeight="1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</row>
    <row r="71" spans="1:24" ht="15.75" customHeight="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</row>
    <row r="72" spans="1:24" ht="15.75" customHeight="1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</row>
    <row r="73" spans="1:24" ht="15.75" customHeight="1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</row>
    <row r="74" spans="1:24" ht="15.75" customHeight="1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</row>
    <row r="75" spans="1:24" ht="15.75" customHeight="1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</row>
    <row r="76" spans="1:24" ht="15.75" customHeight="1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</row>
    <row r="77" spans="1:24" ht="15.75" customHeight="1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</row>
    <row r="78" spans="1:24" ht="15.75" customHeight="1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</row>
    <row r="79" spans="1:24" ht="15.75" customHeight="1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</row>
    <row r="80" spans="1:24" ht="15.75" customHeight="1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</row>
    <row r="81" spans="1:24" ht="15.75" customHeight="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</row>
    <row r="82" spans="1:24" ht="15.75" customHeight="1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</row>
    <row r="83" spans="1:24" ht="15.75" customHeight="1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</row>
    <row r="84" spans="1:24" ht="15.75" customHeight="1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</row>
    <row r="85" spans="1:24" ht="15.75" customHeight="1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</row>
    <row r="86" spans="1:24" ht="15.75" customHeight="1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</row>
    <row r="87" spans="1:24" ht="15.75" customHeight="1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</row>
    <row r="88" spans="1:24" ht="15.75" customHeight="1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</row>
    <row r="89" spans="1:24" ht="15.75" customHeight="1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</row>
    <row r="90" spans="1:24" ht="15.75" customHeight="1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</row>
    <row r="91" spans="1:24" ht="15.75" customHeight="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</row>
    <row r="92" spans="1:24" ht="15.75" customHeight="1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</row>
    <row r="93" spans="1:24" ht="15.75" customHeight="1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</row>
    <row r="94" spans="1:24" ht="15.75" customHeight="1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</row>
    <row r="95" spans="1:24" ht="15.75" customHeight="1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</row>
    <row r="96" spans="1:24" ht="15.75" customHeight="1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</row>
    <row r="97" spans="1:24" ht="15.75" customHeight="1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</row>
    <row r="98" spans="1:24" ht="15.75" customHeight="1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</row>
    <row r="99" spans="1:24" ht="15.75" customHeight="1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</row>
    <row r="100" spans="1:24" ht="15.75" customHeight="1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</row>
    <row r="101" spans="1:24" ht="15.75" customHeight="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</row>
    <row r="102" spans="1:24" ht="15.75" customHeight="1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</row>
    <row r="103" spans="1:24" ht="15.75" customHeight="1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</row>
    <row r="104" spans="1:24" ht="15.75" customHeight="1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</row>
    <row r="105" spans="1:24" ht="15.75" customHeight="1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</row>
    <row r="106" spans="1:24" ht="15.75" customHeight="1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</row>
    <row r="107" spans="1:24" ht="15.75" customHeight="1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</row>
    <row r="108" spans="1:24" ht="15.75" customHeight="1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</row>
    <row r="109" spans="1:24" ht="15.75" customHeight="1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</row>
    <row r="110" spans="1:24" ht="15.75" customHeight="1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</row>
    <row r="111" spans="1:24" ht="15.75" customHeight="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</row>
    <row r="112" spans="1:24" ht="15.75" customHeight="1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</row>
    <row r="113" spans="1:24" ht="15.75" customHeight="1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</row>
    <row r="114" spans="1:24" ht="15.75" customHeight="1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</row>
    <row r="115" spans="1:24" ht="15.75" customHeight="1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</row>
    <row r="116" spans="1:24" ht="15.75" customHeight="1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</row>
    <row r="117" spans="1:24" ht="15.75" customHeight="1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</row>
    <row r="118" spans="1:24" ht="15.75" customHeight="1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</row>
    <row r="119" spans="1:24" ht="15.75" customHeight="1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</row>
    <row r="120" spans="1:24" ht="15.75" customHeight="1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</row>
    <row r="121" spans="1:24" ht="15.75" customHeight="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</row>
    <row r="122" spans="1:24" ht="15.75" customHeight="1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</row>
    <row r="123" spans="1:24" ht="15.75" customHeight="1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</row>
    <row r="124" spans="1:24" ht="15.75" customHeight="1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</row>
    <row r="125" spans="1:24" ht="15.75" customHeight="1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</row>
    <row r="126" spans="1:24" ht="15.75" customHeight="1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</row>
    <row r="127" spans="1:24" ht="15.75" customHeight="1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</row>
    <row r="128" spans="1:24" ht="15.75" customHeight="1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</row>
    <row r="129" spans="1:24" ht="15.75" customHeight="1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</row>
    <row r="130" spans="1:24" ht="15.75" customHeight="1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</row>
    <row r="131" spans="1:24" ht="15.75" customHeight="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</row>
    <row r="132" spans="1:24" ht="15.75" customHeight="1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</row>
    <row r="133" spans="1:24" ht="15.75" customHeight="1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</row>
    <row r="134" spans="1:24" ht="15.75" customHeight="1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</row>
    <row r="135" spans="1:24" ht="15.75" customHeight="1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</row>
    <row r="136" spans="1:24" ht="15.75" customHeight="1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</row>
    <row r="137" spans="1:24" ht="15.75" customHeight="1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</row>
    <row r="138" spans="1:24" ht="15.75" customHeight="1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</row>
    <row r="139" spans="1:24" ht="15.75" customHeight="1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</row>
    <row r="140" spans="1:24" ht="15.75" customHeight="1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</row>
    <row r="141" spans="1:24" ht="15.75" customHeight="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</row>
    <row r="142" spans="1:24" ht="15.75" customHeight="1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</row>
    <row r="143" spans="1:24" ht="15.75" customHeight="1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</row>
    <row r="144" spans="1:24" ht="15.75" customHeight="1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</row>
    <row r="145" spans="1:24" ht="15.75" customHeight="1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</row>
    <row r="146" spans="1:24" ht="15.75" customHeight="1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</row>
    <row r="147" spans="1:24" ht="15.75" customHeight="1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</row>
    <row r="148" spans="1:24" ht="15.75" customHeight="1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</row>
    <row r="149" spans="1:24" ht="15.75" customHeight="1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</row>
    <row r="150" spans="1:24" ht="15.75" customHeight="1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</row>
    <row r="151" spans="1:24" ht="15.75" customHeight="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</row>
    <row r="152" spans="1:24" ht="15.75" customHeight="1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</row>
    <row r="153" spans="1:24" ht="15.75" customHeight="1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</row>
    <row r="154" spans="1:24" ht="15.75" customHeight="1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</row>
    <row r="155" spans="1:24" ht="15.75" customHeight="1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</row>
    <row r="156" spans="1:24" ht="15.75" customHeight="1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</row>
    <row r="157" spans="1:24" ht="15.75" customHeight="1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</row>
    <row r="158" spans="1:24" ht="15.75" customHeight="1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</row>
    <row r="159" spans="1:24" ht="15.75" customHeight="1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</row>
    <row r="160" spans="1:24" ht="15.75" customHeight="1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</row>
    <row r="161" spans="1:24" ht="15.75" customHeight="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</row>
    <row r="162" spans="1:24" ht="15.75" customHeight="1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</row>
    <row r="163" spans="1:24" ht="15.75" customHeight="1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</row>
    <row r="164" spans="1:24" ht="15.75" customHeight="1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</row>
    <row r="165" spans="1:24" ht="15.75" customHeight="1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</row>
    <row r="166" spans="1:24" ht="15.75" customHeight="1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</row>
    <row r="167" spans="1:24" ht="15.75" customHeight="1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</row>
    <row r="168" spans="1:24" ht="15.75" customHeight="1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</row>
    <row r="169" spans="1:24" ht="15.75" customHeight="1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</row>
    <row r="170" spans="1:24" ht="15.75" customHeight="1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</row>
    <row r="171" spans="1:24" ht="15.75" customHeight="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</row>
    <row r="172" spans="1:24" ht="15.75" customHeight="1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</row>
    <row r="173" spans="1:24" ht="15.75" customHeight="1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</row>
    <row r="174" spans="1:24" ht="15.75" customHeight="1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</row>
    <row r="175" spans="1:24" ht="15.75" customHeight="1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</row>
    <row r="176" spans="1:24" ht="15.75" customHeight="1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</row>
    <row r="177" spans="1:24" ht="15.75" customHeight="1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</row>
    <row r="178" spans="1:24" ht="15.75" customHeight="1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</row>
    <row r="179" spans="1:24" ht="15.75" customHeight="1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</row>
    <row r="180" spans="1:24" ht="15.75" customHeight="1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</row>
    <row r="181" spans="1:24" ht="15.75" customHeight="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</row>
    <row r="182" spans="1:24" ht="15.75" customHeight="1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</row>
    <row r="183" spans="1:24" ht="15.75" customHeight="1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</row>
    <row r="184" spans="1:24" ht="15.75" customHeight="1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</row>
    <row r="185" spans="1:24" ht="15.75" customHeight="1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</row>
    <row r="186" spans="1:24" ht="15.75" customHeight="1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</row>
    <row r="187" spans="1:24" ht="15.75" customHeight="1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</row>
    <row r="188" spans="1:24" ht="15.75" customHeight="1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</row>
    <row r="189" spans="1:24" ht="15.75" customHeight="1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</row>
    <row r="190" spans="1:24" ht="15.75" customHeight="1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</row>
    <row r="191" spans="1:24" ht="15.75" customHeight="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</row>
    <row r="192" spans="1:24" ht="15.75" customHeight="1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</row>
    <row r="193" spans="1:24" ht="15.75" customHeight="1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</row>
    <row r="194" spans="1:24" ht="15.75" customHeight="1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</row>
    <row r="195" spans="1:24" ht="15.75" customHeight="1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</row>
    <row r="196" spans="1:24" ht="15.75" customHeight="1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</row>
    <row r="197" spans="1:24" ht="15.75" customHeight="1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</row>
    <row r="198" spans="1:24" ht="15.75" customHeight="1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</row>
    <row r="199" spans="1:24" ht="15.75" customHeight="1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</row>
    <row r="200" spans="1:24" ht="15.75" customHeight="1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</row>
    <row r="201" spans="1:24" ht="15.75" customHeight="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</row>
    <row r="202" spans="1:24" ht="15.75" customHeight="1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</row>
    <row r="203" spans="1:24" ht="15.75" customHeight="1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</row>
    <row r="204" spans="1:24" ht="15.75" customHeight="1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</row>
    <row r="205" spans="1:24" ht="15.75" customHeight="1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</row>
    <row r="206" spans="1:24" ht="15.75" customHeight="1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</row>
    <row r="207" spans="1:24" ht="15.75" customHeight="1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</row>
    <row r="208" spans="1:24" ht="15.75" customHeight="1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</row>
    <row r="209" spans="1:24" ht="15.75" customHeight="1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</row>
    <row r="210" spans="1:24" ht="15.75" customHeight="1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</row>
    <row r="211" spans="1:24" ht="15.75" customHeight="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</row>
    <row r="212" spans="1:24" ht="15.75" customHeight="1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</row>
    <row r="213" spans="1:24" ht="15.75" customHeight="1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</row>
    <row r="214" spans="1:24" ht="15.75" customHeight="1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</row>
    <row r="215" spans="1:24" ht="15.75" customHeight="1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</row>
    <row r="216" spans="1:24" ht="15.75" customHeight="1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</row>
    <row r="217" spans="1:24" ht="15.75" customHeight="1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</row>
    <row r="218" spans="1:24" ht="15.75" customHeight="1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</row>
    <row r="219" spans="1:24" ht="15.75" customHeight="1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</row>
    <row r="220" spans="1:24" ht="15.75" customHeight="1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</row>
    <row r="221" spans="1:24" ht="15.75" customHeight="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</row>
    <row r="222" spans="1:24" ht="15.75" customHeight="1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</row>
    <row r="223" spans="1:24" ht="15.75" customHeight="1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</row>
    <row r="224" spans="1:24" ht="15.75" customHeight="1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</row>
    <row r="225" spans="1:24" ht="15.75" customHeight="1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</row>
    <row r="226" spans="1:24" ht="15.75" customHeight="1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</row>
    <row r="227" spans="1:24" ht="15.75" customHeight="1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</row>
    <row r="228" spans="1:24" ht="15.75" customHeight="1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</row>
    <row r="229" spans="1:24" ht="15.75" customHeight="1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</row>
    <row r="230" spans="1:24" ht="15.75" customHeight="1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</row>
    <row r="231" spans="1:24" ht="15.75" customHeight="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</row>
    <row r="232" spans="1:24" ht="15.75" customHeight="1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</row>
    <row r="233" spans="1:24" ht="15.75" customHeight="1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</row>
    <row r="234" spans="1:24" ht="15.75" customHeight="1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</row>
    <row r="235" spans="1:24" ht="15.75" customHeight="1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:D1"/>
    <mergeCell ref="A6:B6"/>
    <mergeCell ref="A7:B7"/>
    <mergeCell ref="A8:B8"/>
    <mergeCell ref="C7:C12"/>
    <mergeCell ref="A9:B9"/>
    <mergeCell ref="A10:B10"/>
    <mergeCell ref="A11:B11"/>
    <mergeCell ref="A12:B12"/>
    <mergeCell ref="A14:D14"/>
    <mergeCell ref="A15:D15"/>
    <mergeCell ref="A16:D16"/>
    <mergeCell ref="A17:D17"/>
    <mergeCell ref="A18:D18"/>
    <mergeCell ref="A25:D25"/>
    <mergeCell ref="A19:D19"/>
    <mergeCell ref="A20:D20"/>
    <mergeCell ref="A22:D22"/>
    <mergeCell ref="A23:D23"/>
    <mergeCell ref="A24:D24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 useFirstPageNumber="1" horizontalDpi="4294967295" verticalDpi="4294967295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zoomScaleNormal="100" workbookViewId="0"/>
  </sheetViews>
  <sheetFormatPr defaultColWidth="14.375" defaultRowHeight="14.25"/>
  <cols>
    <col min="1" max="26" width="8.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2019-05-06T03:48:27Z</dcterms:created>
  <dcterms:modified xsi:type="dcterms:W3CDTF">2026-08-30T17:42:48Z</dcterms:modified>
</cp:coreProperties>
</file>