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anu\Desktop\ulab-mms\public\templates\"/>
    </mc:Choice>
  </mc:AlternateContent>
  <xr:revisionPtr revIDLastSave="0" documentId="13_ncr:1_{A34EF2D3-DBDE-41C3-8EE5-690EB6C2CEE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radeSheet" sheetId="1" r:id="rId1"/>
    <sheet name="GradingPolicy" sheetId="2" r:id="rId2"/>
    <sheet name="CourseSummary" sheetId="3" r:id="rId3"/>
    <sheet name="CO_PO_AttainmentAnalysis" sheetId="4" r:id="rId4"/>
    <sheet name="ContinuousQualityImprovement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qHNxpxat6OflgnVglgo3xM737Giy164Vrhf9brr6Go="/>
    </ext>
  </extLst>
</workbook>
</file>

<file path=xl/calcChain.xml><?xml version="1.0" encoding="utf-8"?>
<calcChain xmlns="http://schemas.openxmlformats.org/spreadsheetml/2006/main">
  <c r="AC16" i="4" l="1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K23" i="4" s="1"/>
  <c r="AC24" i="4"/>
  <c r="AD24" i="4"/>
  <c r="AE24" i="4"/>
  <c r="AC25" i="4"/>
  <c r="AD25" i="4"/>
  <c r="AE25" i="4"/>
  <c r="AC26" i="4"/>
  <c r="AD26" i="4"/>
  <c r="AE26" i="4"/>
  <c r="AC27" i="4"/>
  <c r="AD27" i="4"/>
  <c r="AE27" i="4"/>
  <c r="AK27" i="4" s="1"/>
  <c r="AC28" i="4"/>
  <c r="AD28" i="4"/>
  <c r="AE28" i="4"/>
  <c r="AC29" i="4"/>
  <c r="AD29" i="4"/>
  <c r="AE29" i="4"/>
  <c r="AC30" i="4"/>
  <c r="AD30" i="4"/>
  <c r="AE30" i="4"/>
  <c r="AC31" i="4"/>
  <c r="AD31" i="4"/>
  <c r="AE31" i="4"/>
  <c r="AK31" i="4" s="1"/>
  <c r="AC32" i="4"/>
  <c r="AD32" i="4"/>
  <c r="AE32" i="4"/>
  <c r="AC33" i="4"/>
  <c r="AD33" i="4"/>
  <c r="AE33" i="4"/>
  <c r="AC34" i="4"/>
  <c r="AD34" i="4"/>
  <c r="AE34" i="4"/>
  <c r="AC35" i="4"/>
  <c r="AD35" i="4"/>
  <c r="AE35" i="4"/>
  <c r="AK35" i="4" s="1"/>
  <c r="AC36" i="4"/>
  <c r="AD36" i="4"/>
  <c r="AE36" i="4"/>
  <c r="AC37" i="4"/>
  <c r="AD37" i="4"/>
  <c r="AE37" i="4"/>
  <c r="AC38" i="4"/>
  <c r="AD38" i="4"/>
  <c r="AE38" i="4"/>
  <c r="AC39" i="4"/>
  <c r="AD39" i="4"/>
  <c r="AE39" i="4"/>
  <c r="AK39" i="4" s="1"/>
  <c r="AC40" i="4"/>
  <c r="AD40" i="4"/>
  <c r="AE40" i="4"/>
  <c r="AC41" i="4"/>
  <c r="AD41" i="4"/>
  <c r="AE41" i="4"/>
  <c r="AC42" i="4"/>
  <c r="AD42" i="4"/>
  <c r="AE42" i="4"/>
  <c r="AC43" i="4"/>
  <c r="AD43" i="4"/>
  <c r="AE43" i="4"/>
  <c r="AK43" i="4" s="1"/>
  <c r="AC44" i="4"/>
  <c r="AD44" i="4"/>
  <c r="AE44" i="4"/>
  <c r="AC45" i="4"/>
  <c r="AD45" i="4"/>
  <c r="AE45" i="4"/>
  <c r="AC46" i="4"/>
  <c r="AD46" i="4"/>
  <c r="AE46" i="4"/>
  <c r="AC47" i="4"/>
  <c r="AD47" i="4"/>
  <c r="AE47" i="4"/>
  <c r="AK47" i="4" s="1"/>
  <c r="AC48" i="4"/>
  <c r="AD48" i="4"/>
  <c r="AE48" i="4"/>
  <c r="AC49" i="4"/>
  <c r="AD49" i="4"/>
  <c r="AE49" i="4"/>
  <c r="AC50" i="4"/>
  <c r="AD50" i="4"/>
  <c r="AE50" i="4"/>
  <c r="AC51" i="4"/>
  <c r="AD51" i="4"/>
  <c r="AE51" i="4"/>
  <c r="AK51" i="4" s="1"/>
  <c r="AC52" i="4"/>
  <c r="AD52" i="4"/>
  <c r="AE52" i="4"/>
  <c r="AC53" i="4"/>
  <c r="AD53" i="4"/>
  <c r="AE53" i="4"/>
  <c r="AC54" i="4"/>
  <c r="AD54" i="4"/>
  <c r="AE54" i="4"/>
  <c r="AC55" i="4"/>
  <c r="AD55" i="4"/>
  <c r="AE55" i="4"/>
  <c r="AK55" i="4" s="1"/>
  <c r="AC56" i="4"/>
  <c r="AD56" i="4"/>
  <c r="AE56" i="4"/>
  <c r="AC57" i="4"/>
  <c r="AD57" i="4"/>
  <c r="AE57" i="4"/>
  <c r="AC58" i="4"/>
  <c r="AD58" i="4"/>
  <c r="AE58" i="4"/>
  <c r="AC59" i="4"/>
  <c r="AD59" i="4"/>
  <c r="AE59" i="4"/>
  <c r="AK59" i="4" s="1"/>
  <c r="AQ59" i="4" s="1"/>
  <c r="AC60" i="4"/>
  <c r="AD60" i="4"/>
  <c r="AE60" i="4"/>
  <c r="AC61" i="4"/>
  <c r="AD61" i="4"/>
  <c r="AE61" i="4"/>
  <c r="AC62" i="4"/>
  <c r="AD62" i="4"/>
  <c r="AE62" i="4"/>
  <c r="AC63" i="4"/>
  <c r="AD63" i="4"/>
  <c r="AE63" i="4"/>
  <c r="AK63" i="4" s="1"/>
  <c r="AQ63" i="4" s="1"/>
  <c r="AC64" i="4"/>
  <c r="AD64" i="4"/>
  <c r="AE64" i="4"/>
  <c r="AC15" i="4"/>
  <c r="AB15" i="4"/>
  <c r="AG15" i="4"/>
  <c r="AF15" i="4"/>
  <c r="AE15" i="4"/>
  <c r="AD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H27" i="4" s="1"/>
  <c r="AB28" i="4"/>
  <c r="AB29" i="4"/>
  <c r="AB30" i="4"/>
  <c r="AB31" i="4"/>
  <c r="AB32" i="4"/>
  <c r="AB33" i="4"/>
  <c r="AB34" i="4"/>
  <c r="AB35" i="4"/>
  <c r="AB36" i="4"/>
  <c r="AB37" i="4"/>
  <c r="AB38" i="4"/>
  <c r="AB39" i="4"/>
  <c r="AH39" i="4" s="1"/>
  <c r="AB40" i="4"/>
  <c r="AB41" i="4"/>
  <c r="AB42" i="4"/>
  <c r="AB43" i="4"/>
  <c r="AB44" i="4"/>
  <c r="AB45" i="4"/>
  <c r="AB46" i="4"/>
  <c r="AB47" i="4"/>
  <c r="AB48" i="4"/>
  <c r="AB49" i="4"/>
  <c r="AB50" i="4"/>
  <c r="AB51" i="4"/>
  <c r="AH51" i="4" s="1"/>
  <c r="AB52" i="4"/>
  <c r="AB53" i="4"/>
  <c r="AB54" i="4"/>
  <c r="AB55" i="4"/>
  <c r="AB56" i="4"/>
  <c r="AB57" i="4"/>
  <c r="AB58" i="4"/>
  <c r="AB59" i="4"/>
  <c r="AB60" i="4"/>
  <c r="AB61" i="4"/>
  <c r="AB62" i="4"/>
  <c r="AB63" i="4"/>
  <c r="AH63" i="4" s="1"/>
  <c r="AN63" i="4" s="1"/>
  <c r="AB64" i="4"/>
  <c r="H75" i="1"/>
  <c r="H74" i="1"/>
  <c r="H72" i="1"/>
  <c r="H71" i="1"/>
  <c r="H70" i="1"/>
  <c r="H69" i="1"/>
  <c r="H68" i="1"/>
  <c r="H67" i="1"/>
  <c r="H66" i="1"/>
  <c r="H65" i="1"/>
  <c r="H64" i="1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D67" i="4"/>
  <c r="BC57" i="4" a="1"/>
  <c r="BC57" i="4" s="1"/>
  <c r="BO57" i="4" s="1"/>
  <c r="BD57" i="4" a="1"/>
  <c r="BD57" i="4" s="1"/>
  <c r="BP57" i="4" s="1"/>
  <c r="AZ58" i="4" a="1"/>
  <c r="AZ58" i="4" s="1"/>
  <c r="BL58" i="4" s="1"/>
  <c r="AU59" i="4" a="1"/>
  <c r="AU59" i="4" s="1"/>
  <c r="BG59" i="4" s="1"/>
  <c r="AV59" i="4" a="1"/>
  <c r="AV59" i="4" s="1"/>
  <c r="BH59" i="4" s="1"/>
  <c r="BA60" i="4" a="1"/>
  <c r="BA60" i="4" s="1"/>
  <c r="BM60" i="4" s="1"/>
  <c r="AW61" i="4" a="1"/>
  <c r="AW61" i="4" s="1"/>
  <c r="BI61" i="4" s="1"/>
  <c r="AX61" i="4" a="1"/>
  <c r="AX61" i="4" s="1"/>
  <c r="BJ61" i="4" s="1"/>
  <c r="BB62" i="4" a="1"/>
  <c r="BB62" i="4" s="1"/>
  <c r="BN62" i="4" s="1"/>
  <c r="BC62" i="4" a="1"/>
  <c r="BC62" i="4" s="1"/>
  <c r="BO62" i="4" s="1"/>
  <c r="AY63" i="4" a="1"/>
  <c r="AY63" i="4" s="1"/>
  <c r="BK63" i="4" s="1"/>
  <c r="AU64" i="4" a="1"/>
  <c r="AU64" i="4" s="1"/>
  <c r="BG64" i="4" s="1"/>
  <c r="BD64" i="4" a="1"/>
  <c r="BD64" i="4" s="1"/>
  <c r="BP64" i="4" s="1"/>
  <c r="B57" i="4"/>
  <c r="C57" i="4"/>
  <c r="AH57" i="4"/>
  <c r="AN57" i="4" s="1"/>
  <c r="AI57" i="4"/>
  <c r="AO57" i="4" s="1"/>
  <c r="AJ57" i="4"/>
  <c r="AP57" i="4" s="1"/>
  <c r="AK57" i="4"/>
  <c r="AQ57" i="4" s="1"/>
  <c r="AF57" i="4"/>
  <c r="AL57" i="4" s="1"/>
  <c r="AR57" i="4" s="1"/>
  <c r="AG57" i="4"/>
  <c r="AM57" i="4" s="1"/>
  <c r="AS57" i="4" s="1"/>
  <c r="B58" i="4"/>
  <c r="C58" i="4"/>
  <c r="AH58" i="4"/>
  <c r="AN58" i="4" s="1"/>
  <c r="AI58" i="4"/>
  <c r="AO58" i="4" s="1"/>
  <c r="AK58" i="4"/>
  <c r="AQ58" i="4" s="1"/>
  <c r="AF58" i="4"/>
  <c r="AL58" i="4" s="1"/>
  <c r="AR58" i="4" s="1"/>
  <c r="AG58" i="4"/>
  <c r="AM58" i="4" s="1"/>
  <c r="AS58" i="4" s="1"/>
  <c r="AJ58" i="4"/>
  <c r="AP58" i="4" s="1"/>
  <c r="B59" i="4"/>
  <c r="C59" i="4"/>
  <c r="AH59" i="4"/>
  <c r="AN59" i="4" s="1"/>
  <c r="AI59" i="4"/>
  <c r="AO59" i="4" s="1"/>
  <c r="AJ59" i="4"/>
  <c r="AP59" i="4" s="1"/>
  <c r="AF59" i="4"/>
  <c r="AL59" i="4" s="1"/>
  <c r="AR59" i="4" s="1"/>
  <c r="AG59" i="4"/>
  <c r="AM59" i="4" s="1"/>
  <c r="AS59" i="4" s="1"/>
  <c r="B60" i="4"/>
  <c r="C60" i="4"/>
  <c r="AH60" i="4"/>
  <c r="AN60" i="4" s="1"/>
  <c r="AJ60" i="4"/>
  <c r="AP60" i="4" s="1"/>
  <c r="AF60" i="4"/>
  <c r="AL60" i="4" s="1"/>
  <c r="AR60" i="4" s="1"/>
  <c r="AG60" i="4"/>
  <c r="AM60" i="4" s="1"/>
  <c r="AS60" i="4" s="1"/>
  <c r="AI60" i="4"/>
  <c r="AO60" i="4" s="1"/>
  <c r="AK60" i="4"/>
  <c r="AQ60" i="4" s="1"/>
  <c r="B61" i="4"/>
  <c r="C61" i="4"/>
  <c r="AH61" i="4"/>
  <c r="AN61" i="4" s="1"/>
  <c r="AI61" i="4"/>
  <c r="AO61" i="4" s="1"/>
  <c r="AF61" i="4"/>
  <c r="AG61" i="4"/>
  <c r="AJ61" i="4"/>
  <c r="AP61" i="4" s="1"/>
  <c r="AK61" i="4"/>
  <c r="AQ61" i="4" s="1"/>
  <c r="AL61" i="4"/>
  <c r="AR61" i="4" s="1"/>
  <c r="AM61" i="4"/>
  <c r="AS61" i="4" s="1"/>
  <c r="B62" i="4"/>
  <c r="C62" i="4"/>
  <c r="AH62" i="4"/>
  <c r="AN62" i="4" s="1"/>
  <c r="AI62" i="4"/>
  <c r="AO62" i="4" s="1"/>
  <c r="AJ62" i="4"/>
  <c r="AP62" i="4" s="1"/>
  <c r="AK62" i="4"/>
  <c r="AQ62" i="4" s="1"/>
  <c r="AF62" i="4"/>
  <c r="AL62" i="4" s="1"/>
  <c r="AR62" i="4" s="1"/>
  <c r="AG62" i="4"/>
  <c r="AM62" i="4" s="1"/>
  <c r="AS62" i="4" s="1"/>
  <c r="B63" i="4"/>
  <c r="C63" i="4"/>
  <c r="AI63" i="4"/>
  <c r="AO63" i="4" s="1"/>
  <c r="AF63" i="4"/>
  <c r="AL63" i="4" s="1"/>
  <c r="AR63" i="4" s="1"/>
  <c r="AG63" i="4"/>
  <c r="AM63" i="4" s="1"/>
  <c r="AS63" i="4" s="1"/>
  <c r="AJ63" i="4"/>
  <c r="AP63" i="4" s="1"/>
  <c r="B64" i="4"/>
  <c r="C64" i="4"/>
  <c r="AH64" i="4"/>
  <c r="AN64" i="4" s="1"/>
  <c r="AI64" i="4"/>
  <c r="AO64" i="4" s="1"/>
  <c r="AJ64" i="4"/>
  <c r="AP64" i="4" s="1"/>
  <c r="AK64" i="4"/>
  <c r="AQ64" i="4" s="1"/>
  <c r="AF64" i="4"/>
  <c r="AL64" i="4" s="1"/>
  <c r="AR64" i="4" s="1"/>
  <c r="AG64" i="4"/>
  <c r="AM64" i="4" s="1"/>
  <c r="AS64" i="4" s="1"/>
  <c r="B52" i="1"/>
  <c r="C52" i="1"/>
  <c r="D52" i="1"/>
  <c r="E52" i="1"/>
  <c r="F52" i="1"/>
  <c r="G52" i="1"/>
  <c r="H52" i="1"/>
  <c r="I52" i="1"/>
  <c r="K52" i="1" s="1"/>
  <c r="J52" i="1"/>
  <c r="B53" i="1"/>
  <c r="C53" i="1"/>
  <c r="D53" i="1"/>
  <c r="E53" i="1"/>
  <c r="F53" i="1"/>
  <c r="G53" i="1"/>
  <c r="H53" i="1"/>
  <c r="I53" i="1"/>
  <c r="J53" i="1"/>
  <c r="K53" i="1" s="1"/>
  <c r="B54" i="1"/>
  <c r="C54" i="1"/>
  <c r="D54" i="1"/>
  <c r="E54" i="1"/>
  <c r="F54" i="1"/>
  <c r="G54" i="1"/>
  <c r="H54" i="1"/>
  <c r="I54" i="1"/>
  <c r="J54" i="1"/>
  <c r="K54" i="1"/>
  <c r="L54" i="1" s="1"/>
  <c r="B55" i="1"/>
  <c r="C55" i="1"/>
  <c r="D55" i="1"/>
  <c r="K55" i="1" s="1"/>
  <c r="E55" i="1"/>
  <c r="F55" i="1"/>
  <c r="G55" i="1"/>
  <c r="H55" i="1"/>
  <c r="I55" i="1"/>
  <c r="J55" i="1"/>
  <c r="B56" i="1"/>
  <c r="C56" i="1"/>
  <c r="D56" i="1"/>
  <c r="K56" i="1" s="1"/>
  <c r="E56" i="1"/>
  <c r="F56" i="1"/>
  <c r="G56" i="1"/>
  <c r="H56" i="1"/>
  <c r="I56" i="1"/>
  <c r="J56" i="1"/>
  <c r="B57" i="1"/>
  <c r="C57" i="1"/>
  <c r="D57" i="1"/>
  <c r="K57" i="1" s="1"/>
  <c r="E57" i="1"/>
  <c r="F57" i="1"/>
  <c r="G57" i="1"/>
  <c r="H57" i="1"/>
  <c r="I57" i="1"/>
  <c r="J57" i="1"/>
  <c r="B58" i="1"/>
  <c r="C58" i="1"/>
  <c r="D58" i="1"/>
  <c r="K58" i="1" s="1"/>
  <c r="E58" i="1"/>
  <c r="F58" i="1"/>
  <c r="G58" i="1"/>
  <c r="H58" i="1"/>
  <c r="I58" i="1"/>
  <c r="J58" i="1"/>
  <c r="B59" i="1"/>
  <c r="C59" i="1"/>
  <c r="D59" i="1"/>
  <c r="K59" i="1" s="1"/>
  <c r="E59" i="1"/>
  <c r="F59" i="1"/>
  <c r="G59" i="1"/>
  <c r="H59" i="1"/>
  <c r="I59" i="1"/>
  <c r="J59" i="1"/>
  <c r="P64" i="1"/>
  <c r="Q64" i="1"/>
  <c r="R64" i="1"/>
  <c r="S64" i="1"/>
  <c r="T64" i="1"/>
  <c r="U64" i="1"/>
  <c r="V64" i="1"/>
  <c r="P65" i="1"/>
  <c r="Q65" i="1"/>
  <c r="R65" i="1"/>
  <c r="S65" i="1"/>
  <c r="T65" i="1"/>
  <c r="U65" i="1"/>
  <c r="V65" i="1"/>
  <c r="P66" i="1"/>
  <c r="Q66" i="1"/>
  <c r="R66" i="1"/>
  <c r="S66" i="1"/>
  <c r="T66" i="1"/>
  <c r="U66" i="1"/>
  <c r="V66" i="1"/>
  <c r="C71" i="1"/>
  <c r="B75" i="1"/>
  <c r="B71" i="4"/>
  <c r="X46" i="3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15" i="4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10" i="1"/>
  <c r="E11" i="1"/>
  <c r="E12" i="1"/>
  <c r="K12" i="1" s="1"/>
  <c r="E13" i="1"/>
  <c r="E14" i="1"/>
  <c r="E15" i="1"/>
  <c r="E16" i="1"/>
  <c r="E17" i="1"/>
  <c r="E18" i="1"/>
  <c r="E19" i="1"/>
  <c r="E20" i="1"/>
  <c r="E21" i="1"/>
  <c r="E22" i="1"/>
  <c r="K22" i="1" s="1"/>
  <c r="E23" i="1"/>
  <c r="E24" i="1"/>
  <c r="K24" i="1" s="1"/>
  <c r="E25" i="1"/>
  <c r="E26" i="1"/>
  <c r="E27" i="1"/>
  <c r="E28" i="1"/>
  <c r="E29" i="1"/>
  <c r="E30" i="1"/>
  <c r="E31" i="1"/>
  <c r="E32" i="1"/>
  <c r="E33" i="1"/>
  <c r="E34" i="1"/>
  <c r="K34" i="1" s="1"/>
  <c r="E35" i="1"/>
  <c r="E36" i="1"/>
  <c r="K36" i="1" s="1"/>
  <c r="E37" i="1"/>
  <c r="E38" i="1"/>
  <c r="E39" i="1"/>
  <c r="E40" i="1"/>
  <c r="E41" i="1"/>
  <c r="E42" i="1"/>
  <c r="E43" i="1"/>
  <c r="E44" i="1"/>
  <c r="E45" i="1"/>
  <c r="E46" i="1"/>
  <c r="K46" i="1" s="1"/>
  <c r="E47" i="1"/>
  <c r="E48" i="1"/>
  <c r="K48" i="1" s="1"/>
  <c r="E49" i="1"/>
  <c r="E50" i="1"/>
  <c r="E51" i="1"/>
  <c r="E10" i="1"/>
  <c r="D11" i="1"/>
  <c r="K11" i="1" s="1"/>
  <c r="D12" i="1"/>
  <c r="D13" i="1"/>
  <c r="K13" i="1" s="1"/>
  <c r="D14" i="1"/>
  <c r="K14" i="1" s="1"/>
  <c r="D15" i="1"/>
  <c r="K15" i="1" s="1"/>
  <c r="D16" i="1"/>
  <c r="K16" i="1" s="1"/>
  <c r="D17" i="1"/>
  <c r="K17" i="1" s="1"/>
  <c r="D18" i="1"/>
  <c r="K18" i="1" s="1"/>
  <c r="D19" i="1"/>
  <c r="K19" i="1" s="1"/>
  <c r="D20" i="1"/>
  <c r="K20" i="1" s="1"/>
  <c r="D21" i="1"/>
  <c r="K21" i="1" s="1"/>
  <c r="D22" i="1"/>
  <c r="D23" i="1"/>
  <c r="K23" i="1" s="1"/>
  <c r="D24" i="1"/>
  <c r="D25" i="1"/>
  <c r="K25" i="1" s="1"/>
  <c r="D26" i="1"/>
  <c r="K26" i="1" s="1"/>
  <c r="D27" i="1"/>
  <c r="K27" i="1" s="1"/>
  <c r="D28" i="1"/>
  <c r="K28" i="1" s="1"/>
  <c r="D29" i="1"/>
  <c r="K29" i="1" s="1"/>
  <c r="D30" i="1"/>
  <c r="K30" i="1" s="1"/>
  <c r="D31" i="1"/>
  <c r="K31" i="1" s="1"/>
  <c r="D32" i="1"/>
  <c r="K32" i="1" s="1"/>
  <c r="D33" i="1"/>
  <c r="K33" i="1" s="1"/>
  <c r="D34" i="1"/>
  <c r="D35" i="1"/>
  <c r="K35" i="1" s="1"/>
  <c r="D36" i="1"/>
  <c r="D37" i="1"/>
  <c r="K37" i="1" s="1"/>
  <c r="D38" i="1"/>
  <c r="K38" i="1" s="1"/>
  <c r="D39" i="1"/>
  <c r="K39" i="1" s="1"/>
  <c r="D40" i="1"/>
  <c r="K40" i="1" s="1"/>
  <c r="D41" i="1"/>
  <c r="K41" i="1" s="1"/>
  <c r="D42" i="1"/>
  <c r="K42" i="1" s="1"/>
  <c r="D43" i="1"/>
  <c r="K43" i="1" s="1"/>
  <c r="D44" i="1"/>
  <c r="K44" i="1" s="1"/>
  <c r="M44" i="1" s="1"/>
  <c r="D45" i="1"/>
  <c r="K45" i="1" s="1"/>
  <c r="D46" i="1"/>
  <c r="D47" i="1"/>
  <c r="K47" i="1" s="1"/>
  <c r="D48" i="1"/>
  <c r="D49" i="1"/>
  <c r="K49" i="1" s="1"/>
  <c r="D50" i="1"/>
  <c r="K50" i="1" s="1"/>
  <c r="D51" i="1"/>
  <c r="K51" i="1" s="1"/>
  <c r="D10" i="1"/>
  <c r="K10" i="1" s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10" i="1"/>
  <c r="H73" i="1" s="1"/>
  <c r="C10" i="1"/>
  <c r="I9" i="1"/>
  <c r="E9" i="1"/>
  <c r="U9" i="1"/>
  <c r="T9" i="1"/>
  <c r="S9" i="1"/>
  <c r="R9" i="1"/>
  <c r="Q9" i="1"/>
  <c r="P9" i="1"/>
  <c r="B35" i="5"/>
  <c r="B34" i="5"/>
  <c r="B4" i="5"/>
  <c r="D3" i="5"/>
  <c r="B3" i="5"/>
  <c r="D2" i="5"/>
  <c r="B2" i="5"/>
  <c r="B73" i="4"/>
  <c r="AJ56" i="4"/>
  <c r="AG56" i="4"/>
  <c r="AM56" i="4" s="1"/>
  <c r="AF56" i="4"/>
  <c r="AL56" i="4" s="1"/>
  <c r="AK56" i="4"/>
  <c r="AI56" i="4"/>
  <c r="AH56" i="4"/>
  <c r="AG55" i="4"/>
  <c r="AM55" i="4" s="1"/>
  <c r="AF55" i="4"/>
  <c r="AL55" i="4" s="1"/>
  <c r="AJ55" i="4"/>
  <c r="AI55" i="4"/>
  <c r="AH55" i="4"/>
  <c r="AG54" i="4"/>
  <c r="AM54" i="4" s="1"/>
  <c r="AF54" i="4"/>
  <c r="AL54" i="4" s="1"/>
  <c r="AK54" i="4"/>
  <c r="AJ54" i="4"/>
  <c r="AI54" i="4"/>
  <c r="AH54" i="4"/>
  <c r="AM53" i="4"/>
  <c r="AG53" i="4"/>
  <c r="AF53" i="4"/>
  <c r="AL53" i="4" s="1"/>
  <c r="AK53" i="4"/>
  <c r="AJ53" i="4"/>
  <c r="AI53" i="4"/>
  <c r="AH53" i="4"/>
  <c r="AM52" i="4"/>
  <c r="AG52" i="4"/>
  <c r="AF52" i="4"/>
  <c r="AL52" i="4" s="1"/>
  <c r="AK52" i="4"/>
  <c r="AJ52" i="4"/>
  <c r="AI52" i="4"/>
  <c r="AH52" i="4"/>
  <c r="AG51" i="4"/>
  <c r="AM51" i="4" s="1"/>
  <c r="AF51" i="4"/>
  <c r="AL51" i="4" s="1"/>
  <c r="AJ51" i="4"/>
  <c r="AI51" i="4"/>
  <c r="AG50" i="4"/>
  <c r="AM50" i="4" s="1"/>
  <c r="AF50" i="4"/>
  <c r="AL50" i="4" s="1"/>
  <c r="AK50" i="4"/>
  <c r="AJ50" i="4"/>
  <c r="AI50" i="4"/>
  <c r="AH50" i="4"/>
  <c r="AG49" i="4"/>
  <c r="AM49" i="4" s="1"/>
  <c r="AF49" i="4"/>
  <c r="AL49" i="4" s="1"/>
  <c r="AK49" i="4"/>
  <c r="AJ49" i="4"/>
  <c r="AI49" i="4"/>
  <c r="AH49" i="4"/>
  <c r="AM48" i="4"/>
  <c r="AG48" i="4"/>
  <c r="AF48" i="4"/>
  <c r="AL48" i="4" s="1"/>
  <c r="AK48" i="4"/>
  <c r="AJ48" i="4"/>
  <c r="AI48" i="4"/>
  <c r="AH48" i="4"/>
  <c r="AG47" i="4"/>
  <c r="AM47" i="4" s="1"/>
  <c r="AF47" i="4"/>
  <c r="AL47" i="4" s="1"/>
  <c r="AJ47" i="4"/>
  <c r="AI47" i="4"/>
  <c r="AH47" i="4"/>
  <c r="AG46" i="4"/>
  <c r="AM46" i="4" s="1"/>
  <c r="AF46" i="4"/>
  <c r="AL46" i="4" s="1"/>
  <c r="AK46" i="4"/>
  <c r="AJ46" i="4"/>
  <c r="AI46" i="4"/>
  <c r="AH46" i="4"/>
  <c r="AH45" i="4"/>
  <c r="AG45" i="4"/>
  <c r="AM45" i="4" s="1"/>
  <c r="AF45" i="4"/>
  <c r="AL45" i="4" s="1"/>
  <c r="AK45" i="4"/>
  <c r="AJ45" i="4"/>
  <c r="AI45" i="4"/>
  <c r="AL44" i="4"/>
  <c r="AG44" i="4"/>
  <c r="AM44" i="4" s="1"/>
  <c r="AF44" i="4"/>
  <c r="AK44" i="4"/>
  <c r="AJ44" i="4"/>
  <c r="AI44" i="4"/>
  <c r="AH44" i="4"/>
  <c r="AG43" i="4"/>
  <c r="AM43" i="4" s="1"/>
  <c r="AF43" i="4"/>
  <c r="AL43" i="4" s="1"/>
  <c r="AJ43" i="4"/>
  <c r="AI43" i="4"/>
  <c r="AH43" i="4"/>
  <c r="AG42" i="4"/>
  <c r="AM42" i="4" s="1"/>
  <c r="AF42" i="4"/>
  <c r="AL42" i="4" s="1"/>
  <c r="AK42" i="4"/>
  <c r="AJ42" i="4"/>
  <c r="AI42" i="4"/>
  <c r="AH42" i="4"/>
  <c r="AH41" i="4"/>
  <c r="AG41" i="4"/>
  <c r="AM41" i="4" s="1"/>
  <c r="AF41" i="4"/>
  <c r="AL41" i="4" s="1"/>
  <c r="AK41" i="4"/>
  <c r="AJ41" i="4"/>
  <c r="AI41" i="4"/>
  <c r="AG40" i="4"/>
  <c r="AM40" i="4" s="1"/>
  <c r="AF40" i="4"/>
  <c r="AL40" i="4" s="1"/>
  <c r="AK40" i="4"/>
  <c r="AJ40" i="4"/>
  <c r="AI40" i="4"/>
  <c r="AH40" i="4"/>
  <c r="AG39" i="4"/>
  <c r="AM39" i="4" s="1"/>
  <c r="AF39" i="4"/>
  <c r="AL39" i="4" s="1"/>
  <c r="AJ39" i="4"/>
  <c r="AI39" i="4"/>
  <c r="AG38" i="4"/>
  <c r="AM38" i="4" s="1"/>
  <c r="AF38" i="4"/>
  <c r="AL38" i="4" s="1"/>
  <c r="AK38" i="4"/>
  <c r="AJ38" i="4"/>
  <c r="AI38" i="4"/>
  <c r="AH38" i="4"/>
  <c r="AG37" i="4"/>
  <c r="AM37" i="4" s="1"/>
  <c r="AF37" i="4"/>
  <c r="AL37" i="4" s="1"/>
  <c r="AK37" i="4"/>
  <c r="AJ37" i="4"/>
  <c r="AI37" i="4"/>
  <c r="AH37" i="4"/>
  <c r="AM36" i="4"/>
  <c r="AG36" i="4"/>
  <c r="AF36" i="4"/>
  <c r="AL36" i="4" s="1"/>
  <c r="AK36" i="4"/>
  <c r="AJ36" i="4"/>
  <c r="AI36" i="4"/>
  <c r="AH36" i="4"/>
  <c r="AG35" i="4"/>
  <c r="AM35" i="4" s="1"/>
  <c r="AF35" i="4"/>
  <c r="AL35" i="4" s="1"/>
  <c r="AJ35" i="4"/>
  <c r="AI35" i="4"/>
  <c r="AH35" i="4"/>
  <c r="AG34" i="4"/>
  <c r="AM34" i="4" s="1"/>
  <c r="AF34" i="4"/>
  <c r="AL34" i="4" s="1"/>
  <c r="AK34" i="4"/>
  <c r="AJ34" i="4"/>
  <c r="AI34" i="4"/>
  <c r="AH34" i="4"/>
  <c r="AG33" i="4"/>
  <c r="AM33" i="4" s="1"/>
  <c r="AF33" i="4"/>
  <c r="AL33" i="4" s="1"/>
  <c r="AK33" i="4"/>
  <c r="AJ33" i="4"/>
  <c r="AI33" i="4"/>
  <c r="AH33" i="4"/>
  <c r="AG32" i="4"/>
  <c r="AM32" i="4" s="1"/>
  <c r="AF32" i="4"/>
  <c r="AL32" i="4" s="1"/>
  <c r="AK32" i="4"/>
  <c r="AJ32" i="4"/>
  <c r="AI32" i="4"/>
  <c r="AH32" i="4"/>
  <c r="AI31" i="4"/>
  <c r="AG31" i="4"/>
  <c r="AM31" i="4" s="1"/>
  <c r="AF31" i="4"/>
  <c r="AL31" i="4" s="1"/>
  <c r="AJ31" i="4"/>
  <c r="AH31" i="4"/>
  <c r="AG30" i="4"/>
  <c r="AM30" i="4" s="1"/>
  <c r="AF30" i="4"/>
  <c r="AL30" i="4" s="1"/>
  <c r="AK30" i="4"/>
  <c r="AJ30" i="4"/>
  <c r="AI30" i="4"/>
  <c r="AH30" i="4"/>
  <c r="AG29" i="4"/>
  <c r="AM29" i="4" s="1"/>
  <c r="AF29" i="4"/>
  <c r="AL29" i="4" s="1"/>
  <c r="AK29" i="4"/>
  <c r="AJ29" i="4"/>
  <c r="AI29" i="4"/>
  <c r="AH29" i="4"/>
  <c r="AI28" i="4"/>
  <c r="AG28" i="4"/>
  <c r="AM28" i="4" s="1"/>
  <c r="AF28" i="4"/>
  <c r="AL28" i="4" s="1"/>
  <c r="AK28" i="4"/>
  <c r="AJ28" i="4"/>
  <c r="AH28" i="4"/>
  <c r="AG27" i="4"/>
  <c r="AM27" i="4" s="1"/>
  <c r="AF27" i="4"/>
  <c r="AL27" i="4" s="1"/>
  <c r="AJ27" i="4"/>
  <c r="AI27" i="4"/>
  <c r="AG26" i="4"/>
  <c r="AM26" i="4" s="1"/>
  <c r="AF26" i="4"/>
  <c r="AL26" i="4" s="1"/>
  <c r="AK26" i="4"/>
  <c r="AJ26" i="4"/>
  <c r="AI26" i="4"/>
  <c r="AH26" i="4"/>
  <c r="AW25" i="4" a="1"/>
  <c r="AW25" i="4" s="1"/>
  <c r="AG25" i="4"/>
  <c r="AM25" i="4" s="1"/>
  <c r="AF25" i="4"/>
  <c r="AL25" i="4" s="1"/>
  <c r="AK25" i="4"/>
  <c r="AJ25" i="4"/>
  <c r="AI25" i="4"/>
  <c r="AH25" i="4"/>
  <c r="AG24" i="4"/>
  <c r="AM24" i="4" s="1"/>
  <c r="AF24" i="4"/>
  <c r="AL24" i="4" s="1"/>
  <c r="AK24" i="4"/>
  <c r="AJ24" i="4"/>
  <c r="AI24" i="4"/>
  <c r="AH24" i="4"/>
  <c r="BD23" i="4" a="1"/>
  <c r="BD23" i="4" s="1"/>
  <c r="AG23" i="4"/>
  <c r="AM23" i="4" s="1"/>
  <c r="AF23" i="4"/>
  <c r="AL23" i="4" s="1"/>
  <c r="AJ23" i="4"/>
  <c r="AI23" i="4"/>
  <c r="AH23" i="4"/>
  <c r="AG22" i="4"/>
  <c r="AM22" i="4" s="1"/>
  <c r="AF22" i="4"/>
  <c r="AL22" i="4" s="1"/>
  <c r="AK22" i="4"/>
  <c r="AJ22" i="4"/>
  <c r="AI22" i="4"/>
  <c r="AH22" i="4"/>
  <c r="BF21" i="4"/>
  <c r="AG21" i="4"/>
  <c r="AM21" i="4" s="1"/>
  <c r="AF21" i="4"/>
  <c r="AL21" i="4" s="1"/>
  <c r="AK21" i="4"/>
  <c r="AJ21" i="4"/>
  <c r="AI21" i="4"/>
  <c r="AH21" i="4"/>
  <c r="AG20" i="4"/>
  <c r="AM20" i="4" s="1"/>
  <c r="AF20" i="4"/>
  <c r="AL20" i="4" s="1"/>
  <c r="AK20" i="4"/>
  <c r="AJ20" i="4"/>
  <c r="AI20" i="4"/>
  <c r="AH20" i="4"/>
  <c r="AI19" i="4"/>
  <c r="AG19" i="4"/>
  <c r="AM19" i="4" s="1"/>
  <c r="AF19" i="4"/>
  <c r="AL19" i="4" s="1"/>
  <c r="AK19" i="4"/>
  <c r="AJ19" i="4"/>
  <c r="AH19" i="4"/>
  <c r="BA18" i="4" a="1"/>
  <c r="BA18" i="4" s="1"/>
  <c r="AG18" i="4"/>
  <c r="AM18" i="4" s="1"/>
  <c r="AF18" i="4"/>
  <c r="AL18" i="4" s="1"/>
  <c r="AK18" i="4"/>
  <c r="AJ18" i="4"/>
  <c r="AI18" i="4"/>
  <c r="AH18" i="4"/>
  <c r="AV17" i="4"/>
  <c r="AK17" i="4"/>
  <c r="AH17" i="4"/>
  <c r="AG17" i="4"/>
  <c r="AM17" i="4" s="1"/>
  <c r="AF17" i="4"/>
  <c r="AL17" i="4" s="1"/>
  <c r="AJ17" i="4"/>
  <c r="AI17" i="4"/>
  <c r="AW16" i="4" a="1"/>
  <c r="AW16" i="4" s="1"/>
  <c r="AV16" i="4"/>
  <c r="AG16" i="4"/>
  <c r="AM16" i="4" s="1"/>
  <c r="AF16" i="4"/>
  <c r="AL16" i="4" s="1"/>
  <c r="AK16" i="4"/>
  <c r="AJ16" i="4"/>
  <c r="AI16" i="4"/>
  <c r="AH16" i="4"/>
  <c r="AH15" i="4"/>
  <c r="AL15" i="4"/>
  <c r="AJ15" i="4"/>
  <c r="AI15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AG14" i="4" s="1"/>
  <c r="H14" i="4"/>
  <c r="G14" i="4"/>
  <c r="AE14" i="4" s="1"/>
  <c r="F14" i="4"/>
  <c r="AD14" i="4" s="1"/>
  <c r="E14" i="4"/>
  <c r="D14" i="4"/>
  <c r="V12" i="4"/>
  <c r="J12" i="4"/>
  <c r="D12" i="4"/>
  <c r="A11" i="4"/>
  <c r="BE9" i="4"/>
  <c r="BF15" i="4" s="1"/>
  <c r="BD9" i="4"/>
  <c r="BE15" i="4" s="1"/>
  <c r="BC9" i="4"/>
  <c r="BD62" i="4" s="1" a="1"/>
  <c r="BD62" i="4" s="1"/>
  <c r="BP62" i="4" s="1"/>
  <c r="BB9" i="4"/>
  <c r="BC16" i="4" s="1" a="1"/>
  <c r="BC16" i="4" s="1"/>
  <c r="BA9" i="4"/>
  <c r="BB17" i="4" s="1" a="1"/>
  <c r="BB17" i="4" s="1"/>
  <c r="AZ9" i="4"/>
  <c r="BA58" i="4" s="1" a="1"/>
  <c r="BA58" i="4" s="1"/>
  <c r="BM58" i="4" s="1"/>
  <c r="AY9" i="4"/>
  <c r="AZ63" i="4" s="1" a="1"/>
  <c r="AZ63" i="4" s="1"/>
  <c r="BL63" i="4" s="1"/>
  <c r="AX9" i="4"/>
  <c r="AY61" i="4" s="1" a="1"/>
  <c r="AY61" i="4" s="1"/>
  <c r="BK61" i="4" s="1"/>
  <c r="AW9" i="4"/>
  <c r="AX20" i="4" s="1" a="1"/>
  <c r="AX20" i="4" s="1"/>
  <c r="AV9" i="4"/>
  <c r="AW36" i="4" s="1" a="1"/>
  <c r="AW36" i="4" s="1"/>
  <c r="AU9" i="4"/>
  <c r="AV26" i="4" s="1"/>
  <c r="AT9" i="4"/>
  <c r="AU22" i="4" s="1"/>
  <c r="I7" i="4"/>
  <c r="H7" i="4"/>
  <c r="G7" i="4"/>
  <c r="F7" i="4"/>
  <c r="E7" i="4"/>
  <c r="D7" i="4"/>
  <c r="O53" i="3"/>
  <c r="E53" i="3"/>
  <c r="E52" i="3"/>
  <c r="O51" i="3"/>
  <c r="E51" i="3"/>
  <c r="AL41" i="3"/>
  <c r="AL40" i="3"/>
  <c r="AL39" i="3"/>
  <c r="AL38" i="3"/>
  <c r="Q33" i="3"/>
  <c r="AL32" i="3"/>
  <c r="Q32" i="3"/>
  <c r="AL31" i="3"/>
  <c r="Q31" i="3"/>
  <c r="Q30" i="3"/>
  <c r="AL26" i="3"/>
  <c r="AL25" i="3"/>
  <c r="AL24" i="3"/>
  <c r="AL23" i="3"/>
  <c r="O4" i="3"/>
  <c r="E4" i="3"/>
  <c r="E3" i="3"/>
  <c r="O2" i="3"/>
  <c r="E2" i="3"/>
  <c r="J9" i="1"/>
  <c r="H9" i="1"/>
  <c r="G9" i="1"/>
  <c r="F9" i="1"/>
  <c r="D9" i="1"/>
  <c r="A7" i="1"/>
  <c r="H76" i="1" l="1"/>
  <c r="BB16" i="4" a="1"/>
  <c r="BB16" i="4" s="1"/>
  <c r="BA17" i="4" a="1"/>
  <c r="BA17" i="4" s="1"/>
  <c r="BB39" i="4" a="1"/>
  <c r="BB39" i="4" s="1"/>
  <c r="BN39" i="4" s="1"/>
  <c r="BF52" i="4"/>
  <c r="BR52" i="4" s="1"/>
  <c r="BC64" i="4" a="1"/>
  <c r="BC64" i="4" s="1"/>
  <c r="BO64" i="4" s="1"/>
  <c r="AX63" i="4" a="1"/>
  <c r="AX63" i="4" s="1"/>
  <c r="BJ63" i="4" s="1"/>
  <c r="BA62" i="4" a="1"/>
  <c r="BA62" i="4" s="1"/>
  <c r="BM62" i="4" s="1"/>
  <c r="AV61" i="4" a="1"/>
  <c r="AV61" i="4" s="1"/>
  <c r="BH61" i="4" s="1"/>
  <c r="AZ60" i="4" a="1"/>
  <c r="AZ60" i="4" s="1"/>
  <c r="BL60" i="4" s="1"/>
  <c r="BD59" i="4" a="1"/>
  <c r="BD59" i="4" s="1"/>
  <c r="BP59" i="4" s="1"/>
  <c r="AY58" i="4" a="1"/>
  <c r="AY58" i="4" s="1"/>
  <c r="BK58" i="4" s="1"/>
  <c r="BB57" i="4" a="1"/>
  <c r="BB57" i="4" s="1"/>
  <c r="BN57" i="4" s="1"/>
  <c r="BA48" i="4" a="1"/>
  <c r="BA48" i="4" s="1"/>
  <c r="BA56" i="4" a="1"/>
  <c r="BA56" i="4" s="1"/>
  <c r="BB64" i="4" a="1"/>
  <c r="BB64" i="4" s="1"/>
  <c r="BN64" i="4" s="1"/>
  <c r="BF63" i="4" a="1"/>
  <c r="BF63" i="4" s="1"/>
  <c r="BR63" i="4" s="1"/>
  <c r="AW63" i="4" a="1"/>
  <c r="AW63" i="4" s="1"/>
  <c r="BI63" i="4" s="1"/>
  <c r="BE61" i="4" a="1"/>
  <c r="BE61" i="4" s="1"/>
  <c r="BQ61" i="4" s="1"/>
  <c r="AU61" i="4" a="1"/>
  <c r="AU61" i="4" s="1"/>
  <c r="BG61" i="4" s="1"/>
  <c r="BC59" i="4" a="1"/>
  <c r="BC59" i="4" s="1"/>
  <c r="BO59" i="4" s="1"/>
  <c r="AX58" i="4" a="1"/>
  <c r="AX58" i="4" s="1"/>
  <c r="BJ58" i="4" s="1"/>
  <c r="BA57" i="4" a="1"/>
  <c r="BA57" i="4" s="1"/>
  <c r="BM57" i="4" s="1"/>
  <c r="AN49" i="4"/>
  <c r="BA64" i="4" a="1"/>
  <c r="BA64" i="4" s="1"/>
  <c r="BM64" i="4" s="1"/>
  <c r="AV63" i="4" a="1"/>
  <c r="AV63" i="4" s="1"/>
  <c r="BH63" i="4" s="1"/>
  <c r="AZ62" i="4" a="1"/>
  <c r="AZ62" i="4" s="1"/>
  <c r="BL62" i="4" s="1"/>
  <c r="BD61" i="4" a="1"/>
  <c r="BD61" i="4" s="1"/>
  <c r="BP61" i="4" s="1"/>
  <c r="AY60" i="4" a="1"/>
  <c r="AY60" i="4" s="1"/>
  <c r="BK60" i="4" s="1"/>
  <c r="BB59" i="4" a="1"/>
  <c r="BB59" i="4" s="1"/>
  <c r="BN59" i="4" s="1"/>
  <c r="BF58" i="4" a="1"/>
  <c r="BF58" i="4" s="1"/>
  <c r="BR58" i="4" s="1"/>
  <c r="AW58" i="4" a="1"/>
  <c r="AW58" i="4" s="1"/>
  <c r="BI58" i="4" s="1"/>
  <c r="BE59" i="4" a="1"/>
  <c r="BE59" i="4" s="1"/>
  <c r="BQ59" i="4" s="1"/>
  <c r="AM15" i="4"/>
  <c r="BF51" i="4"/>
  <c r="BE63" i="4" a="1"/>
  <c r="BE63" i="4" s="1"/>
  <c r="BQ63" i="4" s="1"/>
  <c r="AU63" i="4" a="1"/>
  <c r="AU63" i="4" s="1"/>
  <c r="BG63" i="4" s="1"/>
  <c r="BC61" i="4" a="1"/>
  <c r="BC61" i="4" s="1"/>
  <c r="BO61" i="4" s="1"/>
  <c r="AX60" i="4" a="1"/>
  <c r="AX60" i="4" s="1"/>
  <c r="BJ60" i="4" s="1"/>
  <c r="BA59" i="4" a="1"/>
  <c r="BA59" i="4" s="1"/>
  <c r="BM59" i="4" s="1"/>
  <c r="AV58" i="4" a="1"/>
  <c r="AV58" i="4" s="1"/>
  <c r="BH58" i="4" s="1"/>
  <c r="AZ57" i="4" a="1"/>
  <c r="AZ57" i="4" s="1"/>
  <c r="BL57" i="4" s="1"/>
  <c r="BF61" i="4" a="1"/>
  <c r="BF61" i="4" s="1"/>
  <c r="BR61" i="4" s="1"/>
  <c r="AB14" i="4"/>
  <c r="AU15" i="4"/>
  <c r="AZ64" i="4" a="1"/>
  <c r="AZ64" i="4" s="1"/>
  <c r="BL64" i="4" s="1"/>
  <c r="BD63" i="4" a="1"/>
  <c r="BD63" i="4" s="1"/>
  <c r="BP63" i="4" s="1"/>
  <c r="AY62" i="4" a="1"/>
  <c r="AY62" i="4" s="1"/>
  <c r="BK62" i="4" s="1"/>
  <c r="BB61" i="4" a="1"/>
  <c r="BB61" i="4" s="1"/>
  <c r="BN61" i="4" s="1"/>
  <c r="BF60" i="4" a="1"/>
  <c r="BF60" i="4" s="1"/>
  <c r="BR60" i="4" s="1"/>
  <c r="AW60" i="4" a="1"/>
  <c r="AW60" i="4" s="1"/>
  <c r="BI60" i="4" s="1"/>
  <c r="BE58" i="4" a="1"/>
  <c r="BE58" i="4" s="1"/>
  <c r="BQ58" i="4" s="1"/>
  <c r="AU58" i="4" a="1"/>
  <c r="AU58" i="4" s="1"/>
  <c r="BG58" i="4" s="1"/>
  <c r="AK15" i="4"/>
  <c r="AC14" i="4"/>
  <c r="AV15" i="4"/>
  <c r="BE27" i="4"/>
  <c r="BQ27" i="4" s="1"/>
  <c r="AU31" i="4"/>
  <c r="BD45" i="4" a="1"/>
  <c r="BD45" i="4" s="1"/>
  <c r="BC63" i="4" a="1"/>
  <c r="BC63" i="4" s="1"/>
  <c r="BO63" i="4" s="1"/>
  <c r="AX62" i="4" a="1"/>
  <c r="AX62" i="4" s="1"/>
  <c r="BJ62" i="4" s="1"/>
  <c r="BA61" i="4" a="1"/>
  <c r="BA61" i="4" s="1"/>
  <c r="BM61" i="4" s="1"/>
  <c r="AV60" i="4" a="1"/>
  <c r="AV60" i="4" s="1"/>
  <c r="BH60" i="4" s="1"/>
  <c r="AZ59" i="4" a="1"/>
  <c r="AZ59" i="4" s="1"/>
  <c r="BL59" i="4" s="1"/>
  <c r="BD58" i="4" a="1"/>
  <c r="BD58" i="4" s="1"/>
  <c r="BP58" i="4" s="1"/>
  <c r="AY57" i="4" a="1"/>
  <c r="AY57" i="4" s="1"/>
  <c r="BK57" i="4" s="1"/>
  <c r="AW15" i="4" a="1"/>
  <c r="AW15" i="4" s="1"/>
  <c r="AX22" i="4" a="1"/>
  <c r="AX22" i="4" s="1"/>
  <c r="BJ22" i="4" s="1"/>
  <c r="AX23" i="4" a="1"/>
  <c r="AX23" i="4" s="1"/>
  <c r="BJ23" i="4" s="1"/>
  <c r="AW24" i="4" a="1"/>
  <c r="AW24" i="4" s="1"/>
  <c r="BF27" i="4"/>
  <c r="BE28" i="4"/>
  <c r="AV31" i="4"/>
  <c r="BE45" i="4"/>
  <c r="AY64" i="4" a="1"/>
  <c r="AY64" i="4" s="1"/>
  <c r="BK64" i="4" s="1"/>
  <c r="BB63" i="4" a="1"/>
  <c r="BB63" i="4" s="1"/>
  <c r="BN63" i="4" s="1"/>
  <c r="BF62" i="4" a="1"/>
  <c r="BF62" i="4" s="1"/>
  <c r="BR62" i="4" s="1"/>
  <c r="AW62" i="4" a="1"/>
  <c r="AW62" i="4" s="1"/>
  <c r="BI62" i="4" s="1"/>
  <c r="BE60" i="4" a="1"/>
  <c r="BE60" i="4" s="1"/>
  <c r="BQ60" i="4" s="1"/>
  <c r="AU60" i="4" a="1"/>
  <c r="AU60" i="4" s="1"/>
  <c r="BG60" i="4" s="1"/>
  <c r="BC58" i="4" a="1"/>
  <c r="BC58" i="4" s="1"/>
  <c r="BO58" i="4" s="1"/>
  <c r="AX57" i="4" a="1"/>
  <c r="AX57" i="4" s="1"/>
  <c r="BJ57" i="4" s="1"/>
  <c r="BB15" i="4" a="1"/>
  <c r="BB15" i="4" s="1"/>
  <c r="BD29" i="4" a="1"/>
  <c r="BD29" i="4" s="1"/>
  <c r="BE36" i="4"/>
  <c r="BQ36" i="4" s="1"/>
  <c r="AX64" i="4" a="1"/>
  <c r="AX64" i="4" s="1"/>
  <c r="BJ64" i="4" s="1"/>
  <c r="BA63" i="4" a="1"/>
  <c r="BA63" i="4" s="1"/>
  <c r="BM63" i="4" s="1"/>
  <c r="AV62" i="4" a="1"/>
  <c r="AV62" i="4" s="1"/>
  <c r="BH62" i="4" s="1"/>
  <c r="AZ61" i="4" a="1"/>
  <c r="AZ61" i="4" s="1"/>
  <c r="BL61" i="4" s="1"/>
  <c r="BD60" i="4" a="1"/>
  <c r="BD60" i="4" s="1"/>
  <c r="BP60" i="4" s="1"/>
  <c r="AY59" i="4" a="1"/>
  <c r="AY59" i="4" s="1"/>
  <c r="BK59" i="4" s="1"/>
  <c r="BB58" i="4" a="1"/>
  <c r="BB58" i="4" s="1"/>
  <c r="BN58" i="4" s="1"/>
  <c r="BF57" i="4" a="1"/>
  <c r="BF57" i="4" s="1"/>
  <c r="BR57" i="4" s="1"/>
  <c r="AW57" i="4" a="1"/>
  <c r="AW57" i="4" s="1"/>
  <c r="BI57" i="4" s="1"/>
  <c r="BE64" i="4" a="1"/>
  <c r="BE64" i="4" s="1"/>
  <c r="BQ64" i="4" s="1"/>
  <c r="BE22" i="4"/>
  <c r="AF14" i="4"/>
  <c r="BD15" i="4" a="1"/>
  <c r="BD15" i="4" s="1"/>
  <c r="AU16" i="4"/>
  <c r="AZ19" i="4" a="1"/>
  <c r="AZ19" i="4" s="1"/>
  <c r="BL19" i="4" s="1"/>
  <c r="BF22" i="4"/>
  <c r="BR22" i="4" s="1"/>
  <c r="BE23" i="4"/>
  <c r="BQ23" i="4" s="1"/>
  <c r="BD24" i="4" a="1"/>
  <c r="BD24" i="4" s="1"/>
  <c r="BP24" i="4" s="1"/>
  <c r="BF36" i="4"/>
  <c r="BR36" i="4" s="1"/>
  <c r="BF64" i="4" a="1"/>
  <c r="BF64" i="4" s="1"/>
  <c r="BR64" i="4" s="1"/>
  <c r="AW64" i="4" a="1"/>
  <c r="AW64" i="4" s="1"/>
  <c r="BI64" i="4" s="1"/>
  <c r="BE62" i="4" a="1"/>
  <c r="BE62" i="4" s="1"/>
  <c r="BQ62" i="4" s="1"/>
  <c r="AU62" i="4" a="1"/>
  <c r="AU62" i="4" s="1"/>
  <c r="BG62" i="4" s="1"/>
  <c r="BC60" i="4" a="1"/>
  <c r="BC60" i="4" s="1"/>
  <c r="BO60" i="4" s="1"/>
  <c r="AX59" i="4" a="1"/>
  <c r="AX59" i="4" s="1"/>
  <c r="BJ59" i="4" s="1"/>
  <c r="AV57" i="4" a="1"/>
  <c r="AV57" i="4" s="1"/>
  <c r="BH57" i="4" s="1"/>
  <c r="BD25" i="4" a="1"/>
  <c r="BD25" i="4" s="1"/>
  <c r="BP25" i="4" s="1"/>
  <c r="AV64" i="4" a="1"/>
  <c r="AV64" i="4" s="1"/>
  <c r="BH64" i="4" s="1"/>
  <c r="BB60" i="4" a="1"/>
  <c r="BB60" i="4" s="1"/>
  <c r="BN60" i="4" s="1"/>
  <c r="BF59" i="4" a="1"/>
  <c r="BF59" i="4" s="1"/>
  <c r="BR59" i="4" s="1"/>
  <c r="AW59" i="4" a="1"/>
  <c r="AW59" i="4" s="1"/>
  <c r="BI59" i="4" s="1"/>
  <c r="BE57" i="4" a="1"/>
  <c r="BE57" i="4" s="1"/>
  <c r="BQ57" i="4" s="1"/>
  <c r="AU57" i="4" a="1"/>
  <c r="AU57" i="4" s="1"/>
  <c r="BG57" i="4" s="1"/>
  <c r="L58" i="1"/>
  <c r="M58" i="1"/>
  <c r="L52" i="1"/>
  <c r="M52" i="1"/>
  <c r="L56" i="1"/>
  <c r="M56" i="1"/>
  <c r="L59" i="1"/>
  <c r="M59" i="1"/>
  <c r="L53" i="1"/>
  <c r="M53" i="1"/>
  <c r="L55" i="1"/>
  <c r="M55" i="1"/>
  <c r="L57" i="1"/>
  <c r="M57" i="1"/>
  <c r="M54" i="1"/>
  <c r="M47" i="1"/>
  <c r="AS52" i="4" s="1"/>
  <c r="L47" i="1"/>
  <c r="M35" i="1"/>
  <c r="AN40" i="4" s="1"/>
  <c r="L35" i="1"/>
  <c r="L23" i="1"/>
  <c r="M23" i="1"/>
  <c r="BQ28" i="4" s="1"/>
  <c r="M11" i="1"/>
  <c r="L11" i="1"/>
  <c r="M45" i="1"/>
  <c r="AO50" i="4" s="1"/>
  <c r="L45" i="1"/>
  <c r="M33" i="1"/>
  <c r="L33" i="1"/>
  <c r="M21" i="1"/>
  <c r="AR26" i="4" s="1"/>
  <c r="L21" i="1"/>
  <c r="L32" i="1"/>
  <c r="M32" i="1"/>
  <c r="AR37" i="4" s="1"/>
  <c r="L20" i="1"/>
  <c r="M20" i="1"/>
  <c r="M43" i="1"/>
  <c r="L43" i="1"/>
  <c r="M31" i="1"/>
  <c r="AQ36" i="4" s="1"/>
  <c r="L31" i="1"/>
  <c r="M19" i="1"/>
  <c r="L19" i="1"/>
  <c r="L42" i="1"/>
  <c r="M42" i="1"/>
  <c r="M30" i="1"/>
  <c r="L30" i="1"/>
  <c r="M18" i="1"/>
  <c r="L18" i="1"/>
  <c r="M48" i="1"/>
  <c r="L48" i="1"/>
  <c r="L36" i="1"/>
  <c r="M36" i="1"/>
  <c r="AQ41" i="4" s="1"/>
  <c r="M24" i="1"/>
  <c r="L24" i="1"/>
  <c r="M12" i="1"/>
  <c r="L12" i="1"/>
  <c r="M41" i="1"/>
  <c r="L41" i="1"/>
  <c r="L29" i="1"/>
  <c r="M29" i="1"/>
  <c r="AS34" i="4" s="1"/>
  <c r="M17" i="1"/>
  <c r="L17" i="1"/>
  <c r="L10" i="1"/>
  <c r="M10" i="1"/>
  <c r="M40" i="1"/>
  <c r="L40" i="1"/>
  <c r="M28" i="1"/>
  <c r="AS33" i="4" s="1"/>
  <c r="L28" i="1"/>
  <c r="L16" i="1"/>
  <c r="M16" i="1"/>
  <c r="L46" i="1"/>
  <c r="M46" i="1"/>
  <c r="L34" i="1"/>
  <c r="M34" i="1"/>
  <c r="L22" i="1"/>
  <c r="M22" i="1"/>
  <c r="BR27" i="4" s="1"/>
  <c r="M51" i="1"/>
  <c r="L51" i="1"/>
  <c r="M39" i="1"/>
  <c r="L39" i="1"/>
  <c r="M27" i="1"/>
  <c r="L27" i="1"/>
  <c r="M15" i="1"/>
  <c r="L15" i="1"/>
  <c r="L50" i="1"/>
  <c r="M50" i="1"/>
  <c r="M38" i="1"/>
  <c r="L38" i="1"/>
  <c r="M26" i="1"/>
  <c r="L26" i="1"/>
  <c r="M14" i="1"/>
  <c r="L14" i="1"/>
  <c r="M49" i="1"/>
  <c r="L49" i="1"/>
  <c r="M37" i="1"/>
  <c r="L37" i="1"/>
  <c r="M25" i="1"/>
  <c r="L25" i="1"/>
  <c r="M13" i="1"/>
  <c r="L13" i="1"/>
  <c r="L44" i="1"/>
  <c r="BR21" i="4"/>
  <c r="L24" i="3"/>
  <c r="AN21" i="4"/>
  <c r="AO21" i="4"/>
  <c r="AR46" i="4"/>
  <c r="AP46" i="4"/>
  <c r="AS46" i="4"/>
  <c r="AS29" i="4"/>
  <c r="AR29" i="4"/>
  <c r="AQ29" i="4"/>
  <c r="AP29" i="4"/>
  <c r="AO29" i="4"/>
  <c r="AS35" i="4"/>
  <c r="AP35" i="4"/>
  <c r="AO35" i="4"/>
  <c r="AN35" i="4"/>
  <c r="AN41" i="4"/>
  <c r="AS41" i="4"/>
  <c r="AR41" i="4"/>
  <c r="AP41" i="4"/>
  <c r="AQ47" i="4"/>
  <c r="AO47" i="4"/>
  <c r="AS47" i="4"/>
  <c r="AR47" i="4"/>
  <c r="AP47" i="4"/>
  <c r="AN47" i="4"/>
  <c r="AS53" i="4"/>
  <c r="AN53" i="4"/>
  <c r="AR53" i="4"/>
  <c r="AQ53" i="4"/>
  <c r="AP53" i="4"/>
  <c r="AO53" i="4"/>
  <c r="AY53" i="4"/>
  <c r="BK53" i="4" s="1"/>
  <c r="AY41" i="4"/>
  <c r="AY50" i="4"/>
  <c r="AY38" i="4"/>
  <c r="AY37" i="4"/>
  <c r="BK37" i="4" s="1"/>
  <c r="AY48" i="4"/>
  <c r="BK48" i="4" s="1"/>
  <c r="AY55" i="4"/>
  <c r="BK55" i="4" s="1"/>
  <c r="AY42" i="4"/>
  <c r="BK42" i="4" s="1"/>
  <c r="AY49" i="4"/>
  <c r="BK49" i="4" s="1"/>
  <c r="AY46" i="4"/>
  <c r="BK46" i="4" s="1"/>
  <c r="AY40" i="4"/>
  <c r="BK40" i="4" s="1"/>
  <c r="AY34" i="4"/>
  <c r="BK34" i="4" s="1"/>
  <c r="AY35" i="4"/>
  <c r="BK35" i="4" s="1"/>
  <c r="AY33" i="4"/>
  <c r="AY39" i="4"/>
  <c r="AY32" i="4"/>
  <c r="AY51" i="4"/>
  <c r="AY45" i="4"/>
  <c r="AY31" i="4"/>
  <c r="BK31" i="4" s="1"/>
  <c r="AY30" i="4"/>
  <c r="BK30" i="4" s="1"/>
  <c r="AY29" i="4"/>
  <c r="AY52" i="4"/>
  <c r="AY28" i="4"/>
  <c r="BK28" i="4" s="1"/>
  <c r="AY44" i="4"/>
  <c r="BK44" i="4" s="1"/>
  <c r="AY36" i="4"/>
  <c r="BK36" i="4" s="1"/>
  <c r="AS16" i="4"/>
  <c r="AR17" i="4"/>
  <c r="AQ18" i="4"/>
  <c r="AP19" i="4"/>
  <c r="AO20" i="4"/>
  <c r="AY21" i="4"/>
  <c r="BK21" i="4" s="1"/>
  <c r="BQ22" i="4"/>
  <c r="BP23" i="4"/>
  <c r="AY26" i="4"/>
  <c r="BK26" i="4"/>
  <c r="AQ35" i="4"/>
  <c r="AP37" i="4"/>
  <c r="AO46" i="4"/>
  <c r="AO40" i="4"/>
  <c r="AS40" i="4"/>
  <c r="AR40" i="4"/>
  <c r="AS30" i="4"/>
  <c r="AR30" i="4"/>
  <c r="AQ30" i="4"/>
  <c r="AP30" i="4"/>
  <c r="AO30" i="4"/>
  <c r="AN30" i="4"/>
  <c r="AR36" i="4"/>
  <c r="AO36" i="4"/>
  <c r="AS36" i="4"/>
  <c r="AP36" i="4"/>
  <c r="AN36" i="4"/>
  <c r="BI36" i="4"/>
  <c r="AS48" i="4"/>
  <c r="AP48" i="4"/>
  <c r="AN48" i="4"/>
  <c r="AR48" i="4"/>
  <c r="AQ48" i="4"/>
  <c r="AO48" i="4"/>
  <c r="AZ51" i="4" a="1"/>
  <c r="AZ51" i="4" s="1"/>
  <c r="BL51" i="4" s="1"/>
  <c r="AZ39" i="4" a="1"/>
  <c r="AZ39" i="4" s="1"/>
  <c r="BL39" i="4" s="1"/>
  <c r="AZ48" i="4" a="1"/>
  <c r="AZ48" i="4" s="1"/>
  <c r="BL48" i="4" s="1"/>
  <c r="AZ35" i="4" a="1"/>
  <c r="AZ35" i="4" s="1"/>
  <c r="BL35" i="4" s="1"/>
  <c r="AZ46" i="4" a="1"/>
  <c r="AZ46" i="4" s="1"/>
  <c r="BL46" i="4" s="1"/>
  <c r="AZ49" i="4" a="1"/>
  <c r="AZ49" i="4" s="1"/>
  <c r="BL49" i="4" s="1"/>
  <c r="AZ37" i="4" a="1"/>
  <c r="AZ37" i="4" s="1"/>
  <c r="BL37" i="4" s="1"/>
  <c r="AZ34" i="4" a="1"/>
  <c r="AZ34" i="4" s="1"/>
  <c r="BL34" i="4" s="1"/>
  <c r="AZ50" i="4" a="1"/>
  <c r="AZ50" i="4" s="1"/>
  <c r="AZ40" i="4" a="1"/>
  <c r="AZ40" i="4" s="1"/>
  <c r="BL40" i="4" s="1"/>
  <c r="AZ33" i="4" a="1"/>
  <c r="AZ33" i="4" s="1"/>
  <c r="BL33" i="4" s="1"/>
  <c r="AZ32" i="4" a="1"/>
  <c r="AZ32" i="4" s="1"/>
  <c r="BL32" i="4" s="1"/>
  <c r="AZ45" i="4" a="1"/>
  <c r="AZ45" i="4" s="1"/>
  <c r="BL45" i="4" s="1"/>
  <c r="AZ31" i="4" a="1"/>
  <c r="AZ31" i="4" s="1"/>
  <c r="AZ30" i="4" a="1"/>
  <c r="AZ30" i="4" s="1"/>
  <c r="AZ29" i="4" a="1"/>
  <c r="AZ29" i="4" s="1"/>
  <c r="BL29" i="4" s="1"/>
  <c r="AZ28" i="4" a="1"/>
  <c r="AZ28" i="4" s="1"/>
  <c r="AZ52" i="4" a="1"/>
  <c r="AZ52" i="4" s="1"/>
  <c r="BL52" i="4" s="1"/>
  <c r="AZ44" i="4" a="1"/>
  <c r="AZ44" i="4" s="1"/>
  <c r="BL44" i="4" s="1"/>
  <c r="AZ27" i="4" a="1"/>
  <c r="AZ27" i="4" s="1"/>
  <c r="BL27" i="4" s="1"/>
  <c r="AZ53" i="4" a="1"/>
  <c r="AZ53" i="4" s="1"/>
  <c r="BL53" i="4" s="1"/>
  <c r="AZ38" i="4" a="1"/>
  <c r="AZ38" i="4" s="1"/>
  <c r="BL38" i="4" s="1"/>
  <c r="AZ36" i="4" a="1"/>
  <c r="AZ36" i="4" s="1"/>
  <c r="BL36" i="4" s="1"/>
  <c r="AZ43" i="4" a="1"/>
  <c r="AZ43" i="4" s="1"/>
  <c r="BL43" i="4" s="1"/>
  <c r="AQ19" i="4"/>
  <c r="AP20" i="4"/>
  <c r="AY22" i="4"/>
  <c r="BK32" i="4"/>
  <c r="AR33" i="4"/>
  <c r="AR35" i="4"/>
  <c r="AP40" i="4"/>
  <c r="AQ46" i="4"/>
  <c r="BM56" i="4"/>
  <c r="AS42" i="4"/>
  <c r="AR42" i="4"/>
  <c r="AQ42" i="4"/>
  <c r="AP42" i="4"/>
  <c r="AO42" i="4"/>
  <c r="AR54" i="4"/>
  <c r="AS54" i="4"/>
  <c r="AQ54" i="4"/>
  <c r="AP54" i="4"/>
  <c r="AO54" i="4"/>
  <c r="AN54" i="4"/>
  <c r="C24" i="3"/>
  <c r="AS17" i="4"/>
  <c r="AR18" i="4"/>
  <c r="AZ20" i="4" a="1"/>
  <c r="AZ20" i="4" s="1"/>
  <c r="AN22" i="4"/>
  <c r="BA54" i="4" a="1"/>
  <c r="BA54" i="4" s="1"/>
  <c r="BA49" i="4" a="1"/>
  <c r="BA49" i="4" s="1"/>
  <c r="BM49" i="4" s="1"/>
  <c r="BA36" i="4" a="1"/>
  <c r="BA36" i="4" s="1"/>
  <c r="BM36" i="4" s="1"/>
  <c r="BA46" i="4" a="1"/>
  <c r="BA46" i="4" s="1"/>
  <c r="BM46" i="4" s="1"/>
  <c r="BA44" i="4" a="1"/>
  <c r="BA44" i="4" s="1"/>
  <c r="BM44" i="4" s="1"/>
  <c r="BA50" i="4" a="1"/>
  <c r="BA50" i="4" s="1"/>
  <c r="BM50" i="4" s="1"/>
  <c r="BA35" i="4" a="1"/>
  <c r="BA35" i="4" s="1"/>
  <c r="BM35" i="4" s="1"/>
  <c r="BA32" i="4" a="1"/>
  <c r="BA32" i="4" s="1"/>
  <c r="BM32" i="4" s="1"/>
  <c r="BA39" i="4" a="1"/>
  <c r="BA39" i="4" s="1"/>
  <c r="BA31" i="4" a="1"/>
  <c r="BA31" i="4" s="1"/>
  <c r="BM31" i="4" s="1"/>
  <c r="BA30" i="4" a="1"/>
  <c r="BA30" i="4" s="1"/>
  <c r="BM30" i="4" s="1"/>
  <c r="BA51" i="4" a="1"/>
  <c r="BA51" i="4" s="1"/>
  <c r="BM51" i="4" s="1"/>
  <c r="BA45" i="4" a="1"/>
  <c r="BA45" i="4" s="1"/>
  <c r="BA29" i="4" a="1"/>
  <c r="BA29" i="4" s="1"/>
  <c r="BM29" i="4" s="1"/>
  <c r="BA28" i="4" a="1"/>
  <c r="BA28" i="4" s="1"/>
  <c r="BM28" i="4" s="1"/>
  <c r="BA52" i="4" a="1"/>
  <c r="BA52" i="4" s="1"/>
  <c r="BM52" i="4" s="1"/>
  <c r="BA27" i="4" a="1"/>
  <c r="BA27" i="4" s="1"/>
  <c r="BM27" i="4" s="1"/>
  <c r="BA53" i="4" a="1"/>
  <c r="BA53" i="4" s="1"/>
  <c r="BM53" i="4" s="1"/>
  <c r="BA43" i="4" a="1"/>
  <c r="BA43" i="4" s="1"/>
  <c r="BM43" i="4" s="1"/>
  <c r="BA38" i="4" a="1"/>
  <c r="BA38" i="4" s="1"/>
  <c r="BM38" i="4" s="1"/>
  <c r="BA42" i="4" a="1"/>
  <c r="BA42" i="4" s="1"/>
  <c r="BM42" i="4" s="1"/>
  <c r="BC15" i="4" a="1"/>
  <c r="BC15" i="4" s="1"/>
  <c r="AU17" i="4"/>
  <c r="AS18" i="4"/>
  <c r="AR19" i="4"/>
  <c r="BA19" i="4" a="1"/>
  <c r="BA19" i="4" s="1"/>
  <c r="BM19" i="4" s="1"/>
  <c r="AQ20" i="4"/>
  <c r="AP21" i="4"/>
  <c r="AZ21" i="4" a="1"/>
  <c r="AZ21" i="4" s="1"/>
  <c r="BL21" i="4" s="1"/>
  <c r="AO22" i="4"/>
  <c r="BG22" i="4"/>
  <c r="AN23" i="4"/>
  <c r="AY23" i="4"/>
  <c r="BK23" i="4" s="1"/>
  <c r="BF23" i="4"/>
  <c r="BR23" i="4" s="1"/>
  <c r="AX24" i="4" a="1"/>
  <c r="AX24" i="4" s="1"/>
  <c r="BE24" i="4"/>
  <c r="BQ24" i="4" s="1"/>
  <c r="AX25" i="4" a="1"/>
  <c r="AX25" i="4" s="1"/>
  <c r="BE25" i="4"/>
  <c r="BQ25" i="4" s="1"/>
  <c r="AZ26" i="4" a="1"/>
  <c r="AZ26" i="4" s="1"/>
  <c r="AU35" i="4"/>
  <c r="BG35" i="4" s="1"/>
  <c r="BA37" i="4" a="1"/>
  <c r="BA37" i="4" s="1"/>
  <c r="BM37" i="4" s="1"/>
  <c r="BC39" i="4" a="1"/>
  <c r="BC39" i="4" s="1"/>
  <c r="BO39" i="4" s="1"/>
  <c r="AQ40" i="4"/>
  <c r="AX43" i="4" a="1"/>
  <c r="AX43" i="4" s="1"/>
  <c r="BJ43" i="4" s="1"/>
  <c r="BM48" i="4"/>
  <c r="AX53" i="4" a="1"/>
  <c r="AX53" i="4" s="1"/>
  <c r="BJ53" i="4" s="1"/>
  <c r="AQ37" i="4"/>
  <c r="AN37" i="4"/>
  <c r="AS37" i="4"/>
  <c r="AR49" i="4"/>
  <c r="AO49" i="4"/>
  <c r="AS49" i="4"/>
  <c r="AQ49" i="4"/>
  <c r="AP49" i="4"/>
  <c r="AQ55" i="4"/>
  <c r="AS55" i="4"/>
  <c r="AR55" i="4"/>
  <c r="AP55" i="4"/>
  <c r="AO55" i="4"/>
  <c r="AN55" i="4"/>
  <c r="E24" i="3"/>
  <c r="BB52" i="4" a="1"/>
  <c r="BB52" i="4" s="1"/>
  <c r="BB56" i="4" a="1"/>
  <c r="BB56" i="4" s="1"/>
  <c r="BN56" i="4" s="1"/>
  <c r="BB47" i="4" a="1"/>
  <c r="BB47" i="4" s="1"/>
  <c r="BN47" i="4" s="1"/>
  <c r="BB44" i="4" a="1"/>
  <c r="BB44" i="4" s="1"/>
  <c r="BN44" i="4" s="1"/>
  <c r="BB54" i="4" a="1"/>
  <c r="BB54" i="4" s="1"/>
  <c r="BN54" i="4" s="1"/>
  <c r="BB42" i="4" a="1"/>
  <c r="BB42" i="4" s="1"/>
  <c r="BN42" i="4" s="1"/>
  <c r="BB51" i="4" a="1"/>
  <c r="BB51" i="4" s="1"/>
  <c r="BN51" i="4" s="1"/>
  <c r="BB29" i="4" a="1"/>
  <c r="BB29" i="4" s="1"/>
  <c r="BN29" i="4" s="1"/>
  <c r="BB45" i="4" a="1"/>
  <c r="BB45" i="4" s="1"/>
  <c r="BN45" i="4" s="1"/>
  <c r="BB28" i="4" a="1"/>
  <c r="BB28" i="4" s="1"/>
  <c r="BN28" i="4" s="1"/>
  <c r="BB27" i="4" a="1"/>
  <c r="BB27" i="4" s="1"/>
  <c r="BB26" i="4" a="1"/>
  <c r="BB26" i="4" s="1"/>
  <c r="BB53" i="4" a="1"/>
  <c r="BB53" i="4" s="1"/>
  <c r="BN53" i="4" s="1"/>
  <c r="BB38" i="4" a="1"/>
  <c r="BB38" i="4" s="1"/>
  <c r="BN38" i="4" s="1"/>
  <c r="BB36" i="4" a="1"/>
  <c r="BB36" i="4" s="1"/>
  <c r="BN36" i="4" s="1"/>
  <c r="BB43" i="4" a="1"/>
  <c r="BB43" i="4" s="1"/>
  <c r="BN43" i="4" s="1"/>
  <c r="BB41" i="4" a="1"/>
  <c r="BB41" i="4" s="1"/>
  <c r="BN41" i="4" s="1"/>
  <c r="BB55" i="4" a="1"/>
  <c r="BB55" i="4" s="1"/>
  <c r="BB48" i="4" a="1"/>
  <c r="BB48" i="4" s="1"/>
  <c r="BN48" i="4" s="1"/>
  <c r="BB34" i="4" a="1"/>
  <c r="BB34" i="4" s="1"/>
  <c r="BN34" i="4" s="1"/>
  <c r="BN16" i="4"/>
  <c r="BM17" i="4"/>
  <c r="AU18" i="4"/>
  <c r="BB18" i="4" a="1"/>
  <c r="BB18" i="4" s="1"/>
  <c r="AS19" i="4"/>
  <c r="AR20" i="4"/>
  <c r="BA20" i="4" a="1"/>
  <c r="BA20" i="4" s="1"/>
  <c r="BM20" i="4" s="1"/>
  <c r="BJ20" i="4"/>
  <c r="AQ21" i="4"/>
  <c r="AP22" i="4"/>
  <c r="AZ22" i="4" a="1"/>
  <c r="AZ22" i="4" s="1"/>
  <c r="BL22" i="4" s="1"/>
  <c r="AO23" i="4"/>
  <c r="AN24" i="4"/>
  <c r="AY24" i="4"/>
  <c r="BK24" i="4" s="1"/>
  <c r="BF24" i="4"/>
  <c r="BR24" i="4" s="1"/>
  <c r="AY25" i="4"/>
  <c r="BK25" i="4" s="1"/>
  <c r="BF25" i="4"/>
  <c r="BR25" i="4"/>
  <c r="AO26" i="4"/>
  <c r="BA26" i="4" a="1"/>
  <c r="BA26" i="4" s="1"/>
  <c r="BM26" i="4" s="1"/>
  <c r="AN27" i="4"/>
  <c r="BB31" i="4" a="1"/>
  <c r="BB31" i="4" s="1"/>
  <c r="AU33" i="4"/>
  <c r="BG33" i="4" s="1"/>
  <c r="BB35" i="4" a="1"/>
  <c r="BB35" i="4" s="1"/>
  <c r="BN35" i="4" s="1"/>
  <c r="BA40" i="4" a="1"/>
  <c r="BA40" i="4" s="1"/>
  <c r="AY43" i="4"/>
  <c r="BK43" i="4" s="1"/>
  <c r="BB46" i="4" a="1"/>
  <c r="BB46" i="4" s="1"/>
  <c r="BN46" i="4" s="1"/>
  <c r="AY54" i="4"/>
  <c r="BK54" i="4" s="1"/>
  <c r="AS31" i="4"/>
  <c r="AR31" i="4"/>
  <c r="AQ31" i="4"/>
  <c r="BH31" i="4"/>
  <c r="AP31" i="4"/>
  <c r="BG31" i="4"/>
  <c r="AO31" i="4"/>
  <c r="AS43" i="4"/>
  <c r="AR43" i="4"/>
  <c r="AQ43" i="4"/>
  <c r="AP43" i="4"/>
  <c r="AO43" i="4"/>
  <c r="AN43" i="4"/>
  <c r="F24" i="3"/>
  <c r="BC50" i="4" a="1"/>
  <c r="BC50" i="4" s="1"/>
  <c r="BO50" i="4" s="1"/>
  <c r="BC56" i="4" a="1"/>
  <c r="BC56" i="4" s="1"/>
  <c r="BO56" i="4" s="1"/>
  <c r="BC45" i="4" a="1"/>
  <c r="BC45" i="4" s="1"/>
  <c r="BO45" i="4" s="1"/>
  <c r="BC54" i="4" a="1"/>
  <c r="BC54" i="4" s="1"/>
  <c r="BO54" i="4" s="1"/>
  <c r="BC42" i="4" a="1"/>
  <c r="BC42" i="4" s="1"/>
  <c r="BO42" i="4" s="1"/>
  <c r="BC52" i="4" a="1"/>
  <c r="BC52" i="4" s="1"/>
  <c r="BO52" i="4" s="1"/>
  <c r="BC40" i="4" a="1"/>
  <c r="BC40" i="4" s="1"/>
  <c r="BO40" i="4" s="1"/>
  <c r="BC27" i="4" a="1"/>
  <c r="BC27" i="4" s="1"/>
  <c r="BO27" i="4" s="1"/>
  <c r="BC26" i="4" a="1"/>
  <c r="BC26" i="4" s="1"/>
  <c r="BO26" i="4" s="1"/>
  <c r="BC44" i="4" a="1"/>
  <c r="BC44" i="4" s="1"/>
  <c r="BO44" i="4" s="1"/>
  <c r="BC38" i="4" a="1"/>
  <c r="BC38" i="4" s="1"/>
  <c r="BO38" i="4" s="1"/>
  <c r="BC36" i="4" a="1"/>
  <c r="BC36" i="4" s="1"/>
  <c r="BO36" i="4" s="1"/>
  <c r="BC53" i="4" a="1"/>
  <c r="BC53" i="4" s="1"/>
  <c r="BO53" i="4" s="1"/>
  <c r="BC43" i="4" a="1"/>
  <c r="BC43" i="4" s="1"/>
  <c r="BO43" i="4" s="1"/>
  <c r="BC48" i="4" a="1"/>
  <c r="BC48" i="4" s="1"/>
  <c r="BO48" i="4" s="1"/>
  <c r="BC47" i="4" a="1"/>
  <c r="BC47" i="4" s="1"/>
  <c r="BO47" i="4" s="1"/>
  <c r="BC41" i="4" a="1"/>
  <c r="BC41" i="4" s="1"/>
  <c r="BO41" i="4" s="1"/>
  <c r="BC34" i="4" a="1"/>
  <c r="BC34" i="4" s="1"/>
  <c r="BO34" i="4" s="1"/>
  <c r="BC55" i="4" a="1"/>
  <c r="BC55" i="4" s="1"/>
  <c r="BC49" i="4" a="1"/>
  <c r="BC49" i="4" s="1"/>
  <c r="BO49" i="4" s="1"/>
  <c r="BC37" i="4" a="1"/>
  <c r="BC37" i="4" s="1"/>
  <c r="BO37" i="4" s="1"/>
  <c r="BC33" i="4" a="1"/>
  <c r="BC33" i="4" s="1"/>
  <c r="BO33" i="4" s="1"/>
  <c r="BC32" i="4" a="1"/>
  <c r="BC32" i="4" s="1"/>
  <c r="BO32" i="4" s="1"/>
  <c r="BO16" i="4"/>
  <c r="BC17" i="4" a="1"/>
  <c r="BC17" i="4" s="1"/>
  <c r="BO17" i="4" s="1"/>
  <c r="BN17" i="4"/>
  <c r="AV18" i="4"/>
  <c r="BH18" i="4" s="1"/>
  <c r="BM18" i="4"/>
  <c r="AU19" i="4"/>
  <c r="BG19" i="4" s="1"/>
  <c r="BB19" i="4" a="1"/>
  <c r="BB19" i="4" s="1"/>
  <c r="BN19" i="4" s="1"/>
  <c r="AS20" i="4"/>
  <c r="AR21" i="4"/>
  <c r="BA21" i="4" a="1"/>
  <c r="BA21" i="4" s="1"/>
  <c r="BM21" i="4" s="1"/>
  <c r="AQ22" i="4"/>
  <c r="AP23" i="4"/>
  <c r="AZ23" i="4" a="1"/>
  <c r="AZ23" i="4" s="1"/>
  <c r="BL23" i="4" s="1"/>
  <c r="AO24" i="4"/>
  <c r="AO25" i="4"/>
  <c r="AP26" i="4"/>
  <c r="AR27" i="4"/>
  <c r="BP29" i="4"/>
  <c r="AU30" i="4"/>
  <c r="BG30" i="4" s="1"/>
  <c r="BA33" i="4" a="1"/>
  <c r="BA33" i="4" s="1"/>
  <c r="BM33" i="4" s="1"/>
  <c r="BB37" i="4" a="1"/>
  <c r="BB37" i="4" s="1"/>
  <c r="BN37" i="4" s="1"/>
  <c r="BC46" i="4" a="1"/>
  <c r="BC46" i="4" s="1"/>
  <c r="BO46" i="4" s="1"/>
  <c r="AP56" i="4"/>
  <c r="AR56" i="4"/>
  <c r="AS56" i="4"/>
  <c r="AQ56" i="4"/>
  <c r="AO56" i="4"/>
  <c r="G24" i="3"/>
  <c r="BD48" i="4" a="1"/>
  <c r="BD48" i="4" s="1"/>
  <c r="BP48" i="4" s="1"/>
  <c r="BD55" i="4" a="1"/>
  <c r="BD55" i="4" s="1"/>
  <c r="BP55" i="4" s="1"/>
  <c r="BD43" i="4" a="1"/>
  <c r="BD43" i="4" s="1"/>
  <c r="BP43" i="4" s="1"/>
  <c r="BD52" i="4" a="1"/>
  <c r="BD52" i="4" s="1"/>
  <c r="BP52" i="4" s="1"/>
  <c r="BD40" i="4" a="1"/>
  <c r="BD40" i="4" s="1"/>
  <c r="BP40" i="4" s="1"/>
  <c r="BD50" i="4" a="1"/>
  <c r="BD50" i="4" s="1"/>
  <c r="BP50" i="4" s="1"/>
  <c r="BD38" i="4" a="1"/>
  <c r="BD38" i="4" s="1"/>
  <c r="BP38" i="4" s="1"/>
  <c r="BD36" i="4" a="1"/>
  <c r="BD36" i="4" s="1"/>
  <c r="BP36" i="4" s="1"/>
  <c r="BD44" i="4" a="1"/>
  <c r="BD44" i="4" s="1"/>
  <c r="BP44" i="4" s="1"/>
  <c r="BD53" i="4" a="1"/>
  <c r="BD53" i="4" s="1"/>
  <c r="BP53" i="4" s="1"/>
  <c r="BD54" i="4" a="1"/>
  <c r="BD54" i="4" s="1"/>
  <c r="BP54" i="4" s="1"/>
  <c r="BD47" i="4" a="1"/>
  <c r="BD47" i="4" s="1"/>
  <c r="BP47" i="4" s="1"/>
  <c r="BD42" i="4" a="1"/>
  <c r="BD42" i="4" s="1"/>
  <c r="BP42" i="4" s="1"/>
  <c r="BD34" i="4" a="1"/>
  <c r="BD34" i="4" s="1"/>
  <c r="BP34" i="4" s="1"/>
  <c r="BD56" i="4" a="1"/>
  <c r="BD56" i="4" s="1"/>
  <c r="BP56" i="4" s="1"/>
  <c r="BD41" i="4" a="1"/>
  <c r="BD41" i="4" s="1"/>
  <c r="BP41" i="4" s="1"/>
  <c r="BD37" i="4" a="1"/>
  <c r="BD37" i="4" s="1"/>
  <c r="BP37" i="4" s="1"/>
  <c r="BD33" i="4" a="1"/>
  <c r="BD33" i="4" s="1"/>
  <c r="BP33" i="4" s="1"/>
  <c r="BD49" i="4" a="1"/>
  <c r="BD49" i="4" s="1"/>
  <c r="BP49" i="4" s="1"/>
  <c r="BD32" i="4" a="1"/>
  <c r="BD32" i="4" s="1"/>
  <c r="BP32" i="4" s="1"/>
  <c r="BD46" i="4" a="1"/>
  <c r="BD46" i="4" s="1"/>
  <c r="BP46" i="4" s="1"/>
  <c r="BD35" i="4" a="1"/>
  <c r="BD35" i="4" s="1"/>
  <c r="BD31" i="4" a="1"/>
  <c r="BD31" i="4" s="1"/>
  <c r="BP31" i="4" s="1"/>
  <c r="BD30" i="4" a="1"/>
  <c r="BD30" i="4" s="1"/>
  <c r="BP30" i="4" s="1"/>
  <c r="BD39" i="4" a="1"/>
  <c r="BD39" i="4" s="1"/>
  <c r="BP39" i="4" s="1"/>
  <c r="AX15" i="4" a="1"/>
  <c r="AX15" i="4" s="1"/>
  <c r="BQ15" i="4"/>
  <c r="BD16" i="4" a="1"/>
  <c r="BD16" i="4" s="1"/>
  <c r="BP16" i="4" s="1"/>
  <c r="AW17" i="4" a="1"/>
  <c r="AW17" i="4" s="1"/>
  <c r="BI17" i="4" s="1"/>
  <c r="BC18" i="4" a="1"/>
  <c r="BC18" i="4" s="1"/>
  <c r="BO18" i="4" s="1"/>
  <c r="BN18" i="4"/>
  <c r="AV19" i="4"/>
  <c r="BH19" i="4" s="1"/>
  <c r="AU20" i="4"/>
  <c r="BG20" i="4" s="1"/>
  <c r="BB20" i="4" a="1"/>
  <c r="BB20" i="4" s="1"/>
  <c r="BL20" i="4"/>
  <c r="AS21" i="4"/>
  <c r="AR22" i="4"/>
  <c r="BA22" i="4" a="1"/>
  <c r="BA22" i="4" s="1"/>
  <c r="BM22" i="4" s="1"/>
  <c r="AQ23" i="4"/>
  <c r="AP24" i="4"/>
  <c r="AZ24" i="4" a="1"/>
  <c r="AZ24" i="4" s="1"/>
  <c r="BL24" i="4" s="1"/>
  <c r="AP25" i="4"/>
  <c r="AZ25" i="4" a="1"/>
  <c r="AZ25" i="4" s="1"/>
  <c r="BL25" i="4" s="1"/>
  <c r="AQ26" i="4"/>
  <c r="AV29" i="4"/>
  <c r="BH29" i="4" s="1"/>
  <c r="AV30" i="4"/>
  <c r="BH30" i="4" s="1"/>
  <c r="BC31" i="4" a="1"/>
  <c r="BC31" i="4" s="1"/>
  <c r="BO31" i="4" s="1"/>
  <c r="BC35" i="4" a="1"/>
  <c r="BC35" i="4" s="1"/>
  <c r="BO35" i="4" s="1"/>
  <c r="BB40" i="4" a="1"/>
  <c r="BB40" i="4" s="1"/>
  <c r="BN40" i="4" s="1"/>
  <c r="BB49" i="4" a="1"/>
  <c r="BB49" i="4" s="1"/>
  <c r="BN49" i="4" s="1"/>
  <c r="AZ54" i="4" a="1"/>
  <c r="AZ54" i="4" s="1"/>
  <c r="BL54" i="4" s="1"/>
  <c r="AR44" i="4"/>
  <c r="AS44" i="4"/>
  <c r="AQ44" i="4"/>
  <c r="AP44" i="4"/>
  <c r="AO44" i="4"/>
  <c r="AN44" i="4"/>
  <c r="H24" i="3"/>
  <c r="BE47" i="4"/>
  <c r="BQ47" i="4" s="1"/>
  <c r="BE54" i="4"/>
  <c r="BQ54" i="4" s="1"/>
  <c r="BE42" i="4"/>
  <c r="BQ42" i="4" s="1"/>
  <c r="BE51" i="4"/>
  <c r="BQ51" i="4" s="1"/>
  <c r="BE39" i="4"/>
  <c r="BQ39" i="4" s="1"/>
  <c r="BE49" i="4"/>
  <c r="BQ49" i="4" s="1"/>
  <c r="BE52" i="4"/>
  <c r="BQ52" i="4" s="1"/>
  <c r="BE44" i="4"/>
  <c r="BQ44" i="4" s="1"/>
  <c r="BE53" i="4"/>
  <c r="BQ53" i="4" s="1"/>
  <c r="BE43" i="4"/>
  <c r="BQ43" i="4" s="1"/>
  <c r="BE34" i="4"/>
  <c r="BQ34" i="4" s="1"/>
  <c r="BE56" i="4" a="1"/>
  <c r="BE56" i="4" s="1"/>
  <c r="BQ56" i="4" s="1"/>
  <c r="BE48" i="4"/>
  <c r="BQ48" i="4" s="1"/>
  <c r="BE41" i="4"/>
  <c r="BQ41" i="4" s="1"/>
  <c r="BE37" i="4"/>
  <c r="BQ37" i="4" s="1"/>
  <c r="BE33" i="4"/>
  <c r="BQ33" i="4" s="1"/>
  <c r="BE55" i="4"/>
  <c r="BQ55" i="4" s="1"/>
  <c r="BE32" i="4"/>
  <c r="BQ32" i="4" s="1"/>
  <c r="BE46" i="4"/>
  <c r="BQ46" i="4" s="1"/>
  <c r="BE40" i="4"/>
  <c r="BE35" i="4"/>
  <c r="BQ35" i="4" s="1"/>
  <c r="BE31" i="4"/>
  <c r="BQ31" i="4" s="1"/>
  <c r="BE30" i="4"/>
  <c r="BQ30" i="4" s="1"/>
  <c r="BE50" i="4"/>
  <c r="BQ50" i="4" s="1"/>
  <c r="BE29" i="4"/>
  <c r="BQ29" i="4" s="1"/>
  <c r="AN15" i="4"/>
  <c r="AY15" i="4"/>
  <c r="BR15" i="4"/>
  <c r="AX16" i="4" a="1"/>
  <c r="AX16" i="4" s="1"/>
  <c r="BJ16" i="4" s="1"/>
  <c r="BE16" i="4"/>
  <c r="BD17" i="4" a="1"/>
  <c r="BD17" i="4" s="1"/>
  <c r="BP17" i="4" s="1"/>
  <c r="AW18" i="4" a="1"/>
  <c r="AW18" i="4" s="1"/>
  <c r="BI18" i="4" s="1"/>
  <c r="BC19" i="4" a="1"/>
  <c r="BC19" i="4" s="1"/>
  <c r="BO19" i="4" s="1"/>
  <c r="AV20" i="4"/>
  <c r="BH20" i="4" s="1"/>
  <c r="AU21" i="4"/>
  <c r="BG21" i="4" s="1"/>
  <c r="BB21" i="4" a="1"/>
  <c r="BB21" i="4" s="1"/>
  <c r="AS22" i="4"/>
  <c r="BK22" i="4"/>
  <c r="AR23" i="4"/>
  <c r="BA23" i="4" a="1"/>
  <c r="BA23" i="4" s="1"/>
  <c r="BM23" i="4" s="1"/>
  <c r="AQ24" i="4"/>
  <c r="BI24" i="4"/>
  <c r="AQ25" i="4"/>
  <c r="BI25" i="4"/>
  <c r="BD26" i="4" a="1"/>
  <c r="BD26" i="4" s="1"/>
  <c r="BP26" i="4" s="1"/>
  <c r="AW27" i="4" a="1"/>
  <c r="AW27" i="4" s="1"/>
  <c r="BI27" i="4" s="1"/>
  <c r="AW28" i="4" a="1"/>
  <c r="AW28" i="4" s="1"/>
  <c r="BI28" i="4" s="1"/>
  <c r="BB33" i="4" a="1"/>
  <c r="BB33" i="4" s="1"/>
  <c r="BN33" i="4" s="1"/>
  <c r="AQ34" i="4"/>
  <c r="BM40" i="4"/>
  <c r="AO41" i="4"/>
  <c r="AY47" i="4"/>
  <c r="BK47" i="4" s="1"/>
  <c r="BL28" i="4"/>
  <c r="AS28" i="4"/>
  <c r="AR28" i="4"/>
  <c r="AQ28" i="4"/>
  <c r="AP28" i="4"/>
  <c r="AO28" i="4"/>
  <c r="AN28" i="4"/>
  <c r="BN26" i="4"/>
  <c r="BL26" i="4"/>
  <c r="AR32" i="4"/>
  <c r="AQ32" i="4"/>
  <c r="AP32" i="4"/>
  <c r="AO32" i="4"/>
  <c r="AN32" i="4"/>
  <c r="AQ38" i="4"/>
  <c r="AS38" i="4"/>
  <c r="AR38" i="4"/>
  <c r="AP38" i="4"/>
  <c r="AO38" i="4"/>
  <c r="BK38" i="4"/>
  <c r="AQ50" i="4"/>
  <c r="AN50" i="4"/>
  <c r="BL50" i="4"/>
  <c r="BK50" i="4"/>
  <c r="AS50" i="4"/>
  <c r="AR50" i="4"/>
  <c r="BN27" i="4"/>
  <c r="AS27" i="4"/>
  <c r="AQ27" i="4"/>
  <c r="AP27" i="4"/>
  <c r="AO27" i="4"/>
  <c r="AQ33" i="4"/>
  <c r="AP33" i="4"/>
  <c r="AO33" i="4"/>
  <c r="AN33" i="4"/>
  <c r="AP39" i="4"/>
  <c r="AO39" i="4"/>
  <c r="BM39" i="4"/>
  <c r="AN39" i="4"/>
  <c r="BK39" i="4"/>
  <c r="BK45" i="4"/>
  <c r="AS45" i="4"/>
  <c r="AQ45" i="4"/>
  <c r="BQ45" i="4"/>
  <c r="AP45" i="4"/>
  <c r="BP45" i="4"/>
  <c r="AO45" i="4"/>
  <c r="AN45" i="4"/>
  <c r="BM45" i="4"/>
  <c r="AP51" i="4"/>
  <c r="AO51" i="4"/>
  <c r="BR51" i="4"/>
  <c r="AN51" i="4"/>
  <c r="BK51" i="4"/>
  <c r="BF53" i="4"/>
  <c r="BR53" i="4" s="1"/>
  <c r="BF41" i="4"/>
  <c r="BR41" i="4" s="1"/>
  <c r="BF50" i="4"/>
  <c r="BR50" i="4" s="1"/>
  <c r="BF38" i="4"/>
  <c r="BR38" i="4" s="1"/>
  <c r="BF37" i="4"/>
  <c r="BR37" i="4" s="1"/>
  <c r="BF48" i="4"/>
  <c r="BR48" i="4" s="1"/>
  <c r="BF43" i="4"/>
  <c r="BR43" i="4" s="1"/>
  <c r="BF34" i="4"/>
  <c r="BR34" i="4" s="1"/>
  <c r="BF56" i="4" a="1"/>
  <c r="BF56" i="4" s="1"/>
  <c r="BR56" i="4" s="1"/>
  <c r="BF54" i="4"/>
  <c r="BR54" i="4" s="1"/>
  <c r="BF47" i="4"/>
  <c r="BR47" i="4" s="1"/>
  <c r="BF42" i="4"/>
  <c r="BR42" i="4" s="1"/>
  <c r="BF33" i="4"/>
  <c r="BR33" i="4" s="1"/>
  <c r="BF55" i="4"/>
  <c r="BR55" i="4" s="1"/>
  <c r="BF32" i="4"/>
  <c r="BR32" i="4" s="1"/>
  <c r="BF49" i="4"/>
  <c r="BR49" i="4" s="1"/>
  <c r="BF46" i="4"/>
  <c r="BR46" i="4" s="1"/>
  <c r="BF40" i="4"/>
  <c r="BR40" i="4" s="1"/>
  <c r="BF35" i="4"/>
  <c r="BR35" i="4" s="1"/>
  <c r="BF31" i="4"/>
  <c r="BR31" i="4" s="1"/>
  <c r="BF30" i="4"/>
  <c r="BR30" i="4" s="1"/>
  <c r="BF29" i="4"/>
  <c r="BF39" i="4"/>
  <c r="BR39" i="4" s="1"/>
  <c r="BF28" i="4"/>
  <c r="BR28" i="4" s="1"/>
  <c r="BF45" i="4"/>
  <c r="BR45" i="4" s="1"/>
  <c r="AO15" i="4"/>
  <c r="AN16" i="4"/>
  <c r="AY16" i="4"/>
  <c r="BK16" i="4" s="1"/>
  <c r="BF16" i="4"/>
  <c r="BR16" i="4" s="1"/>
  <c r="AX17" i="4" a="1"/>
  <c r="AX17" i="4" s="1"/>
  <c r="BJ17" i="4" s="1"/>
  <c r="BE17" i="4"/>
  <c r="BQ17" i="4" s="1"/>
  <c r="BD18" i="4" a="1"/>
  <c r="BD18" i="4" s="1"/>
  <c r="BP18" i="4" s="1"/>
  <c r="AW19" i="4" a="1"/>
  <c r="AW19" i="4" s="1"/>
  <c r="BI19" i="4" s="1"/>
  <c r="BC20" i="4" a="1"/>
  <c r="BC20" i="4" s="1"/>
  <c r="BO20" i="4" s="1"/>
  <c r="BN20" i="4"/>
  <c r="AV21" i="4"/>
  <c r="BH21" i="4" s="1"/>
  <c r="BB22" i="4" a="1"/>
  <c r="BB22" i="4" s="1"/>
  <c r="BN22" i="4" s="1"/>
  <c r="AS23" i="4"/>
  <c r="AR24" i="4"/>
  <c r="BA24" i="4" a="1"/>
  <c r="BA24" i="4" s="1"/>
  <c r="BM24" i="4" s="1"/>
  <c r="BJ24" i="4"/>
  <c r="AR25" i="4"/>
  <c r="BA25" i="4" a="1"/>
  <c r="BA25" i="4" s="1"/>
  <c r="BM25" i="4" s="1"/>
  <c r="BJ25" i="4"/>
  <c r="AS26" i="4"/>
  <c r="BE26" i="4"/>
  <c r="BQ26" i="4" s="1"/>
  <c r="AW29" i="4" a="1"/>
  <c r="AW29" i="4" s="1"/>
  <c r="BI29" i="4" s="1"/>
  <c r="AW30" i="4" a="1"/>
  <c r="AW30" i="4" s="1"/>
  <c r="BI30" i="4" s="1"/>
  <c r="AS32" i="4"/>
  <c r="AR34" i="4"/>
  <c r="AW38" i="4" a="1"/>
  <c r="AW38" i="4" s="1"/>
  <c r="BI38" i="4" s="1"/>
  <c r="AZ41" i="4" a="1"/>
  <c r="AZ41" i="4" s="1"/>
  <c r="BL41" i="4" s="1"/>
  <c r="AX44" i="4" a="1"/>
  <c r="AX44" i="4" s="1"/>
  <c r="BJ44" i="4" s="1"/>
  <c r="AZ47" i="4" a="1"/>
  <c r="AZ47" i="4" s="1"/>
  <c r="BL47" i="4" s="1"/>
  <c r="AP50" i="4"/>
  <c r="AQ51" i="4"/>
  <c r="BM54" i="4"/>
  <c r="AZ55" i="4" a="1"/>
  <c r="AZ55" i="4" s="1"/>
  <c r="BL55" i="4" s="1"/>
  <c r="AU52" i="4"/>
  <c r="BG52" i="4" s="1"/>
  <c r="AU47" i="4"/>
  <c r="BG47" i="4" s="1"/>
  <c r="AU44" i="4"/>
  <c r="BG44" i="4" s="1"/>
  <c r="AU54" i="4"/>
  <c r="BG54" i="4" s="1"/>
  <c r="AU42" i="4"/>
  <c r="BG42" i="4" s="1"/>
  <c r="AU53" i="4"/>
  <c r="BG53" i="4" s="1"/>
  <c r="AU29" i="4"/>
  <c r="BG29" i="4" s="1"/>
  <c r="AU28" i="4"/>
  <c r="BG28" i="4" s="1"/>
  <c r="AU43" i="4"/>
  <c r="BG43" i="4" s="1"/>
  <c r="AU38" i="4"/>
  <c r="BG38" i="4" s="1"/>
  <c r="AU36" i="4"/>
  <c r="BG36" i="4" s="1"/>
  <c r="AU27" i="4"/>
  <c r="BG27" i="4" s="1"/>
  <c r="AU26" i="4"/>
  <c r="BG26" i="4" s="1"/>
  <c r="AU55" i="4"/>
  <c r="BG55" i="4" s="1"/>
  <c r="AU48" i="4"/>
  <c r="BG48" i="4" s="1"/>
  <c r="AU41" i="4"/>
  <c r="BG41" i="4" s="1"/>
  <c r="AU56" i="4" a="1"/>
  <c r="AU56" i="4" s="1"/>
  <c r="BG56" i="4" s="1"/>
  <c r="AU49" i="4"/>
  <c r="BG49" i="4" s="1"/>
  <c r="AU50" i="4"/>
  <c r="BG50" i="4" s="1"/>
  <c r="AU40" i="4"/>
  <c r="BG40" i="4" s="1"/>
  <c r="AU46" i="4"/>
  <c r="BG46" i="4" s="1"/>
  <c r="AU37" i="4"/>
  <c r="BG37" i="4" s="1"/>
  <c r="AU51" i="4"/>
  <c r="BG51" i="4" s="1"/>
  <c r="AU39" i="4"/>
  <c r="BG39" i="4" s="1"/>
  <c r="AU34" i="4"/>
  <c r="BG34" i="4" s="1"/>
  <c r="AP15" i="4"/>
  <c r="AZ15" i="4" a="1"/>
  <c r="AZ15" i="4" s="1"/>
  <c r="AO16" i="4"/>
  <c r="BG16" i="4"/>
  <c r="AN17" i="4"/>
  <c r="AY17" i="4"/>
  <c r="BK17" i="4" s="1"/>
  <c r="BF17" i="4"/>
  <c r="BR17" i="4" s="1"/>
  <c r="AX18" i="4" a="1"/>
  <c r="AX18" i="4" s="1"/>
  <c r="BJ18" i="4" s="1"/>
  <c r="BE18" i="4"/>
  <c r="BQ18" i="4" s="1"/>
  <c r="BD19" i="4" a="1"/>
  <c r="BD19" i="4" s="1"/>
  <c r="BP19" i="4" s="1"/>
  <c r="AW20" i="4" a="1"/>
  <c r="AW20" i="4" s="1"/>
  <c r="BI20" i="4" s="1"/>
  <c r="BC21" i="4" a="1"/>
  <c r="BC21" i="4" s="1"/>
  <c r="BO21" i="4" s="1"/>
  <c r="BN21" i="4"/>
  <c r="AV22" i="4"/>
  <c r="BH22" i="4" s="1"/>
  <c r="AU23" i="4"/>
  <c r="BG23" i="4" s="1"/>
  <c r="BB23" i="4" a="1"/>
  <c r="BB23" i="4" s="1"/>
  <c r="BN23" i="4" s="1"/>
  <c r="AS24" i="4"/>
  <c r="AS25" i="4"/>
  <c r="BF26" i="4"/>
  <c r="BR26" i="4" s="1"/>
  <c r="AX27" i="4" a="1"/>
  <c r="AX27" i="4" s="1"/>
  <c r="BJ27" i="4" s="1"/>
  <c r="AX28" i="4" a="1"/>
  <c r="AX28" i="4" s="1"/>
  <c r="BJ28" i="4" s="1"/>
  <c r="BB30" i="4" a="1"/>
  <c r="BB30" i="4" s="1"/>
  <c r="BN30" i="4" s="1"/>
  <c r="BN31" i="4"/>
  <c r="AU32" i="4"/>
  <c r="BG32" i="4" s="1"/>
  <c r="BK33" i="4"/>
  <c r="BP35" i="4"/>
  <c r="BQ40" i="4"/>
  <c r="BF44" i="4"/>
  <c r="BR44" i="4" s="1"/>
  <c r="AR45" i="4"/>
  <c r="BA47" i="4" a="1"/>
  <c r="BA47" i="4" s="1"/>
  <c r="BM47" i="4" s="1"/>
  <c r="AR51" i="4"/>
  <c r="BA55" i="4" a="1"/>
  <c r="BA55" i="4" s="1"/>
  <c r="BM55" i="4" s="1"/>
  <c r="AV51" i="4"/>
  <c r="BH51" i="4" s="1"/>
  <c r="AV56" i="4" a="1"/>
  <c r="AV56" i="4" s="1"/>
  <c r="BH56" i="4" s="1"/>
  <c r="AV46" i="4"/>
  <c r="BH46" i="4" s="1"/>
  <c r="AV55" i="4"/>
  <c r="BH55" i="4" s="1"/>
  <c r="AV43" i="4"/>
  <c r="BH43" i="4" s="1"/>
  <c r="AV53" i="4"/>
  <c r="BH53" i="4" s="1"/>
  <c r="AV41" i="4"/>
  <c r="BH41" i="4" s="1"/>
  <c r="AV44" i="4"/>
  <c r="BH44" i="4" s="1"/>
  <c r="AV28" i="4"/>
  <c r="BH28" i="4" s="1"/>
  <c r="AV38" i="4"/>
  <c r="BH38" i="4" s="1"/>
  <c r="AV36" i="4"/>
  <c r="BH36" i="4" s="1"/>
  <c r="AV27" i="4"/>
  <c r="BH27" i="4" s="1"/>
  <c r="AV54" i="4"/>
  <c r="BH54" i="4" s="1"/>
  <c r="AV48" i="4"/>
  <c r="BH48" i="4" s="1"/>
  <c r="AV42" i="4"/>
  <c r="BH42" i="4" s="1"/>
  <c r="AV49" i="4"/>
  <c r="BH49" i="4" s="1"/>
  <c r="AV47" i="4"/>
  <c r="BH47" i="4" s="1"/>
  <c r="AV50" i="4"/>
  <c r="BH50" i="4" s="1"/>
  <c r="AV40" i="4"/>
  <c r="BH40" i="4" s="1"/>
  <c r="AV37" i="4"/>
  <c r="BH37" i="4" s="1"/>
  <c r="AV39" i="4"/>
  <c r="BH39" i="4" s="1"/>
  <c r="AV34" i="4"/>
  <c r="BH34" i="4" s="1"/>
  <c r="AV35" i="4"/>
  <c r="BH35" i="4" s="1"/>
  <c r="AV33" i="4"/>
  <c r="BH33" i="4" s="1"/>
  <c r="AQ15" i="4"/>
  <c r="AP16" i="4"/>
  <c r="AZ16" i="4" a="1"/>
  <c r="AZ16" i="4" s="1"/>
  <c r="BL16" i="4" s="1"/>
  <c r="BH16" i="4"/>
  <c r="AO17" i="4"/>
  <c r="BG17" i="4"/>
  <c r="AN18" i="4"/>
  <c r="AY18" i="4"/>
  <c r="BK18" i="4" s="1"/>
  <c r="BF18" i="4"/>
  <c r="BR18" i="4" s="1"/>
  <c r="AX19" i="4" a="1"/>
  <c r="AX19" i="4" s="1"/>
  <c r="BJ19" i="4" s="1"/>
  <c r="BE19" i="4"/>
  <c r="BQ19" i="4" s="1"/>
  <c r="BD20" i="4" a="1"/>
  <c r="BD20" i="4" s="1"/>
  <c r="BP20" i="4" s="1"/>
  <c r="AW21" i="4" a="1"/>
  <c r="AW21" i="4" s="1"/>
  <c r="BI21" i="4" s="1"/>
  <c r="BC22" i="4" a="1"/>
  <c r="BC22" i="4" s="1"/>
  <c r="BO22" i="4" s="1"/>
  <c r="AV23" i="4"/>
  <c r="BH23" i="4" s="1"/>
  <c r="AU24" i="4"/>
  <c r="BG24" i="4" s="1"/>
  <c r="BB24" i="4" a="1"/>
  <c r="BB24" i="4" s="1"/>
  <c r="AU25" i="4"/>
  <c r="BG25" i="4" s="1"/>
  <c r="BB25" i="4" a="1"/>
  <c r="BB25" i="4" s="1"/>
  <c r="BN25" i="4" s="1"/>
  <c r="AW26" i="4" a="1"/>
  <c r="AW26" i="4" s="1"/>
  <c r="BI26" i="4" s="1"/>
  <c r="AY27" i="4"/>
  <c r="BK27" i="4" s="1"/>
  <c r="BC28" i="4" a="1"/>
  <c r="BC28" i="4" s="1"/>
  <c r="BO28" i="4" s="1"/>
  <c r="AV32" i="4"/>
  <c r="BH32" i="4" s="1"/>
  <c r="AX38" i="4" a="1"/>
  <c r="AX38" i="4" s="1"/>
  <c r="BJ38" i="4" s="1"/>
  <c r="AQ39" i="4"/>
  <c r="BA41" i="4" a="1"/>
  <c r="BA41" i="4" s="1"/>
  <c r="BM41" i="4" s="1"/>
  <c r="AN42" i="4"/>
  <c r="AU45" i="4"/>
  <c r="BG45" i="4" s="1"/>
  <c r="BB50" i="4" a="1"/>
  <c r="BB50" i="4" s="1"/>
  <c r="BN50" i="4" s="1"/>
  <c r="AS51" i="4"/>
  <c r="BN55" i="4"/>
  <c r="AN56" i="4"/>
  <c r="AP34" i="4"/>
  <c r="AO34" i="4"/>
  <c r="AN34" i="4"/>
  <c r="AO52" i="4"/>
  <c r="BN52" i="4"/>
  <c r="AR52" i="4"/>
  <c r="AQ52" i="4"/>
  <c r="AP52" i="4"/>
  <c r="AN52" i="4"/>
  <c r="BK52" i="4"/>
  <c r="K24" i="3"/>
  <c r="AW49" i="4" a="1"/>
  <c r="AW49" i="4" s="1"/>
  <c r="BI49" i="4" s="1"/>
  <c r="AW44" i="4" a="1"/>
  <c r="AW44" i="4" s="1"/>
  <c r="BI44" i="4" s="1"/>
  <c r="AW53" i="4" a="1"/>
  <c r="AW53" i="4" s="1"/>
  <c r="BI53" i="4" s="1"/>
  <c r="AW41" i="4" a="1"/>
  <c r="AW41" i="4" s="1"/>
  <c r="BI41" i="4" s="1"/>
  <c r="AW51" i="4" a="1"/>
  <c r="AW51" i="4" s="1"/>
  <c r="BI51" i="4" s="1"/>
  <c r="AW39" i="4" a="1"/>
  <c r="AW39" i="4" s="1"/>
  <c r="BI39" i="4" s="1"/>
  <c r="AW43" i="4" a="1"/>
  <c r="AW43" i="4" s="1"/>
  <c r="BI43" i="4" s="1"/>
  <c r="AW54" i="4" a="1"/>
  <c r="AW54" i="4" s="1"/>
  <c r="BI54" i="4" s="1"/>
  <c r="AW48" i="4" a="1"/>
  <c r="AW48" i="4" s="1"/>
  <c r="BI48" i="4" s="1"/>
  <c r="AW56" i="4" a="1"/>
  <c r="AW56" i="4" s="1"/>
  <c r="BI56" i="4" s="1"/>
  <c r="AW55" i="4" a="1"/>
  <c r="AW55" i="4" s="1"/>
  <c r="BI55" i="4" s="1"/>
  <c r="AW47" i="4" a="1"/>
  <c r="AW47" i="4" s="1"/>
  <c r="BI47" i="4" s="1"/>
  <c r="AW42" i="4" a="1"/>
  <c r="AW42" i="4" s="1"/>
  <c r="BI42" i="4" s="1"/>
  <c r="AW50" i="4" a="1"/>
  <c r="AW50" i="4" s="1"/>
  <c r="BI50" i="4" s="1"/>
  <c r="AW40" i="4" a="1"/>
  <c r="AW40" i="4" s="1"/>
  <c r="BI40" i="4" s="1"/>
  <c r="AW37" i="4" a="1"/>
  <c r="AW37" i="4" s="1"/>
  <c r="BI37" i="4" s="1"/>
  <c r="AW46" i="4" a="1"/>
  <c r="AW46" i="4" s="1"/>
  <c r="BI46" i="4" s="1"/>
  <c r="AW34" i="4" a="1"/>
  <c r="AW34" i="4" s="1"/>
  <c r="BI34" i="4" s="1"/>
  <c r="AW35" i="4" a="1"/>
  <c r="AW35" i="4" s="1"/>
  <c r="BI35" i="4" s="1"/>
  <c r="AW33" i="4" a="1"/>
  <c r="AW33" i="4" s="1"/>
  <c r="BI33" i="4" s="1"/>
  <c r="AW32" i="4" a="1"/>
  <c r="AW32" i="4" s="1"/>
  <c r="BI32" i="4" s="1"/>
  <c r="AW45" i="4" a="1"/>
  <c r="AW45" i="4" s="1"/>
  <c r="BI45" i="4" s="1"/>
  <c r="AW31" i="4" a="1"/>
  <c r="AW31" i="4" s="1"/>
  <c r="BI31" i="4" s="1"/>
  <c r="AR15" i="4"/>
  <c r="BA15" i="4" a="1"/>
  <c r="BA15" i="4" s="1"/>
  <c r="AQ16" i="4"/>
  <c r="BI16" i="4"/>
  <c r="AP17" i="4"/>
  <c r="AZ17" i="4" a="1"/>
  <c r="AZ17" i="4" s="1"/>
  <c r="BL17" i="4" s="1"/>
  <c r="BH17" i="4"/>
  <c r="AO18" i="4"/>
  <c r="BG18" i="4"/>
  <c r="AN19" i="4"/>
  <c r="AY19" i="4"/>
  <c r="BK19" i="4" s="1"/>
  <c r="BF19" i="4"/>
  <c r="BR19" i="4" s="1"/>
  <c r="BE20" i="4"/>
  <c r="BQ20" i="4" s="1"/>
  <c r="BD21" i="4" a="1"/>
  <c r="BD21" i="4" s="1"/>
  <c r="BP21" i="4" s="1"/>
  <c r="AW22" i="4" a="1"/>
  <c r="AW22" i="4" s="1"/>
  <c r="BI22" i="4" s="1"/>
  <c r="BC23" i="4" a="1"/>
  <c r="BC23" i="4" s="1"/>
  <c r="BO23" i="4" s="1"/>
  <c r="AV24" i="4"/>
  <c r="BH24" i="4" s="1"/>
  <c r="AV25" i="4"/>
  <c r="BH25" i="4" s="1"/>
  <c r="BH26" i="4"/>
  <c r="BC29" i="4" a="1"/>
  <c r="BC29" i="4" s="1"/>
  <c r="BO29" i="4" s="1"/>
  <c r="BC30" i="4" a="1"/>
  <c r="BC30" i="4" s="1"/>
  <c r="BO30" i="4" s="1"/>
  <c r="BA34" i="4" a="1"/>
  <c r="BA34" i="4" s="1"/>
  <c r="BM34" i="4" s="1"/>
  <c r="BE38" i="4"/>
  <c r="BQ38" i="4" s="1"/>
  <c r="AR39" i="4"/>
  <c r="BK41" i="4"/>
  <c r="AV45" i="4"/>
  <c r="BH45" i="4" s="1"/>
  <c r="BC51" i="4" a="1"/>
  <c r="BC51" i="4" s="1"/>
  <c r="BO51" i="4" s="1"/>
  <c r="AV52" i="4"/>
  <c r="BH52" i="4" s="1"/>
  <c r="BO55" i="4"/>
  <c r="AY56" i="4" a="1"/>
  <c r="AY56" i="4" s="1"/>
  <c r="BK56" i="4" s="1"/>
  <c r="AX54" i="4" a="1"/>
  <c r="AX54" i="4" s="1"/>
  <c r="BJ54" i="4" s="1"/>
  <c r="AX42" i="4" a="1"/>
  <c r="AX42" i="4" s="1"/>
  <c r="BJ42" i="4" s="1"/>
  <c r="AX51" i="4" a="1"/>
  <c r="AX51" i="4" s="1"/>
  <c r="BJ51" i="4" s="1"/>
  <c r="AX39" i="4" a="1"/>
  <c r="AX39" i="4" s="1"/>
  <c r="BJ39" i="4" s="1"/>
  <c r="AX49" i="4" a="1"/>
  <c r="AX49" i="4" s="1"/>
  <c r="BJ49" i="4" s="1"/>
  <c r="AX56" i="4" a="1"/>
  <c r="AX56" i="4" s="1"/>
  <c r="BJ56" i="4" s="1"/>
  <c r="AX48" i="4" a="1"/>
  <c r="AX48" i="4" s="1"/>
  <c r="BJ48" i="4" s="1"/>
  <c r="AX47" i="4" a="1"/>
  <c r="AX47" i="4" s="1"/>
  <c r="BJ47" i="4" s="1"/>
  <c r="AX55" i="4" a="1"/>
  <c r="AX55" i="4" s="1"/>
  <c r="BJ55" i="4" s="1"/>
  <c r="AX41" i="4" a="1"/>
  <c r="AX41" i="4" s="1"/>
  <c r="BJ41" i="4" s="1"/>
  <c r="AX37" i="4" a="1"/>
  <c r="AX37" i="4" s="1"/>
  <c r="BJ37" i="4" s="1"/>
  <c r="AX50" i="4" a="1"/>
  <c r="AX50" i="4" s="1"/>
  <c r="BJ50" i="4" s="1"/>
  <c r="AX46" i="4" a="1"/>
  <c r="AX46" i="4" s="1"/>
  <c r="BJ46" i="4" s="1"/>
  <c r="AX40" i="4" a="1"/>
  <c r="AX40" i="4" s="1"/>
  <c r="BJ40" i="4" s="1"/>
  <c r="AX34" i="4" a="1"/>
  <c r="AX34" i="4" s="1"/>
  <c r="BJ34" i="4" s="1"/>
  <c r="AX35" i="4" a="1"/>
  <c r="AX35" i="4" s="1"/>
  <c r="BJ35" i="4" s="1"/>
  <c r="AX33" i="4" a="1"/>
  <c r="AX33" i="4" s="1"/>
  <c r="BJ33" i="4" s="1"/>
  <c r="AX32" i="4" a="1"/>
  <c r="AX32" i="4" s="1"/>
  <c r="BJ32" i="4" s="1"/>
  <c r="AX45" i="4" a="1"/>
  <c r="AX45" i="4" s="1"/>
  <c r="BJ45" i="4" s="1"/>
  <c r="AX31" i="4" a="1"/>
  <c r="AX31" i="4" s="1"/>
  <c r="BJ31" i="4" s="1"/>
  <c r="AX30" i="4" a="1"/>
  <c r="AX30" i="4" s="1"/>
  <c r="BJ30" i="4" s="1"/>
  <c r="AX29" i="4" a="1"/>
  <c r="AX29" i="4" s="1"/>
  <c r="BJ29" i="4" s="1"/>
  <c r="AX52" i="4" a="1"/>
  <c r="AX52" i="4" s="1"/>
  <c r="BJ52" i="4" s="1"/>
  <c r="AS15" i="4"/>
  <c r="AR16" i="4"/>
  <c r="BA16" i="4" a="1"/>
  <c r="BA16" i="4" s="1"/>
  <c r="BM16" i="4" s="1"/>
  <c r="AQ17" i="4"/>
  <c r="AP18" i="4"/>
  <c r="AZ18" i="4" a="1"/>
  <c r="AZ18" i="4" s="1"/>
  <c r="BL18" i="4" s="1"/>
  <c r="AO19" i="4"/>
  <c r="AN20" i="4"/>
  <c r="AY20" i="4"/>
  <c r="BK20" i="4" s="1"/>
  <c r="BF20" i="4"/>
  <c r="BR20" i="4" s="1"/>
  <c r="AX21" i="4" a="1"/>
  <c r="AX21" i="4" s="1"/>
  <c r="BJ21" i="4" s="1"/>
  <c r="BE21" i="4"/>
  <c r="BQ21" i="4" s="1"/>
  <c r="BD22" i="4" a="1"/>
  <c r="BD22" i="4" s="1"/>
  <c r="BP22" i="4" s="1"/>
  <c r="AW23" i="4" a="1"/>
  <c r="AW23" i="4" s="1"/>
  <c r="BI23" i="4" s="1"/>
  <c r="BC24" i="4" a="1"/>
  <c r="BC24" i="4" s="1"/>
  <c r="BO24" i="4" s="1"/>
  <c r="BC25" i="4" a="1"/>
  <c r="BC25" i="4" s="1"/>
  <c r="BO25" i="4" s="1"/>
  <c r="AX26" i="4" a="1"/>
  <c r="AX26" i="4" s="1"/>
  <c r="BJ26" i="4" s="1"/>
  <c r="BD27" i="4" a="1"/>
  <c r="BD27" i="4" s="1"/>
  <c r="BP27" i="4" s="1"/>
  <c r="BD28" i="4" a="1"/>
  <c r="BD28" i="4" s="1"/>
  <c r="BP28" i="4" s="1"/>
  <c r="BL30" i="4"/>
  <c r="BB32" i="4" a="1"/>
  <c r="BB32" i="4" s="1"/>
  <c r="BN32" i="4" s="1"/>
  <c r="AX36" i="4" a="1"/>
  <c r="AX36" i="4" s="1"/>
  <c r="BJ36" i="4" s="1"/>
  <c r="AO37" i="4"/>
  <c r="AS39" i="4"/>
  <c r="AZ42" i="4" a="1"/>
  <c r="AZ42" i="4" s="1"/>
  <c r="BL42" i="4" s="1"/>
  <c r="AN46" i="4"/>
  <c r="BD51" i="4" a="1"/>
  <c r="BD51" i="4" s="1"/>
  <c r="BP51" i="4" s="1"/>
  <c r="AW52" i="4" a="1"/>
  <c r="AW52" i="4" s="1"/>
  <c r="BI52" i="4" s="1"/>
  <c r="AZ56" i="4" a="1"/>
  <c r="AZ56" i="4" s="1"/>
  <c r="BL56" i="4" s="1"/>
  <c r="BF67" i="4" l="1"/>
  <c r="BE67" i="4"/>
  <c r="AW67" i="4"/>
  <c r="AX67" i="4"/>
  <c r="BD67" i="4"/>
  <c r="BQ16" i="4"/>
  <c r="BB67" i="4"/>
  <c r="AV67" i="4"/>
  <c r="BH15" i="4"/>
  <c r="BG15" i="4"/>
  <c r="AU67" i="4"/>
  <c r="BO15" i="4"/>
  <c r="BO67" i="4" s="1"/>
  <c r="BC67" i="4"/>
  <c r="BJ15" i="4"/>
  <c r="BJ67" i="4" s="1"/>
  <c r="BI15" i="4"/>
  <c r="BP15" i="4"/>
  <c r="BP67" i="4" s="1"/>
  <c r="BL15" i="4"/>
  <c r="AZ67" i="4"/>
  <c r="BN15" i="4"/>
  <c r="BM15" i="4"/>
  <c r="BM67" i="4" s="1"/>
  <c r="BA67" i="4"/>
  <c r="BK15" i="4"/>
  <c r="AY67" i="4"/>
  <c r="BR29" i="4"/>
  <c r="BR67" i="4" s="1"/>
  <c r="BN24" i="4"/>
  <c r="J24" i="3"/>
  <c r="I24" i="3"/>
  <c r="D24" i="3"/>
  <c r="BL31" i="4"/>
  <c r="BL67" i="4" s="1"/>
  <c r="BK29" i="4"/>
  <c r="AN29" i="4"/>
  <c r="BG67" i="4"/>
  <c r="B24" i="3"/>
  <c r="H25" i="3"/>
  <c r="M24" i="3"/>
  <c r="G31" i="3"/>
  <c r="BI67" i="4"/>
  <c r="BQ67" i="4"/>
  <c r="BH67" i="4"/>
  <c r="BK67" i="4" l="1"/>
  <c r="BN67" i="4"/>
  <c r="M25" i="3"/>
  <c r="E25" i="3"/>
  <c r="N24" i="3"/>
  <c r="B25" i="3"/>
  <c r="D4" i="5"/>
  <c r="O52" i="3"/>
  <c r="O3" i="3"/>
  <c r="G30" i="3"/>
  <c r="G33" i="3"/>
  <c r="L25" i="3"/>
  <c r="D25" i="3"/>
  <c r="I25" i="3"/>
  <c r="J25" i="3"/>
  <c r="G25" i="3"/>
  <c r="C25" i="3"/>
  <c r="F25" i="3"/>
  <c r="K25" i="3"/>
  <c r="N25" i="3" l="1"/>
  <c r="H32" i="3"/>
  <c r="H30" i="3"/>
  <c r="H31" i="3"/>
  <c r="H33" i="3"/>
  <c r="AI67" i="4"/>
  <c r="I60" i="3"/>
  <c r="AB67" i="4"/>
  <c r="AE67" i="4"/>
  <c r="AD67" i="4"/>
  <c r="AC67" i="4"/>
  <c r="AK67" i="4"/>
  <c r="K60" i="3"/>
  <c r="D9" i="5"/>
  <c r="AP67" i="4"/>
  <c r="J59" i="3"/>
  <c r="D11" i="5"/>
  <c r="AR67" i="4"/>
  <c r="L59" i="3"/>
  <c r="AM67" i="4"/>
  <c r="M60" i="3"/>
  <c r="AF67" i="4"/>
  <c r="AG67" i="4"/>
  <c r="D8" i="5"/>
  <c r="AO67" i="4"/>
  <c r="I59" i="3"/>
  <c r="L60" i="3"/>
  <c r="AL67" i="4"/>
  <c r="D12" i="5"/>
  <c r="AS67" i="4"/>
  <c r="M59" i="3"/>
  <c r="H60" i="3"/>
  <c r="AH67" i="4"/>
  <c r="D7" i="5"/>
  <c r="AN67" i="4"/>
  <c r="H59" i="3"/>
  <c r="AJ67" i="4"/>
  <c r="J60" i="3"/>
  <c r="K59" i="3"/>
  <c r="AQ67" i="4"/>
  <c r="D10" i="5"/>
</calcChain>
</file>

<file path=xl/sharedStrings.xml><?xml version="1.0" encoding="utf-8"?>
<sst xmlns="http://schemas.openxmlformats.org/spreadsheetml/2006/main" count="313" uniqueCount="164">
  <si>
    <t>Course Code</t>
  </si>
  <si>
    <t>CSE</t>
  </si>
  <si>
    <t>Section</t>
  </si>
  <si>
    <t>Course Title</t>
  </si>
  <si>
    <t>Operating Systems</t>
  </si>
  <si>
    <t>Semester</t>
  </si>
  <si>
    <t>Spring 2025</t>
  </si>
  <si>
    <t>Credit</t>
  </si>
  <si>
    <t>W (Withdrawn)</t>
  </si>
  <si>
    <t>Instructor</t>
  </si>
  <si>
    <t>Rubaiya Hafiz</t>
  </si>
  <si>
    <t>Performance</t>
  </si>
  <si>
    <t xml:space="preserve">Assignment </t>
  </si>
  <si>
    <t xml:space="preserve">Final </t>
  </si>
  <si>
    <t>No.</t>
  </si>
  <si>
    <t>Student ID</t>
  </si>
  <si>
    <t>Name</t>
  </si>
  <si>
    <t>Exam Total (100)</t>
  </si>
  <si>
    <t>Percent Total (100%)</t>
  </si>
  <si>
    <t>Grade</t>
  </si>
  <si>
    <t>Assessment</t>
  </si>
  <si>
    <t>Marks Distribution</t>
  </si>
  <si>
    <t>Numerical Grade</t>
  </si>
  <si>
    <t>Letter Grade</t>
  </si>
  <si>
    <t>Freq</t>
  </si>
  <si>
    <t>Attendance</t>
  </si>
  <si>
    <t>95% and above</t>
  </si>
  <si>
    <t>A+</t>
  </si>
  <si>
    <t>MAX</t>
  </si>
  <si>
    <t>A</t>
  </si>
  <si>
    <t>AVG</t>
  </si>
  <si>
    <t>Quiz</t>
  </si>
  <si>
    <t>80% to 84%</t>
  </si>
  <si>
    <t>A-</t>
  </si>
  <si>
    <t>MIN</t>
  </si>
  <si>
    <t>75% to 79%</t>
  </si>
  <si>
    <t>B+</t>
  </si>
  <si>
    <t>Midterm Exam</t>
  </si>
  <si>
    <t>70% to 74%</t>
  </si>
  <si>
    <t>B</t>
  </si>
  <si>
    <t>Project</t>
  </si>
  <si>
    <t>65% to 69%</t>
  </si>
  <si>
    <t>B-</t>
  </si>
  <si>
    <t>Final Exam</t>
  </si>
  <si>
    <t>60% to 64%</t>
  </si>
  <si>
    <t>C+</t>
  </si>
  <si>
    <t>Total</t>
  </si>
  <si>
    <t>C</t>
  </si>
  <si>
    <t>D</t>
  </si>
  <si>
    <t>Below 50%</t>
  </si>
  <si>
    <t>F</t>
  </si>
  <si>
    <t>No exam</t>
  </si>
  <si>
    <t>I</t>
  </si>
  <si>
    <t>Withdrawn</t>
  </si>
  <si>
    <t>W</t>
  </si>
  <si>
    <t>Senior Lecturer</t>
  </si>
  <si>
    <t>No of students</t>
  </si>
  <si>
    <t>Department of CSE, ULAB</t>
  </si>
  <si>
    <t>Minimum Number</t>
  </si>
  <si>
    <t>F (Fail)</t>
  </si>
  <si>
    <t>D (Plain)</t>
  </si>
  <si>
    <t>C (Plain)</t>
  </si>
  <si>
    <t>C+ (Plus)</t>
  </si>
  <si>
    <t>B- (Minus)</t>
  </si>
  <si>
    <t>B (Plain)</t>
  </si>
  <si>
    <t>B+ (Plus)</t>
  </si>
  <si>
    <t>A- (Minus)</t>
  </si>
  <si>
    <t>A (Plain)</t>
  </si>
  <si>
    <t>A+ (Plus)</t>
  </si>
  <si>
    <t>Course Topic/Content Covered</t>
  </si>
  <si>
    <t>Topics Taught (based on course outline)</t>
  </si>
  <si>
    <t>Number of Sessions</t>
  </si>
  <si>
    <t>What percentage of topics/content planned were actually taught?</t>
  </si>
  <si>
    <t>a.</t>
  </si>
  <si>
    <t>&gt;90%</t>
  </si>
  <si>
    <t>√</t>
  </si>
  <si>
    <t>b.</t>
  </si>
  <si>
    <t>70%-90%</t>
  </si>
  <si>
    <t>c.</t>
  </si>
  <si>
    <t>&lt;70%</t>
  </si>
  <si>
    <t>If &lt;70%, please write the reason for not teaching all topics/content planned</t>
  </si>
  <si>
    <t>Teaching and Learning Methods</t>
  </si>
  <si>
    <t>Grade Distribution</t>
  </si>
  <si>
    <t>Teaching Methods</t>
  </si>
  <si>
    <t xml:space="preserve">Percentage </t>
  </si>
  <si>
    <t>Lectures</t>
  </si>
  <si>
    <t>Group Discussion</t>
  </si>
  <si>
    <t>Presentation</t>
  </si>
  <si>
    <t>Classwork</t>
  </si>
  <si>
    <t>Statistical Information</t>
  </si>
  <si>
    <t>%</t>
  </si>
  <si>
    <t>No</t>
  </si>
  <si>
    <t>Students enrolled</t>
  </si>
  <si>
    <t>Session Planned</t>
  </si>
  <si>
    <t>Active Learning</t>
  </si>
  <si>
    <t>Students who withdrew</t>
  </si>
  <si>
    <t>Sessions Missed</t>
  </si>
  <si>
    <t>Students who took final exam</t>
  </si>
  <si>
    <t>Sessions Made Up</t>
  </si>
  <si>
    <t>Students passed</t>
  </si>
  <si>
    <t>Total Sessions Conducted (excluding midterm and final exams)</t>
  </si>
  <si>
    <t>Average Number Per Session</t>
  </si>
  <si>
    <t>Teaching Aids</t>
  </si>
  <si>
    <t>Tardy Students</t>
  </si>
  <si>
    <t>Guest Lectures Invited</t>
  </si>
  <si>
    <t>N/A</t>
  </si>
  <si>
    <t>Whiteboard</t>
  </si>
  <si>
    <t>Absent Students</t>
  </si>
  <si>
    <t>Field Trips Taken</t>
  </si>
  <si>
    <t>Computer</t>
  </si>
  <si>
    <t>Handout</t>
  </si>
  <si>
    <t>Video and Audio</t>
  </si>
  <si>
    <t xml:space="preserve">Signature of the Course Instructor    </t>
  </si>
  <si>
    <t>Summary of Cos</t>
  </si>
  <si>
    <t>CO1</t>
  </si>
  <si>
    <t>CO2</t>
  </si>
  <si>
    <t>CO3</t>
  </si>
  <si>
    <t>CO4</t>
  </si>
  <si>
    <t>CO5</t>
  </si>
  <si>
    <t>CO6</t>
  </si>
  <si>
    <t>Number of Studens</t>
  </si>
  <si>
    <t>Average Score</t>
  </si>
  <si>
    <t>Mapping of COs to POs</t>
  </si>
  <si>
    <t>Assessment Items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</si>
  <si>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</si>
  <si>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</si>
  <si>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</si>
  <si>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</si>
  <si>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</si>
  <si>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</si>
  <si>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</si>
  <si>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</si>
  <si>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</si>
  <si>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</si>
  <si>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</si>
  <si>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</si>
  <si>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CO Attainment Analysis</t>
  </si>
  <si>
    <t>PO Attainment Analysis</t>
  </si>
  <si>
    <t>Total Marks</t>
  </si>
  <si>
    <t>Percentage</t>
  </si>
  <si>
    <t>CO Attainment</t>
  </si>
  <si>
    <t>PO Attainment</t>
  </si>
  <si>
    <t>S/N</t>
  </si>
  <si>
    <t>If CO achieved (≥55%) then 1, else 0</t>
  </si>
  <si>
    <t>If PO achieved (≥55%) then 1, else 0</t>
  </si>
  <si>
    <t>Class Average</t>
  </si>
  <si>
    <t>Continuous Quality Improvement (CQI) Form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</si>
  <si>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</si>
  <si>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</si>
  <si>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</si>
  <si>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</si>
  <si>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</si>
  <si>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 xml:space="preserve">Students should have better understanding of Digital Electronics as pre-requisite </t>
  </si>
  <si>
    <t>Students should be aware of theoretical understanding</t>
  </si>
  <si>
    <t>Need more endeavor to solve real life physical problems. More assignment can be thrown</t>
  </si>
  <si>
    <t>* attach additional sheet, if required</t>
  </si>
  <si>
    <t>Signature of the Instructor:</t>
  </si>
  <si>
    <t>Name of the Instructor:</t>
  </si>
  <si>
    <t>Date:</t>
  </si>
  <si>
    <t>Mid</t>
  </si>
  <si>
    <t>Assignment</t>
  </si>
  <si>
    <t>90% to 94%</t>
  </si>
  <si>
    <t>85% to 89%</t>
  </si>
  <si>
    <t>50% to 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</si>
</sst>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"/>
  </numFmts>
  <fonts count="27">
    <font>
      <sz val="9"/>
      <color rgb="FF000000"/>
      <name val="Arimo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9"/>
      <name val="Arimo"/>
    </font>
    <font>
      <sz val="9"/>
      <color rgb="FF000000"/>
      <name val="Arimo"/>
    </font>
    <font>
      <sz val="9"/>
      <color theme="1"/>
      <name val="Arimo"/>
    </font>
    <font>
      <b/>
      <sz val="12"/>
      <color rgb="FF000000"/>
      <name val="Times New Roman"/>
    </font>
    <font>
      <sz val="11"/>
      <color theme="1"/>
      <name val="Times New Roman"/>
    </font>
    <font>
      <sz val="12"/>
      <color rgb="FF000000"/>
      <name val="Times New Roman"/>
    </font>
    <font>
      <b/>
      <sz val="10"/>
      <color rgb="FF000000"/>
      <name val="Arial Narrow"/>
    </font>
    <font>
      <b/>
      <sz val="11"/>
      <color rgb="FF000000"/>
      <name val="Arial Narrow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Arial Narrow"/>
    </font>
    <font>
      <sz val="11"/>
      <color rgb="FF000000"/>
      <name val="Calibri"/>
    </font>
    <font>
      <b/>
      <sz val="12"/>
      <color rgb="FF000000"/>
      <name val="Arial Narrow"/>
    </font>
    <font>
      <b/>
      <sz val="11"/>
      <color theme="1"/>
      <name val="Times New Roman"/>
    </font>
    <font>
      <b/>
      <sz val="10"/>
      <color theme="1"/>
      <name val="Times New Roman"/>
    </font>
    <font>
      <b/>
      <sz val="14"/>
      <color rgb="FF000000"/>
      <name val="Arial Narrow"/>
    </font>
    <font>
      <b/>
      <u/>
      <sz val="10"/>
      <color rgb="FF000000"/>
      <name val="Arial Narrow"/>
    </font>
    <font>
      <b/>
      <sz val="11"/>
      <color rgb="FFFF0000"/>
      <name val="Times New Roman"/>
    </font>
    <font>
      <b/>
      <vertAlign val="superscript"/>
      <sz val="10"/>
      <color rgb="FF000000"/>
      <name val="Arial Narrow"/>
    </font>
    <font>
      <b/>
      <vertAlign val="superscript"/>
      <sz val="10"/>
      <color rgb="FF000000"/>
      <name val="Arial"/>
    </font>
    <font>
      <i/>
      <sz val="11"/>
      <color rgb="FF000000"/>
      <name val="Arial Narrow"/>
    </font>
    <font>
      <b/>
      <vertAlign val="superscript"/>
      <sz val="10"/>
      <color rgb="FF000000"/>
      <name val="Arial Narrow"/>
    </font>
    <font>
      <b/>
      <u/>
      <sz val="10"/>
      <color rgb="FF000000"/>
      <name val="Arial Narrow"/>
    </font>
    <font>
      <sz val="8"/>
      <name val="Arimo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4BACC6"/>
        <bgColor rgb="FF4BACC6"/>
      </patternFill>
    </fill>
    <fill>
      <patternFill patternType="solid">
        <fgColor rgb="FFCCC0D9"/>
        <bgColor rgb="FFCCC0D9"/>
      </patternFill>
    </fill>
    <fill>
      <patternFill patternType="solid">
        <fgColor rgb="FFC5E0B3"/>
        <bgColor rgb="FFC5E0B3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1" fontId="0" fillId="0" borderId="0"/>
  </cellStyleXfs>
  <cellXfs count="263">
    <xf numFmtId="1" fontId="0" fillId="0" borderId="0" xfId="0"/>
    <xf numFmtId="1" fontId="1" fillId="0" borderId="0" xfId="0" applyFont="1"/>
    <xf numFmtId="1" fontId="1" fillId="0" borderId="0" xfId="0" applyFont="1" applyAlignment="1">
      <alignment horizontal="center"/>
    </xf>
    <xf numFmtId="1" fontId="1" fillId="0" borderId="0" xfId="0" applyFont="1" applyAlignment="1">
      <alignment horizontal="left"/>
    </xf>
    <xf numFmtId="1" fontId="2" fillId="0" borderId="1" xfId="0" applyFont="1" applyBorder="1"/>
    <xf numFmtId="1" fontId="1" fillId="2" borderId="1" xfId="0" applyFont="1" applyFill="1" applyBorder="1" applyAlignment="1">
      <alignment horizontal="center" vertical="center"/>
    </xf>
    <xf numFmtId="1" fontId="1" fillId="0" borderId="1" xfId="0" applyFont="1" applyBorder="1"/>
    <xf numFmtId="1" fontId="1" fillId="2" borderId="1" xfId="0" applyFont="1" applyFill="1" applyBorder="1"/>
    <xf numFmtId="1" fontId="1" fillId="3" borderId="1" xfId="0" applyFont="1" applyFill="1" applyBorder="1" applyAlignment="1">
      <alignment horizontal="center" vertical="center"/>
    </xf>
    <xf numFmtId="1" fontId="4" fillId="0" borderId="0" xfId="0" applyFont="1" applyAlignment="1">
      <alignment horizontal="center"/>
    </xf>
    <xf numFmtId="0" fontId="5" fillId="0" borderId="0" xfId="0" applyNumberFormat="1" applyFont="1" applyAlignment="1">
      <alignment horizontal="left"/>
    </xf>
    <xf numFmtId="1" fontId="2" fillId="0" borderId="1" xfId="0" applyFont="1" applyBorder="1" applyAlignment="1">
      <alignment horizontal="center" vertical="center"/>
    </xf>
    <xf numFmtId="1" fontId="6" fillId="0" borderId="1" xfId="0" applyFont="1" applyBorder="1" applyAlignment="1">
      <alignment horizontal="center" vertical="center" wrapText="1"/>
    </xf>
    <xf numFmtId="1" fontId="2" fillId="3" borderId="1" xfId="0" applyFont="1" applyFill="1" applyBorder="1" applyAlignment="1">
      <alignment horizontal="center" vertical="center" wrapText="1"/>
    </xf>
    <xf numFmtId="1" fontId="2" fillId="0" borderId="1" xfId="0" applyFont="1" applyBorder="1" applyAlignment="1">
      <alignment horizontal="center" vertical="center" wrapText="1"/>
    </xf>
    <xf numFmtId="1" fontId="2" fillId="0" borderId="1" xfId="0" applyFont="1" applyBorder="1" applyAlignment="1">
      <alignment vertical="center" wrapText="1"/>
    </xf>
    <xf numFmtId="1" fontId="6" fillId="0" borderId="1" xfId="0" applyFont="1" applyBorder="1" applyAlignment="1">
      <alignment horizontal="center" vertical="center"/>
    </xf>
    <xf numFmtId="1" fontId="6" fillId="3" borderId="1" xfId="0" applyFont="1" applyFill="1" applyBorder="1" applyAlignment="1">
      <alignment horizontal="center" vertical="center"/>
    </xf>
    <xf numFmtId="1" fontId="2" fillId="0" borderId="0" xfId="0" applyFont="1" applyAlignment="1">
      <alignment vertical="center" wrapText="1"/>
    </xf>
    <xf numFmtId="1" fontId="2" fillId="2" borderId="1" xfId="0" applyFont="1" applyFill="1" applyBorder="1" applyAlignment="1">
      <alignment horizontal="center" vertical="center" wrapText="1"/>
    </xf>
    <xf numFmtId="1" fontId="6" fillId="0" borderId="6" xfId="0" applyFont="1" applyBorder="1" applyAlignment="1">
      <alignment horizontal="center" vertical="center"/>
    </xf>
    <xf numFmtId="1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7" fillId="0" borderId="1" xfId="0" applyNumberFormat="1" applyFont="1" applyBorder="1" applyAlignment="1">
      <alignment horizontal="left" vertical="top"/>
    </xf>
    <xf numFmtId="2" fontId="1" fillId="3" borderId="7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top"/>
    </xf>
    <xf numFmtId="1" fontId="1" fillId="0" borderId="1" xfId="0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top"/>
    </xf>
    <xf numFmtId="1" fontId="2" fillId="0" borderId="1" xfId="0" applyFont="1" applyBorder="1" applyAlignment="1">
      <alignment horizontal="left" vertical="center"/>
    </xf>
    <xf numFmtId="1" fontId="2" fillId="0" borderId="0" xfId="0" applyFont="1" applyAlignment="1">
      <alignment horizontal="center"/>
    </xf>
    <xf numFmtId="1" fontId="2" fillId="0" borderId="1" xfId="0" applyFont="1" applyBorder="1" applyAlignment="1">
      <alignment horizontal="center" wrapText="1"/>
    </xf>
    <xf numFmtId="1" fontId="1" fillId="0" borderId="5" xfId="0" applyFont="1" applyBorder="1" applyAlignment="1">
      <alignment horizontal="center" wrapText="1"/>
    </xf>
    <xf numFmtId="1" fontId="1" fillId="2" borderId="5" xfId="0" applyFont="1" applyFill="1" applyBorder="1" applyAlignment="1">
      <alignment horizontal="center"/>
    </xf>
    <xf numFmtId="1" fontId="1" fillId="0" borderId="1" xfId="0" applyFont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center"/>
    </xf>
    <xf numFmtId="1" fontId="1" fillId="0" borderId="1" xfId="0" applyFont="1" applyBorder="1" applyAlignment="1">
      <alignment horizontal="center" vertical="center"/>
    </xf>
    <xf numFmtId="1" fontId="1" fillId="4" borderId="1" xfId="0" applyFont="1" applyFill="1" applyBorder="1"/>
    <xf numFmtId="164" fontId="1" fillId="0" borderId="1" xfId="0" applyNumberFormat="1" applyFont="1" applyBorder="1" applyAlignment="1">
      <alignment horizontal="center"/>
    </xf>
    <xf numFmtId="1" fontId="1" fillId="2" borderId="1" xfId="0" applyFont="1" applyFill="1" applyBorder="1" applyAlignment="1">
      <alignment horizontal="center"/>
    </xf>
    <xf numFmtId="164" fontId="1" fillId="0" borderId="0" xfId="0" applyNumberFormat="1" applyFont="1"/>
    <xf numFmtId="1" fontId="1" fillId="0" borderId="0" xfId="0" applyFont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" fontId="1" fillId="0" borderId="11" xfId="0" applyFont="1" applyBorder="1" applyAlignment="1">
      <alignment horizontal="center" vertical="center" wrapText="1"/>
    </xf>
    <xf numFmtId="1" fontId="1" fillId="0" borderId="11" xfId="0" applyFont="1" applyBorder="1"/>
    <xf numFmtId="1" fontId="1" fillId="0" borderId="12" xfId="0" applyFont="1" applyBorder="1" applyAlignment="1">
      <alignment horizontal="center" vertical="top" wrapText="1"/>
    </xf>
    <xf numFmtId="1" fontId="1" fillId="0" borderId="12" xfId="0" applyFont="1" applyBorder="1" applyAlignment="1">
      <alignment horizontal="center" vertical="center"/>
    </xf>
    <xf numFmtId="1" fontId="1" fillId="0" borderId="13" xfId="0" applyFont="1" applyBorder="1" applyAlignment="1">
      <alignment horizontal="center" vertical="top" wrapText="1"/>
    </xf>
    <xf numFmtId="1" fontId="1" fillId="0" borderId="13" xfId="0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1" fontId="1" fillId="0" borderId="14" xfId="0" applyFont="1" applyBorder="1" applyAlignment="1">
      <alignment horizontal="center" vertical="center" wrapText="1"/>
    </xf>
    <xf numFmtId="1" fontId="1" fillId="0" borderId="14" xfId="0" applyFont="1" applyBorder="1" applyAlignment="1">
      <alignment horizontal="center" vertical="center"/>
    </xf>
    <xf numFmtId="9" fontId="1" fillId="0" borderId="14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vertical="center"/>
    </xf>
    <xf numFmtId="0" fontId="12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vertical="center"/>
    </xf>
    <xf numFmtId="0" fontId="1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6" fillId="5" borderId="1" xfId="0" applyNumberFormat="1" applyFont="1" applyFill="1" applyBorder="1" applyAlignment="1">
      <alignment horizontal="center" vertical="center"/>
    </xf>
    <xf numFmtId="1" fontId="8" fillId="8" borderId="1" xfId="0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0" fontId="15" fillId="0" borderId="0" xfId="0" applyNumberFormat="1" applyFont="1" applyAlignment="1">
      <alignment vertical="center"/>
    </xf>
    <xf numFmtId="0" fontId="12" fillId="0" borderId="1" xfId="0" applyNumberFormat="1" applyFont="1" applyBorder="1" applyAlignment="1">
      <alignment horizontal="center" vertical="center"/>
    </xf>
    <xf numFmtId="1" fontId="11" fillId="0" borderId="1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0" fontId="13" fillId="0" borderId="18" xfId="0" applyNumberFormat="1" applyFont="1" applyBorder="1" applyAlignment="1">
      <alignment horizontal="center" vertical="center"/>
    </xf>
    <xf numFmtId="0" fontId="13" fillId="0" borderId="23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vertical="center"/>
    </xf>
    <xf numFmtId="1" fontId="7" fillId="0" borderId="0" xfId="0" applyFont="1"/>
    <xf numFmtId="1" fontId="16" fillId="0" borderId="30" xfId="0" applyFont="1" applyBorder="1" applyAlignment="1">
      <alignment horizontal="center"/>
    </xf>
    <xf numFmtId="1" fontId="7" fillId="0" borderId="30" xfId="0" applyFont="1" applyBorder="1" applyAlignment="1">
      <alignment horizontal="center" vertical="center"/>
    </xf>
    <xf numFmtId="1" fontId="7" fillId="0" borderId="31" xfId="0" applyFont="1" applyBorder="1" applyAlignment="1">
      <alignment horizontal="center" vertical="center"/>
    </xf>
    <xf numFmtId="1" fontId="7" fillId="0" borderId="32" xfId="0" applyFont="1" applyBorder="1" applyAlignment="1">
      <alignment horizontal="center" vertical="center"/>
    </xf>
    <xf numFmtId="1" fontId="7" fillId="0" borderId="11" xfId="0" applyFont="1" applyBorder="1" applyAlignment="1">
      <alignment horizontal="center" vertical="center"/>
    </xf>
    <xf numFmtId="1" fontId="4" fillId="0" borderId="0" xfId="0" applyFont="1"/>
    <xf numFmtId="1" fontId="7" fillId="0" borderId="33" xfId="0" applyFont="1" applyBorder="1" applyAlignment="1">
      <alignment horizontal="center"/>
    </xf>
    <xf numFmtId="1" fontId="7" fillId="2" borderId="34" xfId="0" applyFont="1" applyFill="1" applyBorder="1" applyAlignment="1">
      <alignment horizontal="center" vertical="center"/>
    </xf>
    <xf numFmtId="1" fontId="7" fillId="0" borderId="37" xfId="0" applyFont="1" applyBorder="1" applyAlignment="1">
      <alignment horizontal="center" vertical="center"/>
    </xf>
    <xf numFmtId="1" fontId="7" fillId="2" borderId="38" xfId="0" applyFont="1" applyFill="1" applyBorder="1" applyAlignment="1">
      <alignment horizontal="center" vertical="center"/>
    </xf>
    <xf numFmtId="1" fontId="7" fillId="0" borderId="39" xfId="0" applyFont="1" applyBorder="1" applyAlignment="1">
      <alignment horizontal="center"/>
    </xf>
    <xf numFmtId="1" fontId="7" fillId="0" borderId="13" xfId="0" applyFont="1" applyBorder="1" applyAlignment="1">
      <alignment horizontal="center" vertical="center"/>
    </xf>
    <xf numFmtId="1" fontId="7" fillId="0" borderId="40" xfId="0" applyFont="1" applyBorder="1" applyAlignment="1">
      <alignment horizontal="center"/>
    </xf>
    <xf numFmtId="1" fontId="7" fillId="0" borderId="41" xfId="0" applyFont="1" applyBorder="1" applyAlignment="1">
      <alignment horizontal="center" vertical="center"/>
    </xf>
    <xf numFmtId="1" fontId="7" fillId="0" borderId="42" xfId="0" applyFont="1" applyBorder="1" applyAlignment="1">
      <alignment horizontal="center" vertical="center"/>
    </xf>
    <xf numFmtId="1" fontId="7" fillId="0" borderId="43" xfId="0" applyFont="1" applyBorder="1" applyAlignment="1">
      <alignment horizontal="center" vertical="center"/>
    </xf>
    <xf numFmtId="1" fontId="7" fillId="0" borderId="14" xfId="0" applyFont="1" applyBorder="1" applyAlignment="1">
      <alignment horizontal="center" vertical="center"/>
    </xf>
    <xf numFmtId="1" fontId="16" fillId="0" borderId="0" xfId="0" applyFont="1" applyAlignment="1">
      <alignment horizontal="center"/>
    </xf>
    <xf numFmtId="1" fontId="16" fillId="0" borderId="44" xfId="0" applyFont="1" applyBorder="1"/>
    <xf numFmtId="1" fontId="16" fillId="0" borderId="42" xfId="0" applyFont="1" applyBorder="1"/>
    <xf numFmtId="1" fontId="7" fillId="0" borderId="6" xfId="0" applyFont="1" applyBorder="1" applyAlignment="1">
      <alignment horizontal="center" vertical="center"/>
    </xf>
    <xf numFmtId="1" fontId="7" fillId="0" borderId="5" xfId="0" applyFont="1" applyBorder="1" applyAlignment="1">
      <alignment horizontal="center" vertical="center"/>
    </xf>
    <xf numFmtId="1" fontId="7" fillId="0" borderId="15" xfId="0" applyFont="1" applyBorder="1" applyAlignment="1">
      <alignment horizontal="center" vertical="center"/>
    </xf>
    <xf numFmtId="1" fontId="7" fillId="0" borderId="50" xfId="0" applyFont="1" applyBorder="1" applyAlignment="1">
      <alignment horizontal="center" vertical="center"/>
    </xf>
    <xf numFmtId="1" fontId="7" fillId="0" borderId="51" xfId="0" applyFont="1" applyBorder="1" applyAlignment="1">
      <alignment horizontal="center" vertical="center"/>
    </xf>
    <xf numFmtId="1" fontId="7" fillId="0" borderId="22" xfId="0" applyFont="1" applyBorder="1" applyAlignment="1">
      <alignment horizontal="center" vertical="center"/>
    </xf>
    <xf numFmtId="1" fontId="7" fillId="0" borderId="17" xfId="0" applyFont="1" applyBorder="1" applyAlignment="1">
      <alignment horizontal="center" vertical="center"/>
    </xf>
    <xf numFmtId="1" fontId="7" fillId="0" borderId="52" xfId="0" applyFont="1" applyBorder="1" applyAlignment="1">
      <alignment horizontal="center" vertical="center"/>
    </xf>
    <xf numFmtId="1" fontId="7" fillId="0" borderId="53" xfId="0" applyFont="1" applyBorder="1" applyAlignment="1">
      <alignment horizontal="center"/>
    </xf>
    <xf numFmtId="1" fontId="7" fillId="0" borderId="54" xfId="0" applyFont="1" applyBorder="1" applyAlignment="1">
      <alignment horizontal="center"/>
    </xf>
    <xf numFmtId="1" fontId="7" fillId="0" borderId="48" xfId="0" applyFont="1" applyBorder="1" applyAlignment="1">
      <alignment horizontal="center"/>
    </xf>
    <xf numFmtId="1" fontId="7" fillId="0" borderId="55" xfId="0" applyFont="1" applyBorder="1" applyAlignment="1">
      <alignment horizontal="center" vertical="center"/>
    </xf>
    <xf numFmtId="1" fontId="7" fillId="0" borderId="56" xfId="0" applyFont="1" applyBorder="1" applyAlignment="1">
      <alignment horizontal="center" vertical="center"/>
    </xf>
    <xf numFmtId="1" fontId="7" fillId="0" borderId="57" xfId="0" applyFont="1" applyBorder="1" applyAlignment="1">
      <alignment horizontal="center" vertical="center"/>
    </xf>
    <xf numFmtId="1" fontId="7" fillId="0" borderId="58" xfId="0" applyFont="1" applyBorder="1" applyAlignment="1">
      <alignment horizontal="center" vertical="center"/>
    </xf>
    <xf numFmtId="1" fontId="7" fillId="0" borderId="0" xfId="0" applyFont="1" applyAlignment="1">
      <alignment horizontal="center" vertical="center"/>
    </xf>
    <xf numFmtId="1" fontId="16" fillId="0" borderId="30" xfId="0" applyFont="1" applyBorder="1" applyAlignment="1">
      <alignment horizontal="center" vertical="center" wrapText="1"/>
    </xf>
    <xf numFmtId="1" fontId="12" fillId="0" borderId="31" xfId="0" applyFont="1" applyBorder="1" applyAlignment="1">
      <alignment horizontal="center" vertical="center"/>
    </xf>
    <xf numFmtId="1" fontId="12" fillId="0" borderId="32" xfId="0" applyFont="1" applyBorder="1" applyAlignment="1">
      <alignment horizontal="left" vertical="center"/>
    </xf>
    <xf numFmtId="1" fontId="7" fillId="6" borderId="30" xfId="0" applyFont="1" applyFill="1" applyBorder="1" applyAlignment="1">
      <alignment horizontal="center" vertical="center"/>
    </xf>
    <xf numFmtId="1" fontId="7" fillId="6" borderId="31" xfId="0" applyFont="1" applyFill="1" applyBorder="1" applyAlignment="1">
      <alignment horizontal="center" vertical="center"/>
    </xf>
    <xf numFmtId="1" fontId="5" fillId="6" borderId="59" xfId="0" applyFont="1" applyFill="1" applyBorder="1"/>
    <xf numFmtId="9" fontId="7" fillId="6" borderId="30" xfId="0" applyNumberFormat="1" applyFont="1" applyFill="1" applyBorder="1" applyAlignment="1">
      <alignment horizontal="center" vertical="center"/>
    </xf>
    <xf numFmtId="9" fontId="7" fillId="6" borderId="31" xfId="0" applyNumberFormat="1" applyFont="1" applyFill="1" applyBorder="1" applyAlignment="1">
      <alignment horizontal="center" vertical="center"/>
    </xf>
    <xf numFmtId="9" fontId="7" fillId="6" borderId="32" xfId="0" applyNumberFormat="1" applyFont="1" applyFill="1" applyBorder="1" applyAlignment="1">
      <alignment horizontal="center" vertical="center"/>
    </xf>
    <xf numFmtId="9" fontId="7" fillId="6" borderId="60" xfId="0" applyNumberFormat="1" applyFont="1" applyFill="1" applyBorder="1" applyAlignment="1">
      <alignment horizontal="center" vertical="center"/>
    </xf>
    <xf numFmtId="9" fontId="7" fillId="6" borderId="62" xfId="0" applyNumberFormat="1" applyFont="1" applyFill="1" applyBorder="1" applyAlignment="1">
      <alignment horizontal="center" vertical="center"/>
    </xf>
    <xf numFmtId="9" fontId="7" fillId="6" borderId="63" xfId="0" applyNumberFormat="1" applyFont="1" applyFill="1" applyBorder="1" applyAlignment="1">
      <alignment horizontal="center" vertical="center"/>
    </xf>
    <xf numFmtId="9" fontId="7" fillId="6" borderId="64" xfId="0" applyNumberFormat="1" applyFont="1" applyFill="1" applyBorder="1" applyAlignment="1">
      <alignment horizontal="center" vertical="center"/>
    </xf>
    <xf numFmtId="1" fontId="7" fillId="0" borderId="34" xfId="0" applyFont="1" applyBorder="1" applyAlignment="1">
      <alignment horizontal="center"/>
    </xf>
    <xf numFmtId="2" fontId="7" fillId="0" borderId="21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9" fontId="7" fillId="0" borderId="36" xfId="0" applyNumberFormat="1" applyFont="1" applyBorder="1" applyAlignment="1">
      <alignment horizontal="center" vertical="center"/>
    </xf>
    <xf numFmtId="1" fontId="7" fillId="0" borderId="34" xfId="0" applyFont="1" applyBorder="1" applyAlignment="1">
      <alignment horizontal="center" vertical="center"/>
    </xf>
    <xf numFmtId="9" fontId="7" fillId="0" borderId="39" xfId="0" applyNumberFormat="1" applyFont="1" applyBorder="1" applyAlignment="1">
      <alignment horizontal="center" vertical="center"/>
    </xf>
    <xf numFmtId="1" fontId="7" fillId="0" borderId="39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1" fontId="7" fillId="0" borderId="39" xfId="0" applyFont="1" applyBorder="1" applyAlignment="1">
      <alignment horizontal="center" wrapText="1"/>
    </xf>
    <xf numFmtId="2" fontId="7" fillId="0" borderId="4" xfId="0" applyNumberFormat="1" applyFont="1" applyBorder="1" applyAlignment="1">
      <alignment horizontal="center"/>
    </xf>
    <xf numFmtId="9" fontId="7" fillId="0" borderId="69" xfId="0" applyNumberFormat="1" applyFont="1" applyBorder="1" applyAlignment="1">
      <alignment horizontal="center"/>
    </xf>
    <xf numFmtId="1" fontId="7" fillId="0" borderId="42" xfId="0" applyFont="1" applyBorder="1" applyAlignment="1">
      <alignment horizontal="center"/>
    </xf>
    <xf numFmtId="1" fontId="7" fillId="0" borderId="41" xfId="0" applyFont="1" applyBorder="1" applyAlignment="1">
      <alignment horizontal="center"/>
    </xf>
    <xf numFmtId="1" fontId="5" fillId="0" borderId="47" xfId="0" applyFont="1" applyBorder="1"/>
    <xf numFmtId="9" fontId="7" fillId="0" borderId="70" xfId="0" applyNumberFormat="1" applyFont="1" applyBorder="1" applyAlignment="1">
      <alignment horizontal="center"/>
    </xf>
    <xf numFmtId="1" fontId="5" fillId="0" borderId="0" xfId="0" applyFont="1"/>
    <xf numFmtId="1" fontId="16" fillId="6" borderId="71" xfId="0" applyFont="1" applyFill="1" applyBorder="1" applyAlignment="1">
      <alignment horizontal="center" vertical="center"/>
    </xf>
    <xf numFmtId="2" fontId="7" fillId="6" borderId="30" xfId="0" applyNumberFormat="1" applyFont="1" applyFill="1" applyBorder="1" applyAlignment="1">
      <alignment horizontal="center" vertical="center"/>
    </xf>
    <xf numFmtId="1" fontId="7" fillId="6" borderId="32" xfId="0" applyFont="1" applyFill="1" applyBorder="1" applyAlignment="1">
      <alignment horizontal="center" vertical="center"/>
    </xf>
    <xf numFmtId="9" fontId="7" fillId="0" borderId="0" xfId="0" applyNumberFormat="1" applyFont="1"/>
    <xf numFmtId="0" fontId="7" fillId="0" borderId="0" xfId="0" applyNumberFormat="1" applyFont="1" applyAlignment="1">
      <alignment vertical="top"/>
    </xf>
    <xf numFmtId="0" fontId="13" fillId="0" borderId="0" xfId="0" applyNumberFormat="1" applyFont="1"/>
    <xf numFmtId="0" fontId="14" fillId="0" borderId="0" xfId="0" applyNumberFormat="1" applyFont="1"/>
    <xf numFmtId="0" fontId="9" fillId="12" borderId="34" xfId="0" applyNumberFormat="1" applyFont="1" applyFill="1" applyBorder="1" applyAlignment="1">
      <alignment horizontal="center" vertical="center"/>
    </xf>
    <xf numFmtId="1" fontId="9" fillId="12" borderId="35" xfId="0" applyFont="1" applyFill="1" applyBorder="1" applyAlignment="1">
      <alignment horizontal="center" vertical="center"/>
    </xf>
    <xf numFmtId="0" fontId="9" fillId="12" borderId="35" xfId="0" applyNumberFormat="1" applyFont="1" applyFill="1" applyBorder="1" applyAlignment="1">
      <alignment horizontal="center" vertical="center"/>
    </xf>
    <xf numFmtId="1" fontId="9" fillId="12" borderId="36" xfId="0" applyFont="1" applyFill="1" applyBorder="1" applyAlignment="1">
      <alignment horizontal="center" vertical="center"/>
    </xf>
    <xf numFmtId="0" fontId="9" fillId="12" borderId="1" xfId="0" applyNumberFormat="1" applyFont="1" applyFill="1" applyBorder="1" applyAlignment="1">
      <alignment horizontal="center" vertical="center" wrapText="1"/>
    </xf>
    <xf numFmtId="1" fontId="9" fillId="12" borderId="68" xfId="0" applyFont="1" applyFill="1" applyBorder="1" applyAlignment="1">
      <alignment horizontal="center" vertical="center" wrapText="1"/>
    </xf>
    <xf numFmtId="164" fontId="9" fillId="12" borderId="72" xfId="0" applyNumberFormat="1" applyFont="1" applyFill="1" applyBorder="1" applyAlignment="1">
      <alignment horizontal="center" vertical="center"/>
    </xf>
    <xf numFmtId="0" fontId="9" fillId="12" borderId="72" xfId="0" applyNumberFormat="1" applyFont="1" applyFill="1" applyBorder="1" applyAlignment="1">
      <alignment horizontal="center" vertical="center"/>
    </xf>
    <xf numFmtId="1" fontId="9" fillId="12" borderId="73" xfId="0" applyFont="1" applyFill="1" applyBorder="1" applyAlignment="1">
      <alignment horizontal="center" vertical="center"/>
    </xf>
    <xf numFmtId="0" fontId="9" fillId="0" borderId="56" xfId="0" applyNumberFormat="1" applyFont="1" applyBorder="1" applyAlignment="1">
      <alignment horizontal="center" vertical="center"/>
    </xf>
    <xf numFmtId="0" fontId="9" fillId="0" borderId="32" xfId="0" applyNumberFormat="1" applyFont="1" applyBorder="1" applyAlignment="1">
      <alignment horizontal="center" vertical="center"/>
    </xf>
    <xf numFmtId="9" fontId="9" fillId="0" borderId="77" xfId="0" applyNumberFormat="1" applyFont="1" applyBorder="1" applyAlignment="1">
      <alignment horizontal="center" vertical="center"/>
    </xf>
    <xf numFmtId="0" fontId="21" fillId="0" borderId="0" xfId="0" applyNumberFormat="1" applyFont="1"/>
    <xf numFmtId="0" fontId="22" fillId="0" borderId="0" xfId="0" applyNumberFormat="1" applyFont="1"/>
    <xf numFmtId="0" fontId="11" fillId="13" borderId="80" xfId="0" applyNumberFormat="1" applyFont="1" applyFill="1" applyBorder="1" applyAlignment="1">
      <alignment horizontal="center"/>
    </xf>
    <xf numFmtId="0" fontId="11" fillId="13" borderId="81" xfId="0" applyNumberFormat="1" applyFont="1" applyFill="1" applyBorder="1" applyAlignment="1">
      <alignment horizontal="center"/>
    </xf>
    <xf numFmtId="0" fontId="11" fillId="13" borderId="7" xfId="0" applyNumberFormat="1" applyFont="1" applyFill="1" applyBorder="1" applyAlignment="1">
      <alignment horizontal="center"/>
    </xf>
    <xf numFmtId="0" fontId="23" fillId="0" borderId="0" xfId="0" applyNumberFormat="1" applyFont="1" applyAlignment="1">
      <alignment horizontal="right"/>
    </xf>
    <xf numFmtId="0" fontId="9" fillId="0" borderId="0" xfId="0" applyNumberFormat="1" applyFont="1" applyAlignment="1">
      <alignment horizontal="right"/>
    </xf>
    <xf numFmtId="0" fontId="24" fillId="0" borderId="20" xfId="0" applyNumberFormat="1" applyFont="1" applyBorder="1"/>
    <xf numFmtId="1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25" fillId="0" borderId="0" xfId="0" applyNumberFormat="1" applyFont="1"/>
    <xf numFmtId="1" fontId="6" fillId="0" borderId="5" xfId="0" applyFont="1" applyBorder="1" applyAlignment="1">
      <alignment horizontal="center" vertical="center"/>
    </xf>
    <xf numFmtId="1" fontId="7" fillId="6" borderId="62" xfId="0" applyFont="1" applyFill="1" applyBorder="1" applyAlignment="1">
      <alignment horizontal="center" vertical="center"/>
    </xf>
    <xf numFmtId="1" fontId="7" fillId="6" borderId="63" xfId="0" applyFont="1" applyFill="1" applyBorder="1" applyAlignment="1">
      <alignment horizontal="center" vertical="center"/>
    </xf>
    <xf numFmtId="0" fontId="1" fillId="11" borderId="82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 vertical="top"/>
    </xf>
    <xf numFmtId="2" fontId="7" fillId="0" borderId="1" xfId="0" applyNumberFormat="1" applyFont="1" applyBorder="1" applyAlignment="1">
      <alignment horizontal="left" vertical="top"/>
    </xf>
    <xf numFmtId="1" fontId="13" fillId="0" borderId="23" xfId="0" applyFont="1" applyBorder="1" applyAlignment="1">
      <alignment horizontal="center" vertical="center"/>
    </xf>
    <xf numFmtId="0" fontId="3" fillId="0" borderId="42" xfId="0" applyNumberFormat="1" applyFont="1" applyBorder="1"/>
    <xf numFmtId="1" fontId="16" fillId="6" borderId="45" xfId="0" applyFont="1" applyFill="1" applyBorder="1" applyAlignment="1">
      <alignment horizontal="center" vertical="center"/>
    </xf>
    <xf numFmtId="1" fontId="1" fillId="0" borderId="0" xfId="0" applyFont="1" applyAlignment="1">
      <alignment horizontal="left"/>
    </xf>
    <xf numFmtId="1" fontId="0" fillId="0" borderId="0" xfId="0"/>
    <xf numFmtId="1" fontId="1" fillId="2" borderId="9" xfId="0" applyFont="1" applyFill="1" applyBorder="1" applyAlignment="1">
      <alignment horizontal="left"/>
    </xf>
    <xf numFmtId="0" fontId="3" fillId="0" borderId="10" xfId="0" applyNumberFormat="1" applyFont="1" applyBorder="1"/>
    <xf numFmtId="1" fontId="1" fillId="2" borderId="2" xfId="0" applyFont="1" applyFill="1" applyBorder="1" applyAlignment="1">
      <alignment horizontal="center" vertical="center"/>
    </xf>
    <xf numFmtId="0" fontId="3" fillId="0" borderId="3" xfId="0" applyNumberFormat="1" applyFont="1" applyBorder="1"/>
    <xf numFmtId="0" fontId="3" fillId="0" borderId="4" xfId="0" applyNumberFormat="1" applyFont="1" applyBorder="1"/>
    <xf numFmtId="1" fontId="2" fillId="3" borderId="2" xfId="0" applyFont="1" applyFill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9" fillId="5" borderId="2" xfId="0" applyNumberFormat="1" applyFont="1" applyFill="1" applyBorder="1" applyAlignment="1">
      <alignment horizontal="center" vertical="center"/>
    </xf>
    <xf numFmtId="1" fontId="9" fillId="5" borderId="2" xfId="0" applyFont="1" applyFill="1" applyBorder="1" applyAlignment="1">
      <alignment horizontal="center" vertical="center"/>
    </xf>
    <xf numFmtId="0" fontId="11" fillId="6" borderId="2" xfId="0" applyNumberFormat="1" applyFont="1" applyFill="1" applyBorder="1" applyAlignment="1">
      <alignment horizontal="center" vertical="center"/>
    </xf>
    <xf numFmtId="0" fontId="9" fillId="7" borderId="2" xfId="0" applyNumberFormat="1" applyFont="1" applyFill="1" applyBorder="1" applyAlignment="1">
      <alignment horizontal="center" vertical="center"/>
    </xf>
    <xf numFmtId="1" fontId="9" fillId="7" borderId="2" xfId="0" applyFont="1" applyFill="1" applyBorder="1" applyAlignment="1">
      <alignment horizontal="center" vertical="center"/>
    </xf>
    <xf numFmtId="0" fontId="9" fillId="8" borderId="2" xfId="0" applyNumberFormat="1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 wrapText="1"/>
    </xf>
    <xf numFmtId="0" fontId="11" fillId="2" borderId="2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14" fillId="0" borderId="2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 wrapText="1"/>
    </xf>
    <xf numFmtId="0" fontId="3" fillId="0" borderId="16" xfId="0" applyNumberFormat="1" applyFont="1" applyBorder="1"/>
    <xf numFmtId="0" fontId="3" fillId="0" borderId="6" xfId="0" applyNumberFormat="1" applyFont="1" applyBorder="1"/>
    <xf numFmtId="0" fontId="3" fillId="0" borderId="17" xfId="0" applyNumberFormat="1" applyFont="1" applyBorder="1"/>
    <xf numFmtId="0" fontId="3" fillId="0" borderId="18" xfId="0" applyNumberFormat="1" applyFont="1" applyBorder="1"/>
    <xf numFmtId="0" fontId="3" fillId="0" borderId="19" xfId="0" applyNumberFormat="1" applyFont="1" applyBorder="1"/>
    <xf numFmtId="0" fontId="3" fillId="0" borderId="20" xfId="0" applyNumberFormat="1" applyFont="1" applyBorder="1"/>
    <xf numFmtId="0" fontId="3" fillId="0" borderId="21" xfId="0" applyNumberFormat="1" applyFont="1" applyBorder="1"/>
    <xf numFmtId="0" fontId="6" fillId="9" borderId="2" xfId="0" applyNumberFormat="1" applyFont="1" applyFill="1" applyBorder="1" applyAlignment="1">
      <alignment horizontal="center" vertical="center"/>
    </xf>
    <xf numFmtId="0" fontId="10" fillId="5" borderId="2" xfId="0" applyNumberFormat="1" applyFont="1" applyFill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0" fontId="11" fillId="2" borderId="5" xfId="0" applyNumberFormat="1" applyFont="1" applyFill="1" applyBorder="1" applyAlignment="1">
      <alignment horizontal="center" vertical="center"/>
    </xf>
    <xf numFmtId="0" fontId="3" fillId="0" borderId="22" xfId="0" applyNumberFormat="1" applyFont="1" applyBorder="1"/>
    <xf numFmtId="0" fontId="3" fillId="0" borderId="8" xfId="0" applyNumberFormat="1" applyFont="1" applyBorder="1"/>
    <xf numFmtId="10" fontId="11" fillId="0" borderId="5" xfId="0" applyNumberFormat="1" applyFont="1" applyBorder="1" applyAlignment="1">
      <alignment horizontal="center" vertical="center"/>
    </xf>
    <xf numFmtId="1" fontId="8" fillId="8" borderId="2" xfId="0" applyFont="1" applyFill="1" applyBorder="1" applyAlignment="1">
      <alignment horizontal="center" vertical="center"/>
    </xf>
    <xf numFmtId="0" fontId="6" fillId="9" borderId="24" xfId="0" applyNumberFormat="1" applyFont="1" applyFill="1" applyBorder="1" applyAlignment="1">
      <alignment horizontal="center" vertical="center"/>
    </xf>
    <xf numFmtId="0" fontId="3" fillId="0" borderId="25" xfId="0" applyNumberFormat="1" applyFont="1" applyBorder="1"/>
    <xf numFmtId="0" fontId="3" fillId="0" borderId="26" xfId="0" applyNumberFormat="1" applyFont="1" applyBorder="1"/>
    <xf numFmtId="0" fontId="13" fillId="9" borderId="2" xfId="0" applyNumberFormat="1" applyFont="1" applyFill="1" applyBorder="1" applyAlignment="1">
      <alignment horizontal="center" vertical="center"/>
    </xf>
    <xf numFmtId="0" fontId="13" fillId="8" borderId="2" xfId="0" applyNumberFormat="1" applyFont="1" applyFill="1" applyBorder="1" applyAlignment="1">
      <alignment horizontal="center" vertical="center"/>
    </xf>
    <xf numFmtId="9" fontId="8" fillId="8" borderId="2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1" fontId="16" fillId="0" borderId="49" xfId="0" applyFont="1" applyBorder="1" applyAlignment="1">
      <alignment horizontal="center"/>
    </xf>
    <xf numFmtId="0" fontId="3" fillId="0" borderId="23" xfId="0" applyNumberFormat="1" applyFont="1" applyBorder="1"/>
    <xf numFmtId="0" fontId="3" fillId="0" borderId="48" xfId="0" applyNumberFormat="1" applyFont="1" applyBorder="1"/>
    <xf numFmtId="1" fontId="7" fillId="6" borderId="65" xfId="0" applyFont="1" applyFill="1" applyBorder="1" applyAlignment="1">
      <alignment horizontal="center" vertical="center"/>
    </xf>
    <xf numFmtId="0" fontId="3" fillId="0" borderId="66" xfId="0" applyNumberFormat="1" applyFont="1" applyBorder="1"/>
    <xf numFmtId="0" fontId="3" fillId="0" borderId="67" xfId="0" applyNumberFormat="1" applyFont="1" applyBorder="1"/>
    <xf numFmtId="1" fontId="7" fillId="0" borderId="0" xfId="0" applyFont="1" applyAlignment="1">
      <alignment horizontal="center"/>
    </xf>
    <xf numFmtId="1" fontId="16" fillId="0" borderId="27" xfId="0" applyFont="1" applyBorder="1" applyAlignment="1">
      <alignment horizontal="center"/>
    </xf>
    <xf numFmtId="0" fontId="3" fillId="0" borderId="28" xfId="0" applyNumberFormat="1" applyFont="1" applyBorder="1"/>
    <xf numFmtId="0" fontId="3" fillId="0" borderId="29" xfId="0" applyNumberFormat="1" applyFont="1" applyBorder="1"/>
    <xf numFmtId="1" fontId="16" fillId="0" borderId="27" xfId="0" applyFont="1" applyBorder="1" applyAlignment="1">
      <alignment horizontal="center" vertical="center" wrapText="1"/>
    </xf>
    <xf numFmtId="0" fontId="3" fillId="0" borderId="46" xfId="0" applyNumberFormat="1" applyFont="1" applyBorder="1"/>
    <xf numFmtId="0" fontId="3" fillId="0" borderId="47" xfId="0" applyNumberFormat="1" applyFont="1" applyBorder="1"/>
    <xf numFmtId="0" fontId="3" fillId="0" borderId="49" xfId="0" applyNumberFormat="1" applyFont="1" applyBorder="1"/>
    <xf numFmtId="1" fontId="16" fillId="10" borderId="45" xfId="0" applyFont="1" applyFill="1" applyBorder="1" applyAlignment="1">
      <alignment horizontal="center"/>
    </xf>
    <xf numFmtId="0" fontId="3" fillId="0" borderId="44" xfId="0" applyNumberFormat="1" applyFont="1" applyBorder="1"/>
    <xf numFmtId="0" fontId="3" fillId="0" borderId="42" xfId="0" applyNumberFormat="1" applyFont="1" applyBorder="1"/>
    <xf numFmtId="1" fontId="16" fillId="7" borderId="45" xfId="0" applyFont="1" applyFill="1" applyBorder="1" applyAlignment="1">
      <alignment horizontal="center"/>
    </xf>
    <xf numFmtId="1" fontId="16" fillId="0" borderId="23" xfId="0" applyFont="1" applyBorder="1" applyAlignment="1">
      <alignment horizontal="center"/>
    </xf>
    <xf numFmtId="1" fontId="17" fillId="0" borderId="27" xfId="0" applyFont="1" applyBorder="1" applyAlignment="1">
      <alignment horizontal="center"/>
    </xf>
    <xf numFmtId="1" fontId="16" fillId="0" borderId="45" xfId="0" applyFont="1" applyBorder="1" applyAlignment="1">
      <alignment horizontal="center"/>
    </xf>
    <xf numFmtId="1" fontId="7" fillId="6" borderId="61" xfId="0" applyFont="1" applyFill="1" applyBorder="1" applyAlignment="1">
      <alignment horizontal="center" vertical="center"/>
    </xf>
    <xf numFmtId="0" fontId="9" fillId="0" borderId="74" xfId="0" applyNumberFormat="1" applyFont="1" applyBorder="1" applyAlignment="1">
      <alignment horizontal="center" vertical="center"/>
    </xf>
    <xf numFmtId="0" fontId="3" fillId="0" borderId="75" xfId="0" applyNumberFormat="1" applyFont="1" applyBorder="1"/>
    <xf numFmtId="0" fontId="18" fillId="0" borderId="45" xfId="0" applyNumberFormat="1" applyFont="1" applyBorder="1" applyAlignment="1">
      <alignment horizontal="center" vertical="center"/>
    </xf>
    <xf numFmtId="0" fontId="9" fillId="0" borderId="45" xfId="0" applyNumberFormat="1" applyFont="1" applyBorder="1" applyAlignment="1">
      <alignment horizontal="center" vertical="center"/>
    </xf>
    <xf numFmtId="0" fontId="3" fillId="0" borderId="41" xfId="0" applyNumberFormat="1" applyFont="1" applyBorder="1"/>
    <xf numFmtId="9" fontId="13" fillId="0" borderId="76" xfId="0" applyNumberFormat="1" applyFont="1" applyBorder="1" applyAlignment="1">
      <alignment horizontal="center" vertical="center" wrapText="1"/>
    </xf>
    <xf numFmtId="0" fontId="3" fillId="0" borderId="78" xfId="0" applyNumberFormat="1" applyFont="1" applyBorder="1"/>
    <xf numFmtId="0" fontId="3" fillId="0" borderId="79" xfId="0" applyNumberFormat="1" applyFont="1" applyBorder="1"/>
    <xf numFmtId="0" fontId="11" fillId="13" borderId="2" xfId="0" applyNumberFormat="1" applyFont="1" applyFill="1" applyBorder="1" applyAlignment="1">
      <alignment horizontal="center"/>
    </xf>
    <xf numFmtId="0" fontId="13" fillId="13" borderId="2" xfId="0" applyNumberFormat="1" applyFont="1" applyFill="1" applyBorder="1" applyAlignment="1">
      <alignment horizontal="center" vertical="center"/>
    </xf>
    <xf numFmtId="0" fontId="19" fillId="0" borderId="20" xfId="0" applyNumberFormat="1" applyFont="1" applyBorder="1" applyAlignment="1">
      <alignment horizontal="left" wrapText="1"/>
    </xf>
    <xf numFmtId="0" fontId="20" fillId="13" borderId="2" xfId="0" applyNumberFormat="1" applyFont="1" applyFill="1" applyBorder="1" applyAlignment="1">
      <alignment horizontal="center" vertical="center"/>
    </xf>
    <xf numFmtId="0" fontId="11" fillId="13" borderId="2" xfId="0" applyNumberFormat="1" applyFont="1" applyFill="1" applyBorder="1" applyAlignment="1">
      <alignment horizontal="left" wrapText="1"/>
    </xf>
    <xf numFmtId="0" fontId="11" fillId="1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4878157707217247E-2"/>
          <c:y val="4.2622950819672129E-2"/>
          <c:w val="0.91057091306790094"/>
          <c:h val="0.8426229508196726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GradeSheet!$G$64:$G$75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GradeSheet!$H$64:$H$75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1C3-4478-8883-503ADF99D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4924893"/>
        <c:axId val="1134778109"/>
      </c:barChart>
      <c:catAx>
        <c:axId val="1094924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4778109"/>
        <c:crosses val="autoZero"/>
        <c:auto val="1"/>
        <c:lblAlgn val="ctr"/>
        <c:lblOffset val="100"/>
        <c:noMultiLvlLbl val="1"/>
      </c:catAx>
      <c:valAx>
        <c:axId val="1134778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492489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 Narrow"/>
              </a:defRPr>
            </a:pPr>
            <a:r>
              <a:rPr lang="en-US" sz="1400" b="0" i="0">
                <a:solidFill>
                  <a:srgbClr val="757575"/>
                </a:solidFill>
                <a:latin typeface="Arial Narrow"/>
              </a:rPr>
              <a:t>Summary of 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CourseSummary!$H$58:$M$58</c:f>
              <c:strCache>
                <c:ptCount val="6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</c:strCache>
            </c:strRef>
          </c:cat>
          <c:val>
            <c:numRef>
              <c:f>CourseSummary!$H$59:$M$59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B2-4138-B2D2-9362BE92CDA6}"/>
            </c:ext>
          </c:extLst>
        </c:ser>
        <c:ser>
          <c:idx val="1"/>
          <c:order val="1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CourseSummary!$H$58:$M$58</c:f>
              <c:strCache>
                <c:ptCount val="6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</c:strCache>
            </c:strRef>
          </c:cat>
          <c:val>
            <c:numRef>
              <c:f>CourseSummary!$H$60:$M$60</c:f>
              <c:numCache>
                <c:formatCode>0%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2B2-4138-B2D2-9362BE92C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866161"/>
        <c:axId val="1995556518"/>
      </c:barChart>
      <c:catAx>
        <c:axId val="1874866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5556518"/>
        <c:crosses val="autoZero"/>
        <c:auto val="1"/>
        <c:lblAlgn val="ctr"/>
        <c:lblOffset val="100"/>
        <c:noMultiLvlLbl val="1"/>
      </c:catAx>
      <c:valAx>
        <c:axId val="19955565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Arial Narrow"/>
                  </a:rPr>
                  <a:t>Average Score </a:t>
                </a:r>
              </a:p>
            </c:rich>
          </c:tx>
          <c:layout>
            <c:manualLayout>
              <c:xMode val="edge"/>
              <c:yMode val="edge"/>
              <c:x val="0.11366761542930465"/>
              <c:y val="0.3202105655847054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87486616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 Narrow"/>
              </a:defRPr>
            </a:pPr>
            <a:r>
              <a:rPr lang="en-US" sz="1400" b="0" i="0">
                <a:solidFill>
                  <a:srgbClr val="757575"/>
                </a:solidFill>
                <a:latin typeface="Arial Narrow"/>
              </a:rPr>
              <a:t>Grade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Number of Students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CourseSummary!$B$24:$M$24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092-4719-BFFA-1C6CC10BCF07}"/>
            </c:ext>
          </c:extLst>
        </c:ser>
        <c:ser>
          <c:idx val="1"/>
          <c:order val="1"/>
          <c:tx>
            <c:v>Percentage of Students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CourseSummary!$B$25:$M$25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092-4719-BFFA-1C6CC10BC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637761"/>
        <c:axId val="186647119"/>
      </c:barChart>
      <c:catAx>
        <c:axId val="1488637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86647119"/>
        <c:crosses val="autoZero"/>
        <c:auto val="1"/>
        <c:lblAlgn val="ctr"/>
        <c:lblOffset val="100"/>
        <c:noMultiLvlLbl val="1"/>
      </c:catAx>
      <c:valAx>
        <c:axId val="186647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Arial Narrow"/>
                  </a:rPr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0.1355415573053369"/>
              <c:y val="0.24805191017790051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48863776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361950</xdr:colOff>
      <xdr:row>62</xdr:row>
      <xdr:rowOff>19050</xdr:rowOff>
    </xdr:from>
    <xdr:ext cx="3952875" cy="2790825"/>
    <xdr:graphicFrame macro="">
      <xdr:nvGraphicFramePr>
        <xdr:cNvPr id="1811943136" name="Chart 1" title="Chart">
          <a:extLst>
            <a:ext uri="{FF2B5EF4-FFF2-40B4-BE49-F238E27FC236}">
              <a16:creationId xmlns:a16="http://schemas.microsoft.com/office/drawing/2014/main" id="{00000000-0008-0000-0000-0000E00E0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62</xdr:row>
      <xdr:rowOff>0</xdr:rowOff>
    </xdr:from>
    <xdr:ext cx="5153025" cy="2762250"/>
    <xdr:graphicFrame macro="">
      <xdr:nvGraphicFramePr>
        <xdr:cNvPr id="1716279835" name="Chart 2">
          <a:extLst>
            <a:ext uri="{FF2B5EF4-FFF2-40B4-BE49-F238E27FC236}">
              <a16:creationId xmlns:a16="http://schemas.microsoft.com/office/drawing/2014/main" id="{00000000-0008-0000-0200-00001B5A4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47625</xdr:colOff>
      <xdr:row>6</xdr:row>
      <xdr:rowOff>19050</xdr:rowOff>
    </xdr:from>
    <xdr:ext cx="6534150" cy="2762250"/>
    <xdr:graphicFrame macro="">
      <xdr:nvGraphicFramePr>
        <xdr:cNvPr id="779152917" name="Chart 3">
          <a:extLst>
            <a:ext uri="{FF2B5EF4-FFF2-40B4-BE49-F238E27FC236}">
              <a16:creationId xmlns:a16="http://schemas.microsoft.com/office/drawing/2014/main" id="{00000000-0008-0000-0200-000015EE7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219075</xdr:colOff>
      <xdr:row>68</xdr:row>
      <xdr:rowOff>38100</xdr:rowOff>
    </xdr:from>
    <xdr:ext cx="3438525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514475" y="15506700"/>
          <a:ext cx="3438525" cy="28575"/>
          <a:chOff x="3626738" y="3765713"/>
          <a:chExt cx="3438525" cy="285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3626738" y="3765713"/>
            <a:ext cx="3438525" cy="28575"/>
            <a:chOff x="3626738" y="3775238"/>
            <a:chExt cx="3438525" cy="95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3626738" y="3775238"/>
              <a:ext cx="3438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CxnSpPr/>
          </xdr:nvCxnSpPr>
          <xdr:spPr>
            <a:xfrm rot="10800000">
              <a:off x="3626738" y="3775238"/>
              <a:ext cx="3438525" cy="9525"/>
            </a:xfrm>
            <a:prstGeom prst="straightConnector1">
              <a:avLst/>
            </a:prstGeom>
            <a:noFill/>
            <a:ln w="9525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2"/>
  <sheetViews>
    <sheetView zoomScale="25" zoomScaleNormal="25" workbookViewId="0">
      <selection sqref="A1:X78"/>
    </sheetView>
  </sheetViews>
  <sheetFormatPr defaultColWidth="14.42578125" defaultRowHeight="15" customHeight="1"/>
  <cols>
    <col min="1" max="1" width="4.42578125" customWidth="1"/>
    <col min="2" max="2" width="15" bestFit="1" customWidth="1"/>
    <col min="3" max="3" width="24.85546875" customWidth="1"/>
    <col min="4" max="4" width="14.7109375" customWidth="1"/>
    <col min="5" max="5" width="16.85546875" customWidth="1"/>
    <col min="6" max="8" width="15.140625" customWidth="1"/>
    <col min="9" max="9" width="12.42578125" customWidth="1"/>
    <col min="10" max="12" width="15.140625" customWidth="1"/>
    <col min="13" max="13" width="19.5703125" customWidth="1"/>
    <col min="14" max="14" width="8.42578125" customWidth="1"/>
    <col min="15" max="15" width="7.140625" customWidth="1"/>
    <col min="16" max="16" width="11.7109375" customWidth="1"/>
    <col min="17" max="17" width="13.28515625" bestFit="1" customWidth="1"/>
    <col min="18" max="18" width="6.85546875" customWidth="1"/>
    <col min="19" max="19" width="12.140625" bestFit="1" customWidth="1"/>
    <col min="20" max="20" width="7" customWidth="1"/>
    <col min="21" max="21" width="8.140625" customWidth="1"/>
    <col min="22" max="22" width="8.42578125" customWidth="1"/>
    <col min="23" max="23" width="32.7109375" customWidth="1"/>
    <col min="24" max="24" width="15.85546875" customWidth="1"/>
    <col min="25" max="27" width="9.140625" customWidth="1"/>
  </cols>
  <sheetData>
    <row r="1" spans="1:27" ht="15.7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2"/>
      <c r="C2" s="3"/>
      <c r="D2" s="1"/>
      <c r="E2" s="1"/>
      <c r="F2" s="1"/>
      <c r="G2" s="4" t="s">
        <v>0</v>
      </c>
      <c r="H2" s="187" t="s">
        <v>1</v>
      </c>
      <c r="I2" s="188"/>
      <c r="J2" s="189"/>
      <c r="K2" s="4" t="s">
        <v>2</v>
      </c>
      <c r="L2" s="5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8" t="s">
        <v>8</v>
      </c>
      <c r="X2" s="1"/>
      <c r="Y2" s="1"/>
      <c r="Z2" s="1"/>
      <c r="AA2" s="1"/>
    </row>
    <row r="3" spans="1:27" ht="15.75" customHeight="1">
      <c r="A3" s="1"/>
      <c r="B3" s="2"/>
      <c r="C3" s="3"/>
      <c r="D3" s="1"/>
      <c r="E3" s="1"/>
      <c r="F3" s="1"/>
      <c r="G3" s="4" t="s">
        <v>3</v>
      </c>
      <c r="H3" s="187" t="s">
        <v>4</v>
      </c>
      <c r="I3" s="188"/>
      <c r="J3" s="189"/>
      <c r="K3" s="4" t="s">
        <v>5</v>
      </c>
      <c r="L3" s="5" t="s">
        <v>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2"/>
      <c r="C4" s="3"/>
      <c r="D4" s="1"/>
      <c r="E4" s="1"/>
      <c r="F4" s="1"/>
      <c r="G4" s="4" t="s">
        <v>7</v>
      </c>
      <c r="H4" s="187">
        <v>3</v>
      </c>
      <c r="I4" s="188"/>
      <c r="J4" s="189"/>
      <c r="K4" s="6"/>
      <c r="L4" s="7"/>
      <c r="M4" s="1"/>
      <c r="N4" s="1"/>
      <c r="O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2"/>
      <c r="C5" s="3"/>
      <c r="D5" s="1"/>
      <c r="E5" s="1"/>
      <c r="F5" s="1"/>
      <c r="G5" s="4" t="s">
        <v>9</v>
      </c>
      <c r="H5" s="187" t="s">
        <v>10</v>
      </c>
      <c r="I5" s="188"/>
      <c r="J5" s="189"/>
      <c r="K5" s="6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2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90" t="str">
        <f>CONCATENATE("Grade Sheet of ",GradeSheet!$H$2, " [",GradeSheet!$H$3, "] ", "(Section ",GradeSheet!$L$2, ") ", "[Semester - ",GradeSheet!$L$3,"]" )</f>
        <v>Grade Sheet of CSE [Operating Systems] (Section 1) [Semester - Spring 2025]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4" customHeight="1">
      <c r="B8" s="9"/>
      <c r="C8" s="10"/>
      <c r="N8" s="1"/>
      <c r="O8" s="1"/>
      <c r="P8" s="11" t="s">
        <v>25</v>
      </c>
      <c r="Q8" s="12" t="s">
        <v>11</v>
      </c>
      <c r="R8" s="12" t="s">
        <v>31</v>
      </c>
      <c r="S8" s="12" t="s">
        <v>160</v>
      </c>
      <c r="T8" s="13" t="s">
        <v>159</v>
      </c>
      <c r="U8" s="14" t="s">
        <v>40</v>
      </c>
      <c r="V8" s="14" t="s">
        <v>13</v>
      </c>
      <c r="W8" s="1"/>
      <c r="X8" s="1"/>
      <c r="Y8" s="1"/>
      <c r="Z8" s="1"/>
      <c r="AA8" s="1"/>
    </row>
    <row r="9" spans="1:27" ht="31.5" customHeight="1">
      <c r="A9" s="15" t="s">
        <v>14</v>
      </c>
      <c r="B9" s="16" t="s">
        <v>15</v>
      </c>
      <c r="C9" s="174" t="s">
        <v>16</v>
      </c>
      <c r="D9" s="13" t="str">
        <f>CONCATENATE("Attendance (",GradeSheet!$C$64, ")")</f>
        <v>Attendance (0)</v>
      </c>
      <c r="E9" s="13" t="str">
        <f>CONCATENATE("Performance (",GradeSheet!$C$65, ")")</f>
        <v>Performance (0)</v>
      </c>
      <c r="F9" s="17" t="str">
        <f>CONCATENATE("Quiz (",GradeSheet!$C$66, ")")</f>
        <v>Quiz (0)</v>
      </c>
      <c r="G9" s="13" t="str">
        <f>CONCATENATE("Assignment (",GradeSheet!$C$67, ")")</f>
        <v>Assignment (0)</v>
      </c>
      <c r="H9" s="17" t="str">
        <f>CONCATENATE("Midterm (",GradeSheet!$C$68, ")")</f>
        <v>Midterm (0)</v>
      </c>
      <c r="I9" s="16" t="str">
        <f>CONCATENATE("Project (",GradeSheet!$C$69, ")")</f>
        <v>Project (0)</v>
      </c>
      <c r="J9" s="16" t="str">
        <f>CONCATENATE("Final (",GradeSheet!$C$70, ")")</f>
        <v>Final (0)</v>
      </c>
      <c r="K9" s="13" t="s">
        <v>17</v>
      </c>
      <c r="L9" s="13" t="s">
        <v>18</v>
      </c>
      <c r="M9" s="13" t="s">
        <v>19</v>
      </c>
      <c r="N9" s="18"/>
      <c r="O9" s="18"/>
      <c r="P9" s="19">
        <f>C64</f>
        <v>0</v>
      </c>
      <c r="Q9" s="19">
        <f>C65</f>
        <v>0</v>
      </c>
      <c r="R9" s="19">
        <f>C66</f>
        <v>0</v>
      </c>
      <c r="S9" s="19">
        <f>C67</f>
        <v>0</v>
      </c>
      <c r="T9" s="19">
        <f>C68</f>
        <v>0</v>
      </c>
      <c r="U9" s="19">
        <f>C69</f>
        <v>0</v>
      </c>
      <c r="V9" s="19">
        <v>40</v>
      </c>
      <c r="W9" s="20" t="s">
        <v>16</v>
      </c>
      <c r="X9" s="16" t="s">
        <v>15</v>
      </c>
      <c r="Y9" s="18"/>
      <c r="Z9" s="18"/>
      <c r="AA9" s="18"/>
    </row>
    <row r="10" spans="1:27" ht="15.75" customHeight="1">
      <c r="A10" s="21">
        <v>1</v>
      </c>
      <c r="B10" s="178">
        <f>X10</f>
        <v>0</v>
      </c>
      <c r="C10" s="23">
        <f>W10</f>
        <v>0</v>
      </c>
      <c r="D10" s="179">
        <f t="shared" ref="D10:J10" si="0">P10</f>
        <v>0</v>
      </c>
      <c r="E10" s="24">
        <f t="shared" si="0"/>
        <v>0</v>
      </c>
      <c r="F10" s="25">
        <f t="shared" si="0"/>
        <v>0</v>
      </c>
      <c r="G10" s="25">
        <f t="shared" si="0"/>
        <v>0</v>
      </c>
      <c r="H10" s="25">
        <f t="shared" si="0"/>
        <v>0</v>
      </c>
      <c r="I10" s="26">
        <f t="shared" si="0"/>
        <v>0</v>
      </c>
      <c r="J10" s="26">
        <f t="shared" si="0"/>
        <v>0</v>
      </c>
      <c r="K10" s="26">
        <f>ROUND(SUM(D10:J10),0)</f>
        <v>0</v>
      </c>
      <c r="L10" s="27">
        <f t="shared" ref="L10:L51" si="1">K10/100</f>
        <v>0</v>
      </c>
      <c r="M10" s="8" t="str">
        <f>VLOOKUP(K10,GradingPolicy!$B$2:$C$11,2)</f>
        <v>F (Fail)</v>
      </c>
      <c r="N10" s="1"/>
      <c r="O10" s="1"/>
      <c r="P10" s="28"/>
      <c r="Q10" s="29"/>
      <c r="R10" s="28"/>
      <c r="S10" s="28"/>
      <c r="T10" s="28"/>
      <c r="U10" s="28"/>
      <c r="V10" s="28"/>
      <c r="W10" s="30"/>
      <c r="X10" s="178"/>
      <c r="Y10" s="1"/>
      <c r="Z10" s="1"/>
      <c r="AA10" s="1"/>
    </row>
    <row r="11" spans="1:27" ht="15.75" customHeight="1">
      <c r="A11" s="31">
        <v>2</v>
      </c>
      <c r="B11" s="178">
        <f t="shared" ref="B11:B51" si="2">X11</f>
        <v>0</v>
      </c>
      <c r="C11" s="23">
        <f t="shared" ref="C11:C51" si="3">W11</f>
        <v>0</v>
      </c>
      <c r="D11" s="179">
        <f t="shared" ref="D11:D51" si="4">P11</f>
        <v>0</v>
      </c>
      <c r="E11" s="24">
        <f t="shared" ref="E11:E51" si="5">Q11</f>
        <v>0</v>
      </c>
      <c r="F11" s="25">
        <f t="shared" ref="F11:F51" si="6">R11</f>
        <v>0</v>
      </c>
      <c r="G11" s="25">
        <f t="shared" ref="G11:G51" si="7">S11</f>
        <v>0</v>
      </c>
      <c r="H11" s="25">
        <f t="shared" ref="H11:H51" si="8">T11</f>
        <v>0</v>
      </c>
      <c r="I11" s="26">
        <f t="shared" ref="I11:I51" si="9">U11</f>
        <v>0</v>
      </c>
      <c r="J11" s="26">
        <f t="shared" ref="J11:J51" si="10">V11</f>
        <v>0</v>
      </c>
      <c r="K11" s="26">
        <f t="shared" ref="K11:K51" si="11">ROUND(SUM(D11:J11),0)</f>
        <v>0</v>
      </c>
      <c r="L11" s="27">
        <f t="shared" si="1"/>
        <v>0</v>
      </c>
      <c r="M11" s="8" t="str">
        <f>VLOOKUP(K11,GradingPolicy!$B$2:$C$11,2)</f>
        <v>F (Fail)</v>
      </c>
      <c r="N11" s="1"/>
      <c r="O11" s="1"/>
      <c r="P11" s="28"/>
      <c r="Q11" s="29"/>
      <c r="R11" s="28"/>
      <c r="S11" s="28"/>
      <c r="T11" s="28"/>
      <c r="U11" s="28"/>
      <c r="V11" s="28"/>
      <c r="W11" s="30"/>
      <c r="X11" s="22"/>
      <c r="Y11" s="1"/>
      <c r="Z11" s="1"/>
      <c r="AA11" s="1"/>
    </row>
    <row r="12" spans="1:27" ht="15.75" customHeight="1">
      <c r="A12" s="21">
        <v>3</v>
      </c>
      <c r="B12" s="178">
        <f t="shared" si="2"/>
        <v>0</v>
      </c>
      <c r="C12" s="23">
        <f t="shared" si="3"/>
        <v>0</v>
      </c>
      <c r="D12" s="179">
        <f t="shared" si="4"/>
        <v>0</v>
      </c>
      <c r="E12" s="24">
        <f t="shared" si="5"/>
        <v>0</v>
      </c>
      <c r="F12" s="25">
        <f t="shared" si="6"/>
        <v>0</v>
      </c>
      <c r="G12" s="25">
        <f t="shared" si="7"/>
        <v>0</v>
      </c>
      <c r="H12" s="25">
        <f t="shared" si="8"/>
        <v>0</v>
      </c>
      <c r="I12" s="26">
        <f t="shared" si="9"/>
        <v>0</v>
      </c>
      <c r="J12" s="26">
        <f t="shared" si="10"/>
        <v>0</v>
      </c>
      <c r="K12" s="26">
        <f t="shared" si="11"/>
        <v>0</v>
      </c>
      <c r="L12" s="27">
        <f t="shared" si="1"/>
        <v>0</v>
      </c>
      <c r="M12" s="8" t="str">
        <f>VLOOKUP(K12,GradingPolicy!$B$2:$C$11,2)</f>
        <v>F (Fail)</v>
      </c>
      <c r="N12" s="1"/>
      <c r="O12" s="1"/>
      <c r="P12" s="28"/>
      <c r="Q12" s="29"/>
      <c r="R12" s="28"/>
      <c r="S12" s="28"/>
      <c r="T12" s="28"/>
      <c r="U12" s="28"/>
      <c r="V12" s="28"/>
      <c r="W12" s="30"/>
      <c r="X12" s="22"/>
      <c r="Y12" s="1"/>
      <c r="Z12" s="1"/>
      <c r="AA12" s="1"/>
    </row>
    <row r="13" spans="1:27" ht="15.75" customHeight="1">
      <c r="A13" s="31">
        <v>4</v>
      </c>
      <c r="B13" s="178">
        <f t="shared" si="2"/>
        <v>0</v>
      </c>
      <c r="C13" s="23">
        <f t="shared" si="3"/>
        <v>0</v>
      </c>
      <c r="D13" s="179">
        <f t="shared" si="4"/>
        <v>0</v>
      </c>
      <c r="E13" s="24">
        <f t="shared" si="5"/>
        <v>0</v>
      </c>
      <c r="F13" s="25">
        <f t="shared" si="6"/>
        <v>0</v>
      </c>
      <c r="G13" s="25">
        <f t="shared" si="7"/>
        <v>0</v>
      </c>
      <c r="H13" s="25">
        <f t="shared" si="8"/>
        <v>0</v>
      </c>
      <c r="I13" s="26">
        <f t="shared" si="9"/>
        <v>0</v>
      </c>
      <c r="J13" s="26">
        <f t="shared" si="10"/>
        <v>0</v>
      </c>
      <c r="K13" s="26">
        <f t="shared" si="11"/>
        <v>0</v>
      </c>
      <c r="L13" s="27">
        <f t="shared" si="1"/>
        <v>0</v>
      </c>
      <c r="M13" s="8" t="str">
        <f>VLOOKUP(K13,GradingPolicy!$B$2:$C$11,2)</f>
        <v>F (Fail)</v>
      </c>
      <c r="N13" s="1"/>
      <c r="O13" s="1"/>
      <c r="P13" s="28"/>
      <c r="Q13" s="29"/>
      <c r="R13" s="28"/>
      <c r="S13" s="28"/>
      <c r="T13" s="28"/>
      <c r="U13" s="28"/>
      <c r="V13" s="28"/>
      <c r="W13" s="30"/>
      <c r="X13" s="22"/>
      <c r="Y13" s="1"/>
      <c r="Z13" s="1"/>
      <c r="AA13" s="1"/>
    </row>
    <row r="14" spans="1:27" ht="15.75" customHeight="1">
      <c r="A14" s="21">
        <v>5</v>
      </c>
      <c r="B14" s="178">
        <f t="shared" si="2"/>
        <v>0</v>
      </c>
      <c r="C14" s="23">
        <f t="shared" si="3"/>
        <v>0</v>
      </c>
      <c r="D14" s="179">
        <f t="shared" si="4"/>
        <v>0</v>
      </c>
      <c r="E14" s="24">
        <f t="shared" si="5"/>
        <v>0</v>
      </c>
      <c r="F14" s="25">
        <f t="shared" si="6"/>
        <v>0</v>
      </c>
      <c r="G14" s="25">
        <f t="shared" si="7"/>
        <v>0</v>
      </c>
      <c r="H14" s="25">
        <f t="shared" si="8"/>
        <v>0</v>
      </c>
      <c r="I14" s="26">
        <f t="shared" si="9"/>
        <v>0</v>
      </c>
      <c r="J14" s="26">
        <f t="shared" si="10"/>
        <v>0</v>
      </c>
      <c r="K14" s="26">
        <f t="shared" si="11"/>
        <v>0</v>
      </c>
      <c r="L14" s="27">
        <f t="shared" si="1"/>
        <v>0</v>
      </c>
      <c r="M14" s="8" t="str">
        <f>VLOOKUP(K14,GradingPolicy!$B$2:$C$11,2)</f>
        <v>F (Fail)</v>
      </c>
      <c r="N14" s="1"/>
      <c r="O14" s="1"/>
      <c r="P14" s="28"/>
      <c r="Q14" s="29"/>
      <c r="R14" s="28"/>
      <c r="S14" s="28"/>
      <c r="T14" s="28"/>
      <c r="U14" s="28"/>
      <c r="V14" s="28"/>
      <c r="W14" s="30"/>
      <c r="X14" s="22"/>
      <c r="Y14" s="1"/>
      <c r="Z14" s="1"/>
      <c r="AA14" s="1"/>
    </row>
    <row r="15" spans="1:27" ht="15.75" customHeight="1">
      <c r="A15" s="31">
        <v>6</v>
      </c>
      <c r="B15" s="178">
        <f t="shared" si="2"/>
        <v>0</v>
      </c>
      <c r="C15" s="23">
        <f t="shared" si="3"/>
        <v>0</v>
      </c>
      <c r="D15" s="179">
        <f t="shared" si="4"/>
        <v>0</v>
      </c>
      <c r="E15" s="24">
        <f t="shared" si="5"/>
        <v>0</v>
      </c>
      <c r="F15" s="25">
        <f t="shared" si="6"/>
        <v>0</v>
      </c>
      <c r="G15" s="25">
        <f t="shared" si="7"/>
        <v>0</v>
      </c>
      <c r="H15" s="25">
        <f t="shared" si="8"/>
        <v>0</v>
      </c>
      <c r="I15" s="26">
        <f t="shared" si="9"/>
        <v>0</v>
      </c>
      <c r="J15" s="26">
        <f t="shared" si="10"/>
        <v>0</v>
      </c>
      <c r="K15" s="26">
        <f t="shared" si="11"/>
        <v>0</v>
      </c>
      <c r="L15" s="27">
        <f t="shared" si="1"/>
        <v>0</v>
      </c>
      <c r="M15" s="8" t="str">
        <f>VLOOKUP(K15,GradingPolicy!$B$2:$C$11,2)</f>
        <v>F (Fail)</v>
      </c>
      <c r="N15" s="1"/>
      <c r="O15" s="1"/>
      <c r="P15" s="28"/>
      <c r="Q15" s="29"/>
      <c r="R15" s="28"/>
      <c r="S15" s="28"/>
      <c r="T15" s="28"/>
      <c r="U15" s="28"/>
      <c r="V15" s="28"/>
      <c r="W15" s="30"/>
      <c r="X15" s="22"/>
      <c r="Y15" s="1"/>
      <c r="Z15" s="1"/>
      <c r="AA15" s="1"/>
    </row>
    <row r="16" spans="1:27" ht="15.75" customHeight="1">
      <c r="A16" s="21">
        <v>7</v>
      </c>
      <c r="B16" s="178">
        <f t="shared" si="2"/>
        <v>0</v>
      </c>
      <c r="C16" s="23">
        <f t="shared" si="3"/>
        <v>0</v>
      </c>
      <c r="D16" s="179">
        <f t="shared" si="4"/>
        <v>0</v>
      </c>
      <c r="E16" s="24">
        <f t="shared" si="5"/>
        <v>0</v>
      </c>
      <c r="F16" s="25">
        <f t="shared" si="6"/>
        <v>0</v>
      </c>
      <c r="G16" s="25">
        <f t="shared" si="7"/>
        <v>0</v>
      </c>
      <c r="H16" s="25">
        <f t="shared" si="8"/>
        <v>0</v>
      </c>
      <c r="I16" s="26">
        <f t="shared" si="9"/>
        <v>0</v>
      </c>
      <c r="J16" s="26">
        <f t="shared" si="10"/>
        <v>0</v>
      </c>
      <c r="K16" s="26">
        <f t="shared" si="11"/>
        <v>0</v>
      </c>
      <c r="L16" s="27">
        <f t="shared" si="1"/>
        <v>0</v>
      </c>
      <c r="M16" s="8" t="str">
        <f>VLOOKUP(K16,GradingPolicy!$B$2:$C$11,2)</f>
        <v>F (Fail)</v>
      </c>
      <c r="N16" s="1"/>
      <c r="O16" s="1"/>
      <c r="P16" s="28"/>
      <c r="Q16" s="29"/>
      <c r="R16" s="28"/>
      <c r="S16" s="28"/>
      <c r="T16" s="28"/>
      <c r="U16" s="28"/>
      <c r="V16" s="28"/>
      <c r="W16" s="30"/>
      <c r="X16" s="22"/>
      <c r="Y16" s="1"/>
      <c r="Z16" s="1"/>
      <c r="AA16" s="1"/>
    </row>
    <row r="17" spans="1:27" ht="15.75" customHeight="1">
      <c r="A17" s="31">
        <v>8</v>
      </c>
      <c r="B17" s="178">
        <f t="shared" si="2"/>
        <v>0</v>
      </c>
      <c r="C17" s="23">
        <f t="shared" si="3"/>
        <v>0</v>
      </c>
      <c r="D17" s="179">
        <f t="shared" si="4"/>
        <v>0</v>
      </c>
      <c r="E17" s="24">
        <f t="shared" si="5"/>
        <v>0</v>
      </c>
      <c r="F17" s="25">
        <f t="shared" si="6"/>
        <v>0</v>
      </c>
      <c r="G17" s="25">
        <f t="shared" si="7"/>
        <v>0</v>
      </c>
      <c r="H17" s="25">
        <f t="shared" si="8"/>
        <v>0</v>
      </c>
      <c r="I17" s="26">
        <f t="shared" si="9"/>
        <v>0</v>
      </c>
      <c r="J17" s="26">
        <f t="shared" si="10"/>
        <v>0</v>
      </c>
      <c r="K17" s="26">
        <f t="shared" si="11"/>
        <v>0</v>
      </c>
      <c r="L17" s="27">
        <f t="shared" si="1"/>
        <v>0</v>
      </c>
      <c r="M17" s="8" t="str">
        <f>VLOOKUP(K17,GradingPolicy!$B$2:$C$11,2)</f>
        <v>F (Fail)</v>
      </c>
      <c r="N17" s="1"/>
      <c r="O17" s="1"/>
      <c r="P17" s="28"/>
      <c r="Q17" s="29"/>
      <c r="R17" s="28"/>
      <c r="S17" s="28"/>
      <c r="T17" s="28"/>
      <c r="U17" s="28"/>
      <c r="V17" s="28"/>
      <c r="W17" s="30"/>
      <c r="X17" s="22"/>
      <c r="Y17" s="1"/>
      <c r="Z17" s="1"/>
      <c r="AA17" s="1"/>
    </row>
    <row r="18" spans="1:27" ht="15.75" customHeight="1">
      <c r="A18" s="21">
        <v>9</v>
      </c>
      <c r="B18" s="178">
        <f t="shared" si="2"/>
        <v>0</v>
      </c>
      <c r="C18" s="23">
        <f t="shared" si="3"/>
        <v>0</v>
      </c>
      <c r="D18" s="179">
        <f t="shared" si="4"/>
        <v>0</v>
      </c>
      <c r="E18" s="24">
        <f t="shared" si="5"/>
        <v>0</v>
      </c>
      <c r="F18" s="25">
        <f t="shared" si="6"/>
        <v>0</v>
      </c>
      <c r="G18" s="25">
        <f t="shared" si="7"/>
        <v>0</v>
      </c>
      <c r="H18" s="25">
        <f t="shared" si="8"/>
        <v>0</v>
      </c>
      <c r="I18" s="26">
        <f t="shared" si="9"/>
        <v>0</v>
      </c>
      <c r="J18" s="26">
        <f t="shared" si="10"/>
        <v>0</v>
      </c>
      <c r="K18" s="26">
        <f t="shared" si="11"/>
        <v>0</v>
      </c>
      <c r="L18" s="27">
        <f t="shared" si="1"/>
        <v>0</v>
      </c>
      <c r="M18" s="8" t="str">
        <f>VLOOKUP(K18,GradingPolicy!$B$2:$C$11,2)</f>
        <v>F (Fail)</v>
      </c>
      <c r="N18" s="1"/>
      <c r="O18" s="1"/>
      <c r="P18" s="28"/>
      <c r="Q18" s="29"/>
      <c r="R18" s="28"/>
      <c r="S18" s="28"/>
      <c r="T18" s="28"/>
      <c r="U18" s="28"/>
      <c r="V18" s="28"/>
      <c r="W18" s="30"/>
      <c r="X18" s="22"/>
      <c r="Y18" s="1"/>
      <c r="Z18" s="1"/>
      <c r="AA18" s="1"/>
    </row>
    <row r="19" spans="1:27" ht="15.75" customHeight="1">
      <c r="A19" s="31">
        <v>10</v>
      </c>
      <c r="B19" s="178">
        <f t="shared" si="2"/>
        <v>0</v>
      </c>
      <c r="C19" s="23">
        <f t="shared" si="3"/>
        <v>0</v>
      </c>
      <c r="D19" s="179">
        <f t="shared" si="4"/>
        <v>0</v>
      </c>
      <c r="E19" s="24">
        <f t="shared" si="5"/>
        <v>0</v>
      </c>
      <c r="F19" s="25">
        <f t="shared" si="6"/>
        <v>0</v>
      </c>
      <c r="G19" s="25">
        <f t="shared" si="7"/>
        <v>0</v>
      </c>
      <c r="H19" s="25">
        <f t="shared" si="8"/>
        <v>0</v>
      </c>
      <c r="I19" s="26">
        <f t="shared" si="9"/>
        <v>0</v>
      </c>
      <c r="J19" s="26">
        <f t="shared" si="10"/>
        <v>0</v>
      </c>
      <c r="K19" s="26">
        <f t="shared" si="11"/>
        <v>0</v>
      </c>
      <c r="L19" s="27">
        <f t="shared" si="1"/>
        <v>0</v>
      </c>
      <c r="M19" s="8" t="str">
        <f>VLOOKUP(K19,GradingPolicy!$B$2:$C$11,2)</f>
        <v>F (Fail)</v>
      </c>
      <c r="N19" s="1"/>
      <c r="O19" s="1"/>
      <c r="P19" s="28"/>
      <c r="Q19" s="29"/>
      <c r="R19" s="28"/>
      <c r="S19" s="28"/>
      <c r="T19" s="28"/>
      <c r="U19" s="28"/>
      <c r="V19" s="28"/>
      <c r="W19" s="30"/>
      <c r="X19" s="32"/>
      <c r="Y19" s="1"/>
      <c r="Z19" s="1"/>
      <c r="AA19" s="1"/>
    </row>
    <row r="20" spans="1:27" ht="15.75" customHeight="1">
      <c r="A20" s="21">
        <v>11</v>
      </c>
      <c r="B20" s="178">
        <f t="shared" si="2"/>
        <v>0</v>
      </c>
      <c r="C20" s="23">
        <f t="shared" si="3"/>
        <v>0</v>
      </c>
      <c r="D20" s="179">
        <f t="shared" si="4"/>
        <v>0</v>
      </c>
      <c r="E20" s="24">
        <f t="shared" si="5"/>
        <v>0</v>
      </c>
      <c r="F20" s="25">
        <f t="shared" si="6"/>
        <v>0</v>
      </c>
      <c r="G20" s="25">
        <f t="shared" si="7"/>
        <v>0</v>
      </c>
      <c r="H20" s="25">
        <f t="shared" si="8"/>
        <v>0</v>
      </c>
      <c r="I20" s="26">
        <f t="shared" si="9"/>
        <v>0</v>
      </c>
      <c r="J20" s="26">
        <f t="shared" si="10"/>
        <v>0</v>
      </c>
      <c r="K20" s="26">
        <f t="shared" si="11"/>
        <v>0</v>
      </c>
      <c r="L20" s="27">
        <f t="shared" si="1"/>
        <v>0</v>
      </c>
      <c r="M20" s="8" t="str">
        <f>VLOOKUP(K20,GradingPolicy!$B$2:$C$11,2)</f>
        <v>F (Fail)</v>
      </c>
      <c r="N20" s="1"/>
      <c r="O20" s="1"/>
      <c r="P20" s="28"/>
      <c r="Q20" s="29"/>
      <c r="R20" s="28"/>
      <c r="S20" s="28"/>
      <c r="T20" s="28"/>
      <c r="U20" s="28"/>
      <c r="V20" s="28"/>
      <c r="W20" s="30"/>
      <c r="X20" s="22"/>
      <c r="Y20" s="1"/>
      <c r="Z20" s="1"/>
      <c r="AA20" s="1"/>
    </row>
    <row r="21" spans="1:27" ht="15.75" customHeight="1">
      <c r="A21" s="31">
        <v>12</v>
      </c>
      <c r="B21" s="178">
        <f t="shared" si="2"/>
        <v>0</v>
      </c>
      <c r="C21" s="23">
        <f t="shared" si="3"/>
        <v>0</v>
      </c>
      <c r="D21" s="179">
        <f t="shared" si="4"/>
        <v>0</v>
      </c>
      <c r="E21" s="24">
        <f t="shared" si="5"/>
        <v>0</v>
      </c>
      <c r="F21" s="25">
        <f t="shared" si="6"/>
        <v>0</v>
      </c>
      <c r="G21" s="25">
        <f t="shared" si="7"/>
        <v>0</v>
      </c>
      <c r="H21" s="25">
        <f t="shared" si="8"/>
        <v>0</v>
      </c>
      <c r="I21" s="26">
        <f t="shared" si="9"/>
        <v>0</v>
      </c>
      <c r="J21" s="26">
        <f t="shared" si="10"/>
        <v>0</v>
      </c>
      <c r="K21" s="26">
        <f t="shared" si="11"/>
        <v>0</v>
      </c>
      <c r="L21" s="27">
        <f t="shared" si="1"/>
        <v>0</v>
      </c>
      <c r="M21" s="8" t="str">
        <f>VLOOKUP(K21,GradingPolicy!$B$2:$C$11,2)</f>
        <v>F (Fail)</v>
      </c>
      <c r="N21" s="1"/>
      <c r="O21" s="1"/>
      <c r="P21" s="28"/>
      <c r="Q21" s="29"/>
      <c r="R21" s="28"/>
      <c r="S21" s="28"/>
      <c r="T21" s="28"/>
      <c r="U21" s="28"/>
      <c r="V21" s="28"/>
      <c r="W21" s="30"/>
      <c r="X21" s="22"/>
      <c r="Y21" s="1"/>
      <c r="Z21" s="1"/>
      <c r="AA21" s="1"/>
    </row>
    <row r="22" spans="1:27" ht="15.75" customHeight="1">
      <c r="A22" s="21">
        <v>13</v>
      </c>
      <c r="B22" s="178">
        <f t="shared" si="2"/>
        <v>0</v>
      </c>
      <c r="C22" s="23">
        <f t="shared" si="3"/>
        <v>0</v>
      </c>
      <c r="D22" s="179">
        <f t="shared" si="4"/>
        <v>0</v>
      </c>
      <c r="E22" s="24">
        <f t="shared" si="5"/>
        <v>0</v>
      </c>
      <c r="F22" s="25">
        <f t="shared" si="6"/>
        <v>0</v>
      </c>
      <c r="G22" s="25">
        <f t="shared" si="7"/>
        <v>0</v>
      </c>
      <c r="H22" s="25">
        <f t="shared" si="8"/>
        <v>0</v>
      </c>
      <c r="I22" s="26">
        <f t="shared" si="9"/>
        <v>0</v>
      </c>
      <c r="J22" s="26">
        <f t="shared" si="10"/>
        <v>0</v>
      </c>
      <c r="K22" s="26">
        <f t="shared" si="11"/>
        <v>0</v>
      </c>
      <c r="L22" s="27">
        <f t="shared" si="1"/>
        <v>0</v>
      </c>
      <c r="M22" s="8" t="str">
        <f>VLOOKUP(K22,GradingPolicy!$B$2:$C$11,2)</f>
        <v>F (Fail)</v>
      </c>
      <c r="N22" s="1"/>
      <c r="O22" s="1"/>
      <c r="P22" s="28"/>
      <c r="Q22" s="29"/>
      <c r="R22" s="28"/>
      <c r="S22" s="28"/>
      <c r="T22" s="28"/>
      <c r="U22" s="28"/>
      <c r="V22" s="28"/>
      <c r="W22" s="30"/>
      <c r="X22" s="22"/>
      <c r="Y22" s="1"/>
      <c r="Z22" s="1"/>
      <c r="AA22" s="1"/>
    </row>
    <row r="23" spans="1:27" ht="15.75" customHeight="1">
      <c r="A23" s="31">
        <v>14</v>
      </c>
      <c r="B23" s="178">
        <f t="shared" si="2"/>
        <v>0</v>
      </c>
      <c r="C23" s="23">
        <f t="shared" si="3"/>
        <v>0</v>
      </c>
      <c r="D23" s="179">
        <f t="shared" si="4"/>
        <v>0</v>
      </c>
      <c r="E23" s="24">
        <f t="shared" si="5"/>
        <v>0</v>
      </c>
      <c r="F23" s="25">
        <f t="shared" si="6"/>
        <v>0</v>
      </c>
      <c r="G23" s="25">
        <f t="shared" si="7"/>
        <v>0</v>
      </c>
      <c r="H23" s="25">
        <f t="shared" si="8"/>
        <v>0</v>
      </c>
      <c r="I23" s="26">
        <f t="shared" si="9"/>
        <v>0</v>
      </c>
      <c r="J23" s="26">
        <f t="shared" si="10"/>
        <v>0</v>
      </c>
      <c r="K23" s="26">
        <f t="shared" si="11"/>
        <v>0</v>
      </c>
      <c r="L23" s="27">
        <f t="shared" si="1"/>
        <v>0</v>
      </c>
      <c r="M23" s="8" t="str">
        <f>VLOOKUP(K23,GradingPolicy!$B$2:$C$11,2)</f>
        <v>F (Fail)</v>
      </c>
      <c r="N23" s="1"/>
      <c r="O23" s="1"/>
      <c r="P23" s="28"/>
      <c r="Q23" s="29"/>
      <c r="R23" s="28"/>
      <c r="S23" s="28"/>
      <c r="T23" s="28"/>
      <c r="U23" s="28"/>
      <c r="V23" s="28"/>
      <c r="W23" s="30"/>
      <c r="X23" s="22"/>
      <c r="Y23" s="1"/>
      <c r="Z23" s="1"/>
      <c r="AA23" s="1"/>
    </row>
    <row r="24" spans="1:27" ht="15.75" customHeight="1">
      <c r="A24" s="21">
        <v>15</v>
      </c>
      <c r="B24" s="178">
        <f t="shared" si="2"/>
        <v>0</v>
      </c>
      <c r="C24" s="23">
        <f t="shared" si="3"/>
        <v>0</v>
      </c>
      <c r="D24" s="179">
        <f t="shared" si="4"/>
        <v>0</v>
      </c>
      <c r="E24" s="24">
        <f t="shared" si="5"/>
        <v>0</v>
      </c>
      <c r="F24" s="25">
        <f t="shared" si="6"/>
        <v>0</v>
      </c>
      <c r="G24" s="25">
        <f t="shared" si="7"/>
        <v>0</v>
      </c>
      <c r="H24" s="25">
        <f t="shared" si="8"/>
        <v>0</v>
      </c>
      <c r="I24" s="26">
        <f t="shared" si="9"/>
        <v>0</v>
      </c>
      <c r="J24" s="26">
        <f t="shared" si="10"/>
        <v>0</v>
      </c>
      <c r="K24" s="26">
        <f t="shared" si="11"/>
        <v>0</v>
      </c>
      <c r="L24" s="27">
        <f t="shared" si="1"/>
        <v>0</v>
      </c>
      <c r="M24" s="8" t="str">
        <f>VLOOKUP(K24,GradingPolicy!$B$2:$C$11,2)</f>
        <v>F (Fail)</v>
      </c>
      <c r="N24" s="1"/>
      <c r="O24" s="1"/>
      <c r="P24" s="28"/>
      <c r="Q24" s="29"/>
      <c r="R24" s="28"/>
      <c r="S24" s="28"/>
      <c r="T24" s="28"/>
      <c r="U24" s="28"/>
      <c r="V24" s="28"/>
      <c r="W24" s="30"/>
      <c r="X24" s="22"/>
      <c r="Y24" s="1"/>
      <c r="Z24" s="1"/>
      <c r="AA24" s="1"/>
    </row>
    <row r="25" spans="1:27" ht="15.75" customHeight="1">
      <c r="A25" s="31">
        <v>16</v>
      </c>
      <c r="B25" s="178">
        <f t="shared" si="2"/>
        <v>0</v>
      </c>
      <c r="C25" s="23">
        <f t="shared" si="3"/>
        <v>0</v>
      </c>
      <c r="D25" s="179">
        <f t="shared" si="4"/>
        <v>0</v>
      </c>
      <c r="E25" s="24">
        <f t="shared" si="5"/>
        <v>0</v>
      </c>
      <c r="F25" s="25">
        <f t="shared" si="6"/>
        <v>0</v>
      </c>
      <c r="G25" s="25">
        <f t="shared" si="7"/>
        <v>0</v>
      </c>
      <c r="H25" s="25">
        <f t="shared" si="8"/>
        <v>0</v>
      </c>
      <c r="I25" s="26">
        <f t="shared" si="9"/>
        <v>0</v>
      </c>
      <c r="J25" s="26">
        <f t="shared" si="10"/>
        <v>0</v>
      </c>
      <c r="K25" s="26">
        <f t="shared" si="11"/>
        <v>0</v>
      </c>
      <c r="L25" s="27">
        <f t="shared" si="1"/>
        <v>0</v>
      </c>
      <c r="M25" s="8" t="str">
        <f>VLOOKUP(K25,GradingPolicy!$B$2:$C$11,2)</f>
        <v>F (Fail)</v>
      </c>
      <c r="N25" s="1"/>
      <c r="O25" s="1"/>
      <c r="P25" s="28"/>
      <c r="Q25" s="29"/>
      <c r="R25" s="28"/>
      <c r="S25" s="28"/>
      <c r="T25" s="28"/>
      <c r="U25" s="28"/>
      <c r="V25" s="28"/>
      <c r="W25" s="30"/>
      <c r="X25" s="22"/>
      <c r="Y25" s="1"/>
      <c r="Z25" s="1"/>
      <c r="AA25" s="1"/>
    </row>
    <row r="26" spans="1:27" ht="15.75" customHeight="1">
      <c r="A26" s="21">
        <v>17</v>
      </c>
      <c r="B26" s="178">
        <f t="shared" si="2"/>
        <v>0</v>
      </c>
      <c r="C26" s="23">
        <f t="shared" si="3"/>
        <v>0</v>
      </c>
      <c r="D26" s="179">
        <f t="shared" si="4"/>
        <v>0</v>
      </c>
      <c r="E26" s="24">
        <f t="shared" si="5"/>
        <v>0</v>
      </c>
      <c r="F26" s="25">
        <f t="shared" si="6"/>
        <v>0</v>
      </c>
      <c r="G26" s="25">
        <f t="shared" si="7"/>
        <v>0</v>
      </c>
      <c r="H26" s="25">
        <f t="shared" si="8"/>
        <v>0</v>
      </c>
      <c r="I26" s="26">
        <f t="shared" si="9"/>
        <v>0</v>
      </c>
      <c r="J26" s="26">
        <f t="shared" si="10"/>
        <v>0</v>
      </c>
      <c r="K26" s="26">
        <f t="shared" si="11"/>
        <v>0</v>
      </c>
      <c r="L26" s="27">
        <f t="shared" si="1"/>
        <v>0</v>
      </c>
      <c r="M26" s="8" t="str">
        <f>VLOOKUP(K26,GradingPolicy!$B$2:$C$11,2)</f>
        <v>F (Fail)</v>
      </c>
      <c r="N26" s="1"/>
      <c r="O26" s="1"/>
      <c r="P26" s="28"/>
      <c r="Q26" s="29"/>
      <c r="R26" s="28"/>
      <c r="S26" s="28"/>
      <c r="T26" s="28"/>
      <c r="U26" s="28"/>
      <c r="V26" s="28"/>
      <c r="W26" s="30"/>
      <c r="X26" s="22"/>
      <c r="Y26" s="1"/>
      <c r="Z26" s="1"/>
      <c r="AA26" s="1"/>
    </row>
    <row r="27" spans="1:27" ht="15.75" customHeight="1">
      <c r="A27" s="31">
        <v>18</v>
      </c>
      <c r="B27" s="178">
        <f t="shared" si="2"/>
        <v>0</v>
      </c>
      <c r="C27" s="23">
        <f t="shared" si="3"/>
        <v>0</v>
      </c>
      <c r="D27" s="179">
        <f t="shared" si="4"/>
        <v>0</v>
      </c>
      <c r="E27" s="24">
        <f t="shared" si="5"/>
        <v>0</v>
      </c>
      <c r="F27" s="25">
        <f t="shared" si="6"/>
        <v>0</v>
      </c>
      <c r="G27" s="25">
        <f t="shared" si="7"/>
        <v>0</v>
      </c>
      <c r="H27" s="25">
        <f t="shared" si="8"/>
        <v>0</v>
      </c>
      <c r="I27" s="26">
        <f t="shared" si="9"/>
        <v>0</v>
      </c>
      <c r="J27" s="26">
        <f t="shared" si="10"/>
        <v>0</v>
      </c>
      <c r="K27" s="26">
        <f t="shared" si="11"/>
        <v>0</v>
      </c>
      <c r="L27" s="27">
        <f t="shared" si="1"/>
        <v>0</v>
      </c>
      <c r="M27" s="8" t="str">
        <f>VLOOKUP(K27,GradingPolicy!$B$2:$C$11,2)</f>
        <v>F (Fail)</v>
      </c>
      <c r="N27" s="1"/>
      <c r="O27" s="1"/>
      <c r="P27" s="28"/>
      <c r="Q27" s="29"/>
      <c r="R27" s="28"/>
      <c r="S27" s="28"/>
      <c r="T27" s="28"/>
      <c r="U27" s="28"/>
      <c r="V27" s="28"/>
      <c r="W27" s="30"/>
      <c r="X27" s="22"/>
      <c r="Y27" s="1"/>
      <c r="Z27" s="1"/>
      <c r="AA27" s="1"/>
    </row>
    <row r="28" spans="1:27" ht="15.75" customHeight="1">
      <c r="A28" s="21">
        <v>19</v>
      </c>
      <c r="B28" s="178">
        <f t="shared" si="2"/>
        <v>0</v>
      </c>
      <c r="C28" s="23">
        <f t="shared" si="3"/>
        <v>0</v>
      </c>
      <c r="D28" s="179">
        <f t="shared" si="4"/>
        <v>0</v>
      </c>
      <c r="E28" s="24">
        <f t="shared" si="5"/>
        <v>0</v>
      </c>
      <c r="F28" s="25">
        <f t="shared" si="6"/>
        <v>0</v>
      </c>
      <c r="G28" s="25">
        <f t="shared" si="7"/>
        <v>0</v>
      </c>
      <c r="H28" s="25">
        <f t="shared" si="8"/>
        <v>0</v>
      </c>
      <c r="I28" s="26">
        <f t="shared" si="9"/>
        <v>0</v>
      </c>
      <c r="J28" s="26">
        <f t="shared" si="10"/>
        <v>0</v>
      </c>
      <c r="K28" s="26">
        <f t="shared" si="11"/>
        <v>0</v>
      </c>
      <c r="L28" s="27">
        <f t="shared" si="1"/>
        <v>0</v>
      </c>
      <c r="M28" s="8" t="str">
        <f>VLOOKUP(K28,GradingPolicy!$B$2:$C$11,2)</f>
        <v>F (Fail)</v>
      </c>
      <c r="N28" s="1"/>
      <c r="O28" s="1"/>
      <c r="P28" s="28"/>
      <c r="Q28" s="29"/>
      <c r="R28" s="28"/>
      <c r="S28" s="28"/>
      <c r="T28" s="28"/>
      <c r="U28" s="28"/>
      <c r="V28" s="28"/>
      <c r="W28" s="30"/>
      <c r="X28" s="22"/>
      <c r="Y28" s="1"/>
      <c r="Z28" s="1"/>
      <c r="AA28" s="1"/>
    </row>
    <row r="29" spans="1:27" ht="15.75" customHeight="1">
      <c r="A29" s="31">
        <v>20</v>
      </c>
      <c r="B29" s="178">
        <f t="shared" si="2"/>
        <v>0</v>
      </c>
      <c r="C29" s="23">
        <f t="shared" si="3"/>
        <v>0</v>
      </c>
      <c r="D29" s="179">
        <f t="shared" si="4"/>
        <v>0</v>
      </c>
      <c r="E29" s="24">
        <f t="shared" si="5"/>
        <v>0</v>
      </c>
      <c r="F29" s="25">
        <f t="shared" si="6"/>
        <v>0</v>
      </c>
      <c r="G29" s="25">
        <f t="shared" si="7"/>
        <v>0</v>
      </c>
      <c r="H29" s="25">
        <f t="shared" si="8"/>
        <v>0</v>
      </c>
      <c r="I29" s="26">
        <f t="shared" si="9"/>
        <v>0</v>
      </c>
      <c r="J29" s="26">
        <f t="shared" si="10"/>
        <v>0</v>
      </c>
      <c r="K29" s="26">
        <f t="shared" si="11"/>
        <v>0</v>
      </c>
      <c r="L29" s="27">
        <f t="shared" si="1"/>
        <v>0</v>
      </c>
      <c r="M29" s="8" t="str">
        <f>VLOOKUP(K29,GradingPolicy!$B$2:$C$11,2)</f>
        <v>F (Fail)</v>
      </c>
      <c r="N29" s="1"/>
      <c r="O29" s="1"/>
      <c r="P29" s="28"/>
      <c r="Q29" s="29"/>
      <c r="R29" s="28"/>
      <c r="S29" s="28"/>
      <c r="T29" s="28"/>
      <c r="U29" s="28"/>
      <c r="V29" s="28"/>
      <c r="W29" s="30"/>
      <c r="X29" s="22"/>
      <c r="Y29" s="1"/>
      <c r="Z29" s="1"/>
      <c r="AA29" s="1"/>
    </row>
    <row r="30" spans="1:27" ht="15.75" customHeight="1">
      <c r="A30" s="21">
        <v>21</v>
      </c>
      <c r="B30" s="178">
        <f t="shared" si="2"/>
        <v>0</v>
      </c>
      <c r="C30" s="23">
        <f t="shared" si="3"/>
        <v>0</v>
      </c>
      <c r="D30" s="179">
        <f t="shared" si="4"/>
        <v>0</v>
      </c>
      <c r="E30" s="24">
        <f t="shared" si="5"/>
        <v>0</v>
      </c>
      <c r="F30" s="25">
        <f t="shared" si="6"/>
        <v>0</v>
      </c>
      <c r="G30" s="25">
        <f t="shared" si="7"/>
        <v>0</v>
      </c>
      <c r="H30" s="25">
        <f t="shared" si="8"/>
        <v>0</v>
      </c>
      <c r="I30" s="26">
        <f t="shared" si="9"/>
        <v>0</v>
      </c>
      <c r="J30" s="26">
        <f t="shared" si="10"/>
        <v>0</v>
      </c>
      <c r="K30" s="26">
        <f t="shared" si="11"/>
        <v>0</v>
      </c>
      <c r="L30" s="27">
        <f t="shared" si="1"/>
        <v>0</v>
      </c>
      <c r="M30" s="8" t="str">
        <f>VLOOKUP(K30,GradingPolicy!$B$2:$C$11,2)</f>
        <v>F (Fail)</v>
      </c>
      <c r="N30" s="1"/>
      <c r="O30" s="1"/>
      <c r="P30" s="28"/>
      <c r="Q30" s="29"/>
      <c r="R30" s="28"/>
      <c r="S30" s="28"/>
      <c r="T30" s="28"/>
      <c r="U30" s="28"/>
      <c r="V30" s="28"/>
      <c r="W30" s="30"/>
      <c r="X30" s="22"/>
      <c r="Y30" s="1"/>
      <c r="Z30" s="1"/>
      <c r="AA30" s="1"/>
    </row>
    <row r="31" spans="1:27" ht="15.75" customHeight="1">
      <c r="A31" s="31">
        <v>22</v>
      </c>
      <c r="B31" s="178">
        <f t="shared" si="2"/>
        <v>0</v>
      </c>
      <c r="C31" s="23">
        <f t="shared" si="3"/>
        <v>0</v>
      </c>
      <c r="D31" s="179">
        <f t="shared" si="4"/>
        <v>0</v>
      </c>
      <c r="E31" s="24">
        <f t="shared" si="5"/>
        <v>0</v>
      </c>
      <c r="F31" s="25">
        <f t="shared" si="6"/>
        <v>0</v>
      </c>
      <c r="G31" s="25">
        <f t="shared" si="7"/>
        <v>0</v>
      </c>
      <c r="H31" s="25">
        <f t="shared" si="8"/>
        <v>0</v>
      </c>
      <c r="I31" s="26">
        <f t="shared" si="9"/>
        <v>0</v>
      </c>
      <c r="J31" s="26">
        <f t="shared" si="10"/>
        <v>0</v>
      </c>
      <c r="K31" s="26">
        <f t="shared" si="11"/>
        <v>0</v>
      </c>
      <c r="L31" s="27">
        <f t="shared" si="1"/>
        <v>0</v>
      </c>
      <c r="M31" s="8" t="str">
        <f>VLOOKUP(K31,GradingPolicy!$B$2:$C$11,2)</f>
        <v>F (Fail)</v>
      </c>
      <c r="N31" s="1"/>
      <c r="O31" s="1"/>
      <c r="P31" s="28"/>
      <c r="Q31" s="29"/>
      <c r="R31" s="28"/>
      <c r="S31" s="28"/>
      <c r="T31" s="28"/>
      <c r="U31" s="28"/>
      <c r="V31" s="28"/>
      <c r="W31" s="30"/>
      <c r="X31" s="22"/>
      <c r="Y31" s="1"/>
      <c r="Z31" s="1"/>
      <c r="AA31" s="1"/>
    </row>
    <row r="32" spans="1:27" ht="15.75" customHeight="1">
      <c r="A32" s="21">
        <v>23</v>
      </c>
      <c r="B32" s="178">
        <f t="shared" si="2"/>
        <v>0</v>
      </c>
      <c r="C32" s="23">
        <f t="shared" si="3"/>
        <v>0</v>
      </c>
      <c r="D32" s="179">
        <f t="shared" si="4"/>
        <v>0</v>
      </c>
      <c r="E32" s="24">
        <f t="shared" si="5"/>
        <v>0</v>
      </c>
      <c r="F32" s="25">
        <f t="shared" si="6"/>
        <v>0</v>
      </c>
      <c r="G32" s="25">
        <f t="shared" si="7"/>
        <v>0</v>
      </c>
      <c r="H32" s="25">
        <f t="shared" si="8"/>
        <v>0</v>
      </c>
      <c r="I32" s="26">
        <f t="shared" si="9"/>
        <v>0</v>
      </c>
      <c r="J32" s="26">
        <f t="shared" si="10"/>
        <v>0</v>
      </c>
      <c r="K32" s="26">
        <f t="shared" si="11"/>
        <v>0</v>
      </c>
      <c r="L32" s="27">
        <f t="shared" si="1"/>
        <v>0</v>
      </c>
      <c r="M32" s="8" t="str">
        <f>VLOOKUP(K32,GradingPolicy!$B$2:$C$11,2)</f>
        <v>F (Fail)</v>
      </c>
      <c r="N32" s="1"/>
      <c r="O32" s="1"/>
      <c r="P32" s="28"/>
      <c r="Q32" s="29"/>
      <c r="R32" s="28"/>
      <c r="S32" s="28"/>
      <c r="T32" s="28"/>
      <c r="U32" s="28"/>
      <c r="V32" s="28"/>
      <c r="W32" s="30"/>
      <c r="X32" s="22"/>
      <c r="Y32" s="1"/>
      <c r="Z32" s="1"/>
      <c r="AA32" s="1"/>
    </row>
    <row r="33" spans="1:27" ht="15.75" customHeight="1">
      <c r="A33" s="31">
        <v>24</v>
      </c>
      <c r="B33" s="178">
        <f t="shared" si="2"/>
        <v>0</v>
      </c>
      <c r="C33" s="23">
        <f t="shared" si="3"/>
        <v>0</v>
      </c>
      <c r="D33" s="179">
        <f t="shared" si="4"/>
        <v>0</v>
      </c>
      <c r="E33" s="24">
        <f t="shared" si="5"/>
        <v>0</v>
      </c>
      <c r="F33" s="25">
        <f t="shared" si="6"/>
        <v>0</v>
      </c>
      <c r="G33" s="25">
        <f t="shared" si="7"/>
        <v>0</v>
      </c>
      <c r="H33" s="25">
        <f t="shared" si="8"/>
        <v>0</v>
      </c>
      <c r="I33" s="26">
        <f t="shared" si="9"/>
        <v>0</v>
      </c>
      <c r="J33" s="26">
        <f t="shared" si="10"/>
        <v>0</v>
      </c>
      <c r="K33" s="26">
        <f t="shared" si="11"/>
        <v>0</v>
      </c>
      <c r="L33" s="27">
        <f t="shared" si="1"/>
        <v>0</v>
      </c>
      <c r="M33" s="8" t="str">
        <f>VLOOKUP(K33,GradingPolicy!$B$2:$C$11,2)</f>
        <v>F (Fail)</v>
      </c>
      <c r="N33" s="1"/>
      <c r="O33" s="1"/>
      <c r="P33" s="28"/>
      <c r="Q33" s="29"/>
      <c r="R33" s="28"/>
      <c r="S33" s="28"/>
      <c r="T33" s="28"/>
      <c r="U33" s="28"/>
      <c r="V33" s="28"/>
      <c r="W33" s="30"/>
      <c r="X33" s="22"/>
      <c r="Y33" s="1"/>
      <c r="Z33" s="1"/>
      <c r="AA33" s="1"/>
    </row>
    <row r="34" spans="1:27" ht="15.75" customHeight="1">
      <c r="A34" s="21">
        <v>25</v>
      </c>
      <c r="B34" s="178">
        <f t="shared" si="2"/>
        <v>0</v>
      </c>
      <c r="C34" s="23">
        <f t="shared" si="3"/>
        <v>0</v>
      </c>
      <c r="D34" s="179">
        <f t="shared" si="4"/>
        <v>0</v>
      </c>
      <c r="E34" s="24">
        <f t="shared" si="5"/>
        <v>0</v>
      </c>
      <c r="F34" s="25">
        <f t="shared" si="6"/>
        <v>0</v>
      </c>
      <c r="G34" s="25">
        <f t="shared" si="7"/>
        <v>0</v>
      </c>
      <c r="H34" s="25">
        <f t="shared" si="8"/>
        <v>0</v>
      </c>
      <c r="I34" s="26">
        <f t="shared" si="9"/>
        <v>0</v>
      </c>
      <c r="J34" s="26">
        <f t="shared" si="10"/>
        <v>0</v>
      </c>
      <c r="K34" s="26">
        <f t="shared" si="11"/>
        <v>0</v>
      </c>
      <c r="L34" s="27">
        <f t="shared" si="1"/>
        <v>0</v>
      </c>
      <c r="M34" s="8" t="str">
        <f>VLOOKUP(K34,GradingPolicy!$B$2:$C$11,2)</f>
        <v>F (Fail)</v>
      </c>
      <c r="N34" s="1"/>
      <c r="O34" s="1"/>
      <c r="P34" s="28"/>
      <c r="Q34" s="29"/>
      <c r="R34" s="28"/>
      <c r="S34" s="28"/>
      <c r="T34" s="28"/>
      <c r="U34" s="28"/>
      <c r="V34" s="28"/>
      <c r="W34" s="30"/>
      <c r="X34" s="22"/>
      <c r="Y34" s="1"/>
      <c r="Z34" s="1"/>
      <c r="AA34" s="1"/>
    </row>
    <row r="35" spans="1:27" ht="15.75" customHeight="1">
      <c r="A35" s="31">
        <v>26</v>
      </c>
      <c r="B35" s="178">
        <f t="shared" si="2"/>
        <v>0</v>
      </c>
      <c r="C35" s="23">
        <f t="shared" si="3"/>
        <v>0</v>
      </c>
      <c r="D35" s="179">
        <f t="shared" si="4"/>
        <v>0</v>
      </c>
      <c r="E35" s="24">
        <f t="shared" si="5"/>
        <v>0</v>
      </c>
      <c r="F35" s="25">
        <f t="shared" si="6"/>
        <v>0</v>
      </c>
      <c r="G35" s="25">
        <f t="shared" si="7"/>
        <v>0</v>
      </c>
      <c r="H35" s="25">
        <f t="shared" si="8"/>
        <v>0</v>
      </c>
      <c r="I35" s="26">
        <f t="shared" si="9"/>
        <v>0</v>
      </c>
      <c r="J35" s="26">
        <f t="shared" si="10"/>
        <v>0</v>
      </c>
      <c r="K35" s="26">
        <f t="shared" si="11"/>
        <v>0</v>
      </c>
      <c r="L35" s="27">
        <f t="shared" si="1"/>
        <v>0</v>
      </c>
      <c r="M35" s="8" t="str">
        <f>VLOOKUP(K35,GradingPolicy!$B$2:$C$11,2)</f>
        <v>F (Fail)</v>
      </c>
      <c r="N35" s="1"/>
      <c r="O35" s="1"/>
      <c r="P35" s="28"/>
      <c r="Q35" s="29"/>
      <c r="R35" s="28"/>
      <c r="S35" s="28"/>
      <c r="T35" s="28"/>
      <c r="U35" s="28"/>
      <c r="V35" s="28"/>
      <c r="W35" s="30"/>
      <c r="X35" s="22"/>
      <c r="Y35" s="1"/>
      <c r="Z35" s="1"/>
      <c r="AA35" s="1"/>
    </row>
    <row r="36" spans="1:27" ht="15.75" customHeight="1">
      <c r="A36" s="21">
        <v>27</v>
      </c>
      <c r="B36" s="178">
        <f t="shared" si="2"/>
        <v>0</v>
      </c>
      <c r="C36" s="23">
        <f t="shared" si="3"/>
        <v>0</v>
      </c>
      <c r="D36" s="179">
        <f t="shared" si="4"/>
        <v>0</v>
      </c>
      <c r="E36" s="24">
        <f t="shared" si="5"/>
        <v>0</v>
      </c>
      <c r="F36" s="25">
        <f t="shared" si="6"/>
        <v>0</v>
      </c>
      <c r="G36" s="25">
        <f t="shared" si="7"/>
        <v>0</v>
      </c>
      <c r="H36" s="25">
        <f t="shared" si="8"/>
        <v>0</v>
      </c>
      <c r="I36" s="26">
        <f t="shared" si="9"/>
        <v>0</v>
      </c>
      <c r="J36" s="26">
        <f t="shared" si="10"/>
        <v>0</v>
      </c>
      <c r="K36" s="26">
        <f t="shared" si="11"/>
        <v>0</v>
      </c>
      <c r="L36" s="27">
        <f t="shared" si="1"/>
        <v>0</v>
      </c>
      <c r="M36" s="8" t="str">
        <f>VLOOKUP(K36,GradingPolicy!$B$2:$C$11,2)</f>
        <v>F (Fail)</v>
      </c>
      <c r="N36" s="1"/>
      <c r="O36" s="1"/>
      <c r="P36" s="28"/>
      <c r="Q36" s="29"/>
      <c r="R36" s="28"/>
      <c r="S36" s="28"/>
      <c r="T36" s="28"/>
      <c r="U36" s="28"/>
      <c r="V36" s="28"/>
      <c r="W36" s="30"/>
      <c r="X36" s="22"/>
      <c r="Y36" s="1"/>
      <c r="Z36" s="1"/>
      <c r="AA36" s="1"/>
    </row>
    <row r="37" spans="1:27" ht="15.75" customHeight="1">
      <c r="A37" s="31">
        <v>28</v>
      </c>
      <c r="B37" s="178">
        <f t="shared" si="2"/>
        <v>0</v>
      </c>
      <c r="C37" s="23">
        <f t="shared" si="3"/>
        <v>0</v>
      </c>
      <c r="D37" s="179">
        <f t="shared" si="4"/>
        <v>0</v>
      </c>
      <c r="E37" s="24">
        <f t="shared" si="5"/>
        <v>0</v>
      </c>
      <c r="F37" s="25">
        <f t="shared" si="6"/>
        <v>0</v>
      </c>
      <c r="G37" s="25">
        <f t="shared" si="7"/>
        <v>0</v>
      </c>
      <c r="H37" s="25">
        <f t="shared" si="8"/>
        <v>0</v>
      </c>
      <c r="I37" s="26">
        <f t="shared" si="9"/>
        <v>0</v>
      </c>
      <c r="J37" s="26">
        <f t="shared" si="10"/>
        <v>0</v>
      </c>
      <c r="K37" s="26">
        <f t="shared" si="11"/>
        <v>0</v>
      </c>
      <c r="L37" s="27">
        <f t="shared" si="1"/>
        <v>0</v>
      </c>
      <c r="M37" s="8" t="str">
        <f>VLOOKUP(K37,GradingPolicy!$B$2:$C$11,2)</f>
        <v>F (Fail)</v>
      </c>
      <c r="N37" s="1"/>
      <c r="O37" s="1"/>
      <c r="P37" s="28"/>
      <c r="Q37" s="29"/>
      <c r="R37" s="28"/>
      <c r="S37" s="28"/>
      <c r="T37" s="28"/>
      <c r="U37" s="28"/>
      <c r="V37" s="28"/>
      <c r="W37" s="30"/>
      <c r="X37" s="22"/>
      <c r="Y37" s="1"/>
      <c r="Z37" s="1"/>
      <c r="AA37" s="1"/>
    </row>
    <row r="38" spans="1:27" ht="15.75" customHeight="1">
      <c r="A38" s="21">
        <v>29</v>
      </c>
      <c r="B38" s="178">
        <f t="shared" si="2"/>
        <v>0</v>
      </c>
      <c r="C38" s="23">
        <f t="shared" si="3"/>
        <v>0</v>
      </c>
      <c r="D38" s="179">
        <f t="shared" si="4"/>
        <v>0</v>
      </c>
      <c r="E38" s="24">
        <f t="shared" si="5"/>
        <v>0</v>
      </c>
      <c r="F38" s="25">
        <f t="shared" si="6"/>
        <v>0</v>
      </c>
      <c r="G38" s="25">
        <f t="shared" si="7"/>
        <v>0</v>
      </c>
      <c r="H38" s="25">
        <f t="shared" si="8"/>
        <v>0</v>
      </c>
      <c r="I38" s="26">
        <f t="shared" si="9"/>
        <v>0</v>
      </c>
      <c r="J38" s="26">
        <f t="shared" si="10"/>
        <v>0</v>
      </c>
      <c r="K38" s="26">
        <f t="shared" si="11"/>
        <v>0</v>
      </c>
      <c r="L38" s="27">
        <f t="shared" si="1"/>
        <v>0</v>
      </c>
      <c r="M38" s="8" t="str">
        <f>VLOOKUP(K38,GradingPolicy!$B$2:$C$11,2)</f>
        <v>F (Fail)</v>
      </c>
      <c r="N38" s="1"/>
      <c r="O38" s="1"/>
      <c r="P38" s="28"/>
      <c r="Q38" s="29"/>
      <c r="R38" s="28"/>
      <c r="S38" s="28"/>
      <c r="T38" s="28"/>
      <c r="U38" s="28"/>
      <c r="V38" s="28"/>
      <c r="W38" s="30"/>
      <c r="X38" s="22"/>
      <c r="Y38" s="1"/>
      <c r="Z38" s="1"/>
      <c r="AA38" s="1"/>
    </row>
    <row r="39" spans="1:27" ht="15.75" customHeight="1">
      <c r="A39" s="31">
        <v>30</v>
      </c>
      <c r="B39" s="178">
        <f t="shared" si="2"/>
        <v>0</v>
      </c>
      <c r="C39" s="23">
        <f t="shared" si="3"/>
        <v>0</v>
      </c>
      <c r="D39" s="179">
        <f t="shared" si="4"/>
        <v>0</v>
      </c>
      <c r="E39" s="24">
        <f t="shared" si="5"/>
        <v>0</v>
      </c>
      <c r="F39" s="25">
        <f t="shared" si="6"/>
        <v>0</v>
      </c>
      <c r="G39" s="25">
        <f t="shared" si="7"/>
        <v>0</v>
      </c>
      <c r="H39" s="25">
        <f t="shared" si="8"/>
        <v>0</v>
      </c>
      <c r="I39" s="26">
        <f t="shared" si="9"/>
        <v>0</v>
      </c>
      <c r="J39" s="26">
        <f t="shared" si="10"/>
        <v>0</v>
      </c>
      <c r="K39" s="26">
        <f t="shared" si="11"/>
        <v>0</v>
      </c>
      <c r="L39" s="27">
        <f t="shared" si="1"/>
        <v>0</v>
      </c>
      <c r="M39" s="8" t="str">
        <f>VLOOKUP(K39,GradingPolicy!$B$2:$C$11,2)</f>
        <v>F (Fail)</v>
      </c>
      <c r="N39" s="1"/>
      <c r="O39" s="1"/>
      <c r="P39" s="28"/>
      <c r="Q39" s="29"/>
      <c r="R39" s="28"/>
      <c r="S39" s="28"/>
      <c r="T39" s="28"/>
      <c r="U39" s="28"/>
      <c r="V39" s="28"/>
      <c r="W39" s="30"/>
      <c r="X39" s="22"/>
      <c r="Y39" s="1"/>
      <c r="Z39" s="1"/>
      <c r="AA39" s="1"/>
    </row>
    <row r="40" spans="1:27" ht="15.75" customHeight="1">
      <c r="A40" s="21">
        <v>31</v>
      </c>
      <c r="B40" s="178">
        <f t="shared" si="2"/>
        <v>0</v>
      </c>
      <c r="C40" s="23">
        <f t="shared" si="3"/>
        <v>0</v>
      </c>
      <c r="D40" s="179">
        <f t="shared" si="4"/>
        <v>0</v>
      </c>
      <c r="E40" s="24">
        <f t="shared" si="5"/>
        <v>0</v>
      </c>
      <c r="F40" s="25">
        <f t="shared" si="6"/>
        <v>0</v>
      </c>
      <c r="G40" s="25">
        <f t="shared" si="7"/>
        <v>0</v>
      </c>
      <c r="H40" s="25">
        <f t="shared" si="8"/>
        <v>0</v>
      </c>
      <c r="I40" s="26">
        <f t="shared" si="9"/>
        <v>0</v>
      </c>
      <c r="J40" s="26">
        <f t="shared" si="10"/>
        <v>0</v>
      </c>
      <c r="K40" s="26">
        <f t="shared" si="11"/>
        <v>0</v>
      </c>
      <c r="L40" s="27">
        <f t="shared" si="1"/>
        <v>0</v>
      </c>
      <c r="M40" s="8" t="str">
        <f>VLOOKUP(K40,GradingPolicy!$B$2:$C$11,2)</f>
        <v>F (Fail)</v>
      </c>
      <c r="N40" s="1"/>
      <c r="O40" s="1"/>
      <c r="P40" s="28"/>
      <c r="Q40" s="29"/>
      <c r="R40" s="28"/>
      <c r="S40" s="28"/>
      <c r="T40" s="28"/>
      <c r="U40" s="28"/>
      <c r="V40" s="28"/>
      <c r="W40" s="30"/>
      <c r="X40" s="22"/>
      <c r="Y40" s="1"/>
      <c r="Z40" s="1"/>
      <c r="AA40" s="1"/>
    </row>
    <row r="41" spans="1:27" ht="15.75" customHeight="1">
      <c r="A41" s="31">
        <v>32</v>
      </c>
      <c r="B41" s="178">
        <f t="shared" si="2"/>
        <v>0</v>
      </c>
      <c r="C41" s="23">
        <f t="shared" si="3"/>
        <v>0</v>
      </c>
      <c r="D41" s="179">
        <f t="shared" si="4"/>
        <v>0</v>
      </c>
      <c r="E41" s="24">
        <f t="shared" si="5"/>
        <v>0</v>
      </c>
      <c r="F41" s="25">
        <f t="shared" si="6"/>
        <v>0</v>
      </c>
      <c r="G41" s="25">
        <f t="shared" si="7"/>
        <v>0</v>
      </c>
      <c r="H41" s="25">
        <f t="shared" si="8"/>
        <v>0</v>
      </c>
      <c r="I41" s="26">
        <f t="shared" si="9"/>
        <v>0</v>
      </c>
      <c r="J41" s="26">
        <f t="shared" si="10"/>
        <v>0</v>
      </c>
      <c r="K41" s="26">
        <f t="shared" si="11"/>
        <v>0</v>
      </c>
      <c r="L41" s="27">
        <f t="shared" si="1"/>
        <v>0</v>
      </c>
      <c r="M41" s="8" t="str">
        <f>VLOOKUP(K41,GradingPolicy!$B$2:$C$11,2)</f>
        <v>F (Fail)</v>
      </c>
      <c r="N41" s="1"/>
      <c r="O41" s="1"/>
      <c r="P41" s="28"/>
      <c r="Q41" s="29"/>
      <c r="R41" s="28"/>
      <c r="S41" s="28"/>
      <c r="T41" s="28"/>
      <c r="U41" s="28"/>
      <c r="V41" s="28"/>
      <c r="W41" s="30"/>
      <c r="X41" s="22"/>
      <c r="Y41" s="1"/>
      <c r="Z41" s="1"/>
      <c r="AA41" s="1"/>
    </row>
    <row r="42" spans="1:27" ht="15.75" customHeight="1">
      <c r="A42" s="21">
        <v>33</v>
      </c>
      <c r="B42" s="178">
        <f t="shared" si="2"/>
        <v>0</v>
      </c>
      <c r="C42" s="23">
        <f t="shared" si="3"/>
        <v>0</v>
      </c>
      <c r="D42" s="179">
        <f t="shared" si="4"/>
        <v>0</v>
      </c>
      <c r="E42" s="24">
        <f t="shared" si="5"/>
        <v>0</v>
      </c>
      <c r="F42" s="25">
        <f t="shared" si="6"/>
        <v>0</v>
      </c>
      <c r="G42" s="25">
        <f t="shared" si="7"/>
        <v>0</v>
      </c>
      <c r="H42" s="25">
        <f t="shared" si="8"/>
        <v>0</v>
      </c>
      <c r="I42" s="26">
        <f t="shared" si="9"/>
        <v>0</v>
      </c>
      <c r="J42" s="26">
        <f t="shared" si="10"/>
        <v>0</v>
      </c>
      <c r="K42" s="26">
        <f t="shared" si="11"/>
        <v>0</v>
      </c>
      <c r="L42" s="27">
        <f t="shared" si="1"/>
        <v>0</v>
      </c>
      <c r="M42" s="8" t="str">
        <f>VLOOKUP(K42,GradingPolicy!$B$2:$C$11,2)</f>
        <v>F (Fail)</v>
      </c>
      <c r="N42" s="1"/>
      <c r="O42" s="1"/>
      <c r="P42" s="28"/>
      <c r="Q42" s="29"/>
      <c r="R42" s="28"/>
      <c r="S42" s="28"/>
      <c r="T42" s="28"/>
      <c r="U42" s="28"/>
      <c r="V42" s="28"/>
      <c r="W42" s="30"/>
      <c r="X42" s="22"/>
      <c r="Y42" s="1"/>
      <c r="Z42" s="1"/>
      <c r="AA42" s="1"/>
    </row>
    <row r="43" spans="1:27" ht="15.75" customHeight="1">
      <c r="A43" s="31">
        <v>34</v>
      </c>
      <c r="B43" s="178">
        <f t="shared" si="2"/>
        <v>0</v>
      </c>
      <c r="C43" s="23">
        <f t="shared" si="3"/>
        <v>0</v>
      </c>
      <c r="D43" s="179">
        <f t="shared" si="4"/>
        <v>0</v>
      </c>
      <c r="E43" s="24">
        <f t="shared" si="5"/>
        <v>0</v>
      </c>
      <c r="F43" s="25">
        <f t="shared" si="6"/>
        <v>0</v>
      </c>
      <c r="G43" s="25">
        <f t="shared" si="7"/>
        <v>0</v>
      </c>
      <c r="H43" s="25">
        <f t="shared" si="8"/>
        <v>0</v>
      </c>
      <c r="I43" s="26">
        <f t="shared" si="9"/>
        <v>0</v>
      </c>
      <c r="J43" s="26">
        <f t="shared" si="10"/>
        <v>0</v>
      </c>
      <c r="K43" s="26">
        <f t="shared" si="11"/>
        <v>0</v>
      </c>
      <c r="L43" s="27">
        <f t="shared" si="1"/>
        <v>0</v>
      </c>
      <c r="M43" s="8" t="str">
        <f>VLOOKUP(K43,GradingPolicy!$B$2:$C$11,2)</f>
        <v>F (Fail)</v>
      </c>
      <c r="N43" s="1"/>
      <c r="O43" s="1"/>
      <c r="P43" s="28"/>
      <c r="Q43" s="29"/>
      <c r="R43" s="28"/>
      <c r="S43" s="28"/>
      <c r="T43" s="28"/>
      <c r="U43" s="28"/>
      <c r="V43" s="28"/>
      <c r="W43" s="30"/>
      <c r="X43" s="22"/>
      <c r="Y43" s="1"/>
      <c r="Z43" s="1"/>
      <c r="AA43" s="1"/>
    </row>
    <row r="44" spans="1:27" ht="15.75" customHeight="1">
      <c r="A44" s="21">
        <v>35</v>
      </c>
      <c r="B44" s="178">
        <f t="shared" si="2"/>
        <v>0</v>
      </c>
      <c r="C44" s="23">
        <f t="shared" si="3"/>
        <v>0</v>
      </c>
      <c r="D44" s="179">
        <f t="shared" si="4"/>
        <v>0</v>
      </c>
      <c r="E44" s="24">
        <f t="shared" si="5"/>
        <v>0</v>
      </c>
      <c r="F44" s="25">
        <f t="shared" si="6"/>
        <v>0</v>
      </c>
      <c r="G44" s="25">
        <f t="shared" si="7"/>
        <v>0</v>
      </c>
      <c r="H44" s="25">
        <f t="shared" si="8"/>
        <v>0</v>
      </c>
      <c r="I44" s="26">
        <f t="shared" si="9"/>
        <v>0</v>
      </c>
      <c r="J44" s="26">
        <f t="shared" si="10"/>
        <v>0</v>
      </c>
      <c r="K44" s="26">
        <f t="shared" si="11"/>
        <v>0</v>
      </c>
      <c r="L44" s="27">
        <f t="shared" si="1"/>
        <v>0</v>
      </c>
      <c r="M44" s="8" t="str">
        <f>VLOOKUP(K44,GradingPolicy!$B$2:$C$11,2)</f>
        <v>F (Fail)</v>
      </c>
      <c r="N44" s="1"/>
      <c r="O44" s="1"/>
      <c r="P44" s="28"/>
      <c r="Q44" s="29"/>
      <c r="R44" s="28"/>
      <c r="S44" s="28"/>
      <c r="T44" s="28"/>
      <c r="U44" s="28"/>
      <c r="V44" s="28"/>
      <c r="W44" s="30"/>
      <c r="X44" s="22"/>
      <c r="Y44" s="1"/>
      <c r="Z44" s="1"/>
      <c r="AA44" s="1"/>
    </row>
    <row r="45" spans="1:27" ht="15.75" customHeight="1">
      <c r="A45" s="31">
        <v>36</v>
      </c>
      <c r="B45" s="178">
        <f t="shared" si="2"/>
        <v>0</v>
      </c>
      <c r="C45" s="23">
        <f t="shared" si="3"/>
        <v>0</v>
      </c>
      <c r="D45" s="179">
        <f t="shared" si="4"/>
        <v>0</v>
      </c>
      <c r="E45" s="24">
        <f t="shared" si="5"/>
        <v>0</v>
      </c>
      <c r="F45" s="25">
        <f t="shared" si="6"/>
        <v>0</v>
      </c>
      <c r="G45" s="25">
        <f t="shared" si="7"/>
        <v>0</v>
      </c>
      <c r="H45" s="25">
        <f t="shared" si="8"/>
        <v>0</v>
      </c>
      <c r="I45" s="26">
        <f t="shared" si="9"/>
        <v>0</v>
      </c>
      <c r="J45" s="26">
        <f t="shared" si="10"/>
        <v>0</v>
      </c>
      <c r="K45" s="26">
        <f t="shared" si="11"/>
        <v>0</v>
      </c>
      <c r="L45" s="27">
        <f t="shared" si="1"/>
        <v>0</v>
      </c>
      <c r="M45" s="8" t="str">
        <f>VLOOKUP(K45,GradingPolicy!$B$2:$C$11,2)</f>
        <v>F (Fail)</v>
      </c>
      <c r="N45" s="1"/>
      <c r="O45" s="1"/>
      <c r="P45" s="28"/>
      <c r="Q45" s="29"/>
      <c r="R45" s="28"/>
      <c r="S45" s="28"/>
      <c r="T45" s="28"/>
      <c r="U45" s="28"/>
      <c r="V45" s="28"/>
      <c r="W45" s="30"/>
      <c r="X45" s="22"/>
      <c r="Y45" s="1"/>
      <c r="Z45" s="1"/>
      <c r="AA45" s="1"/>
    </row>
    <row r="46" spans="1:27" ht="15.75" customHeight="1">
      <c r="A46" s="21">
        <v>37</v>
      </c>
      <c r="B46" s="178">
        <f t="shared" si="2"/>
        <v>0</v>
      </c>
      <c r="C46" s="23">
        <f t="shared" si="3"/>
        <v>0</v>
      </c>
      <c r="D46" s="179">
        <f t="shared" si="4"/>
        <v>0</v>
      </c>
      <c r="E46" s="24">
        <f t="shared" si="5"/>
        <v>0</v>
      </c>
      <c r="F46" s="25">
        <f t="shared" si="6"/>
        <v>0</v>
      </c>
      <c r="G46" s="25">
        <f t="shared" si="7"/>
        <v>0</v>
      </c>
      <c r="H46" s="25">
        <f t="shared" si="8"/>
        <v>0</v>
      </c>
      <c r="I46" s="26">
        <f t="shared" si="9"/>
        <v>0</v>
      </c>
      <c r="J46" s="26">
        <f t="shared" si="10"/>
        <v>0</v>
      </c>
      <c r="K46" s="26">
        <f t="shared" si="11"/>
        <v>0</v>
      </c>
      <c r="L46" s="27">
        <f t="shared" si="1"/>
        <v>0</v>
      </c>
      <c r="M46" s="8" t="str">
        <f>VLOOKUP(K46,GradingPolicy!$B$2:$C$11,2)</f>
        <v>F (Fail)</v>
      </c>
      <c r="N46" s="1"/>
      <c r="O46" s="1"/>
      <c r="P46" s="28"/>
      <c r="Q46" s="29"/>
      <c r="R46" s="28"/>
      <c r="S46" s="28"/>
      <c r="T46" s="28"/>
      <c r="U46" s="28"/>
      <c r="V46" s="28"/>
      <c r="W46" s="30"/>
      <c r="X46" s="22"/>
      <c r="Y46" s="1"/>
      <c r="Z46" s="1"/>
      <c r="AA46" s="1"/>
    </row>
    <row r="47" spans="1:27" ht="15.75" customHeight="1">
      <c r="A47" s="31">
        <v>38</v>
      </c>
      <c r="B47" s="178">
        <f t="shared" si="2"/>
        <v>0</v>
      </c>
      <c r="C47" s="23">
        <f t="shared" si="3"/>
        <v>0</v>
      </c>
      <c r="D47" s="179">
        <f t="shared" si="4"/>
        <v>0</v>
      </c>
      <c r="E47" s="24">
        <f t="shared" si="5"/>
        <v>0</v>
      </c>
      <c r="F47" s="25">
        <f t="shared" si="6"/>
        <v>0</v>
      </c>
      <c r="G47" s="25">
        <f t="shared" si="7"/>
        <v>0</v>
      </c>
      <c r="H47" s="25">
        <f t="shared" si="8"/>
        <v>0</v>
      </c>
      <c r="I47" s="26">
        <f t="shared" si="9"/>
        <v>0</v>
      </c>
      <c r="J47" s="26">
        <f t="shared" si="10"/>
        <v>0</v>
      </c>
      <c r="K47" s="26">
        <f t="shared" si="11"/>
        <v>0</v>
      </c>
      <c r="L47" s="27">
        <f t="shared" si="1"/>
        <v>0</v>
      </c>
      <c r="M47" s="8" t="str">
        <f>VLOOKUP(K47,GradingPolicy!$B$2:$C$11,2)</f>
        <v>F (Fail)</v>
      </c>
      <c r="N47" s="1"/>
      <c r="O47" s="1"/>
      <c r="P47" s="28"/>
      <c r="Q47" s="29"/>
      <c r="R47" s="28"/>
      <c r="S47" s="28"/>
      <c r="T47" s="28"/>
      <c r="U47" s="28"/>
      <c r="V47" s="28"/>
      <c r="W47" s="30"/>
      <c r="X47" s="22"/>
      <c r="Y47" s="1"/>
      <c r="Z47" s="1"/>
      <c r="AA47" s="1"/>
    </row>
    <row r="48" spans="1:27" ht="15.75" customHeight="1">
      <c r="A48" s="21">
        <v>39</v>
      </c>
      <c r="B48" s="178">
        <f t="shared" si="2"/>
        <v>0</v>
      </c>
      <c r="C48" s="23">
        <f t="shared" si="3"/>
        <v>0</v>
      </c>
      <c r="D48" s="179">
        <f t="shared" si="4"/>
        <v>0</v>
      </c>
      <c r="E48" s="24">
        <f t="shared" si="5"/>
        <v>0</v>
      </c>
      <c r="F48" s="25">
        <f t="shared" si="6"/>
        <v>0</v>
      </c>
      <c r="G48" s="25">
        <f t="shared" si="7"/>
        <v>0</v>
      </c>
      <c r="H48" s="25">
        <f t="shared" si="8"/>
        <v>0</v>
      </c>
      <c r="I48" s="26">
        <f t="shared" si="9"/>
        <v>0</v>
      </c>
      <c r="J48" s="26">
        <f t="shared" si="10"/>
        <v>0</v>
      </c>
      <c r="K48" s="26">
        <f t="shared" si="11"/>
        <v>0</v>
      </c>
      <c r="L48" s="27">
        <f t="shared" si="1"/>
        <v>0</v>
      </c>
      <c r="M48" s="8" t="str">
        <f>VLOOKUP(K48,GradingPolicy!$B$2:$C$11,2)</f>
        <v>F (Fail)</v>
      </c>
      <c r="N48" s="1"/>
      <c r="O48" s="1"/>
      <c r="P48" s="28"/>
      <c r="Q48" s="29"/>
      <c r="R48" s="28"/>
      <c r="S48" s="28"/>
      <c r="T48" s="28"/>
      <c r="U48" s="28"/>
      <c r="V48" s="28"/>
      <c r="W48" s="30"/>
      <c r="X48" s="22"/>
      <c r="Y48" s="1"/>
      <c r="Z48" s="1"/>
      <c r="AA48" s="1"/>
    </row>
    <row r="49" spans="1:27" ht="15.75" customHeight="1">
      <c r="A49" s="31">
        <v>40</v>
      </c>
      <c r="B49" s="178">
        <f t="shared" si="2"/>
        <v>0</v>
      </c>
      <c r="C49" s="23">
        <f t="shared" si="3"/>
        <v>0</v>
      </c>
      <c r="D49" s="179">
        <f t="shared" si="4"/>
        <v>0</v>
      </c>
      <c r="E49" s="24">
        <f t="shared" si="5"/>
        <v>0</v>
      </c>
      <c r="F49" s="25">
        <f t="shared" si="6"/>
        <v>0</v>
      </c>
      <c r="G49" s="25">
        <f t="shared" si="7"/>
        <v>0</v>
      </c>
      <c r="H49" s="25">
        <f t="shared" si="8"/>
        <v>0</v>
      </c>
      <c r="I49" s="26">
        <f t="shared" si="9"/>
        <v>0</v>
      </c>
      <c r="J49" s="26">
        <f t="shared" si="10"/>
        <v>0</v>
      </c>
      <c r="K49" s="26">
        <f t="shared" si="11"/>
        <v>0</v>
      </c>
      <c r="L49" s="27">
        <f t="shared" si="1"/>
        <v>0</v>
      </c>
      <c r="M49" s="8" t="str">
        <f>VLOOKUP(K49,GradingPolicy!$B$2:$C$11,2)</f>
        <v>F (Fail)</v>
      </c>
      <c r="N49" s="1"/>
      <c r="O49" s="1"/>
      <c r="P49" s="28"/>
      <c r="Q49" s="29"/>
      <c r="R49" s="28"/>
      <c r="S49" s="28"/>
      <c r="T49" s="28"/>
      <c r="U49" s="28"/>
      <c r="V49" s="28"/>
      <c r="W49" s="30"/>
      <c r="X49" s="22"/>
      <c r="Y49" s="1"/>
      <c r="Z49" s="1"/>
      <c r="AA49" s="1"/>
    </row>
    <row r="50" spans="1:27" ht="15.75" customHeight="1">
      <c r="A50" s="31">
        <v>41</v>
      </c>
      <c r="B50" s="178">
        <f t="shared" si="2"/>
        <v>0</v>
      </c>
      <c r="C50" s="23">
        <f t="shared" si="3"/>
        <v>0</v>
      </c>
      <c r="D50" s="179">
        <f t="shared" si="4"/>
        <v>0</v>
      </c>
      <c r="E50" s="24">
        <f t="shared" si="5"/>
        <v>0</v>
      </c>
      <c r="F50" s="25">
        <f t="shared" si="6"/>
        <v>0</v>
      </c>
      <c r="G50" s="25">
        <f t="shared" si="7"/>
        <v>0</v>
      </c>
      <c r="H50" s="25">
        <f t="shared" si="8"/>
        <v>0</v>
      </c>
      <c r="I50" s="26">
        <f t="shared" si="9"/>
        <v>0</v>
      </c>
      <c r="J50" s="26">
        <f t="shared" si="10"/>
        <v>0</v>
      </c>
      <c r="K50" s="26">
        <f t="shared" si="11"/>
        <v>0</v>
      </c>
      <c r="L50" s="27">
        <f t="shared" si="1"/>
        <v>0</v>
      </c>
      <c r="M50" s="8" t="str">
        <f>VLOOKUP(K50,GradingPolicy!$B$2:$C$11,2)</f>
        <v>F (Fail)</v>
      </c>
      <c r="N50" s="1"/>
      <c r="O50" s="1"/>
      <c r="P50" s="28"/>
      <c r="Q50" s="29"/>
      <c r="R50" s="28"/>
      <c r="S50" s="28"/>
      <c r="T50" s="28"/>
      <c r="U50" s="28"/>
      <c r="V50" s="28"/>
      <c r="W50" s="30"/>
      <c r="X50" s="22"/>
      <c r="Y50" s="1"/>
      <c r="Z50" s="1"/>
      <c r="AA50" s="1"/>
    </row>
    <row r="51" spans="1:27" ht="15.75" customHeight="1">
      <c r="A51" s="31">
        <v>42</v>
      </c>
      <c r="B51" s="178">
        <f t="shared" si="2"/>
        <v>0</v>
      </c>
      <c r="C51" s="23">
        <f t="shared" si="3"/>
        <v>0</v>
      </c>
      <c r="D51" s="179">
        <f t="shared" si="4"/>
        <v>0</v>
      </c>
      <c r="E51" s="24">
        <f t="shared" si="5"/>
        <v>0</v>
      </c>
      <c r="F51" s="25">
        <f t="shared" si="6"/>
        <v>0</v>
      </c>
      <c r="G51" s="25">
        <f t="shared" si="7"/>
        <v>0</v>
      </c>
      <c r="H51" s="25">
        <f t="shared" si="8"/>
        <v>0</v>
      </c>
      <c r="I51" s="26">
        <f t="shared" si="9"/>
        <v>0</v>
      </c>
      <c r="J51" s="26">
        <f t="shared" si="10"/>
        <v>0</v>
      </c>
      <c r="K51" s="26">
        <f t="shared" si="11"/>
        <v>0</v>
      </c>
      <c r="L51" s="27">
        <f t="shared" si="1"/>
        <v>0</v>
      </c>
      <c r="M51" s="8" t="str">
        <f>VLOOKUP(K51,GradingPolicy!$B$2:$C$11,2)</f>
        <v>F (Fail)</v>
      </c>
      <c r="N51" s="1"/>
      <c r="O51" s="1"/>
      <c r="P51" s="28"/>
      <c r="Q51" s="29"/>
      <c r="R51" s="28"/>
      <c r="S51" s="28"/>
      <c r="T51" s="28"/>
      <c r="U51" s="28"/>
      <c r="V51" s="28"/>
      <c r="W51" s="30"/>
      <c r="X51" s="22"/>
      <c r="Y51" s="1"/>
      <c r="Z51" s="1"/>
      <c r="AA51" s="1"/>
    </row>
    <row r="52" spans="1:27" ht="15.75" customHeight="1">
      <c r="A52" s="31">
        <v>43</v>
      </c>
      <c r="B52" s="178">
        <f t="shared" ref="B52:B59" si="12">X52</f>
        <v>0</v>
      </c>
      <c r="C52" s="23">
        <f t="shared" ref="C52:C59" si="13">W52</f>
        <v>0</v>
      </c>
      <c r="D52" s="179">
        <f t="shared" ref="D52:D59" si="14">P52</f>
        <v>0</v>
      </c>
      <c r="E52" s="24">
        <f t="shared" ref="E52:E59" si="15">Q52</f>
        <v>0</v>
      </c>
      <c r="F52" s="25">
        <f t="shared" ref="F52:F59" si="16">R52</f>
        <v>0</v>
      </c>
      <c r="G52" s="25">
        <f t="shared" ref="G52:G59" si="17">S52</f>
        <v>0</v>
      </c>
      <c r="H52" s="25">
        <f t="shared" ref="H52:H59" si="18">T52</f>
        <v>0</v>
      </c>
      <c r="I52" s="26">
        <f t="shared" ref="I52:I59" si="19">U52</f>
        <v>0</v>
      </c>
      <c r="J52" s="26">
        <f t="shared" ref="J52:J59" si="20">V52</f>
        <v>0</v>
      </c>
      <c r="K52" s="26">
        <f t="shared" ref="K52:K59" si="21">ROUND(SUM(D52:J52),0)</f>
        <v>0</v>
      </c>
      <c r="L52" s="27">
        <f t="shared" ref="L52:L59" si="22">K52/100</f>
        <v>0</v>
      </c>
      <c r="M52" s="8" t="str">
        <f>VLOOKUP(K52,GradingPolicy!$B$2:$C$11,2)</f>
        <v>F (Fail)</v>
      </c>
      <c r="N52" s="1"/>
      <c r="O52" s="1"/>
      <c r="P52" s="28"/>
      <c r="Q52" s="29"/>
      <c r="R52" s="28"/>
      <c r="S52" s="28"/>
      <c r="T52" s="28"/>
      <c r="U52" s="28"/>
      <c r="V52" s="28"/>
      <c r="W52" s="30"/>
      <c r="X52" s="22"/>
      <c r="Y52" s="1"/>
      <c r="Z52" s="1"/>
      <c r="AA52" s="1"/>
    </row>
    <row r="53" spans="1:27" ht="15.75" customHeight="1">
      <c r="A53" s="31">
        <v>44</v>
      </c>
      <c r="B53" s="178">
        <f t="shared" si="12"/>
        <v>0</v>
      </c>
      <c r="C53" s="23">
        <f t="shared" si="13"/>
        <v>0</v>
      </c>
      <c r="D53" s="179">
        <f t="shared" si="14"/>
        <v>0</v>
      </c>
      <c r="E53" s="24">
        <f t="shared" si="15"/>
        <v>0</v>
      </c>
      <c r="F53" s="25">
        <f t="shared" si="16"/>
        <v>0</v>
      </c>
      <c r="G53" s="25">
        <f t="shared" si="17"/>
        <v>0</v>
      </c>
      <c r="H53" s="25">
        <f t="shared" si="18"/>
        <v>0</v>
      </c>
      <c r="I53" s="26">
        <f t="shared" si="19"/>
        <v>0</v>
      </c>
      <c r="J53" s="26">
        <f t="shared" si="20"/>
        <v>0</v>
      </c>
      <c r="K53" s="26">
        <f t="shared" si="21"/>
        <v>0</v>
      </c>
      <c r="L53" s="27">
        <f t="shared" si="22"/>
        <v>0</v>
      </c>
      <c r="M53" s="8" t="str">
        <f>VLOOKUP(K53,GradingPolicy!$B$2:$C$11,2)</f>
        <v>F (Fail)</v>
      </c>
      <c r="N53" s="1"/>
      <c r="O53" s="1"/>
      <c r="P53" s="28"/>
      <c r="Q53" s="29"/>
      <c r="R53" s="28"/>
      <c r="S53" s="28"/>
      <c r="T53" s="28"/>
      <c r="U53" s="28"/>
      <c r="V53" s="28"/>
      <c r="W53" s="30"/>
      <c r="X53" s="22"/>
      <c r="Y53" s="1"/>
      <c r="Z53" s="1"/>
      <c r="AA53" s="1"/>
    </row>
    <row r="54" spans="1:27" ht="15.75" customHeight="1">
      <c r="A54" s="31">
        <v>45</v>
      </c>
      <c r="B54" s="178">
        <f t="shared" si="12"/>
        <v>0</v>
      </c>
      <c r="C54" s="23">
        <f t="shared" si="13"/>
        <v>0</v>
      </c>
      <c r="D54" s="179">
        <f t="shared" si="14"/>
        <v>0</v>
      </c>
      <c r="E54" s="24">
        <f t="shared" si="15"/>
        <v>0</v>
      </c>
      <c r="F54" s="25">
        <f t="shared" si="16"/>
        <v>0</v>
      </c>
      <c r="G54" s="25">
        <f t="shared" si="17"/>
        <v>0</v>
      </c>
      <c r="H54" s="25">
        <f t="shared" si="18"/>
        <v>0</v>
      </c>
      <c r="I54" s="26">
        <f t="shared" si="19"/>
        <v>0</v>
      </c>
      <c r="J54" s="26">
        <f t="shared" si="20"/>
        <v>0</v>
      </c>
      <c r="K54" s="26">
        <f t="shared" si="21"/>
        <v>0</v>
      </c>
      <c r="L54" s="27">
        <f t="shared" si="22"/>
        <v>0</v>
      </c>
      <c r="M54" s="8" t="str">
        <f>VLOOKUP(K54,GradingPolicy!$B$2:$C$11,2)</f>
        <v>F (Fail)</v>
      </c>
      <c r="P54" s="28"/>
      <c r="Q54" s="29"/>
      <c r="R54" s="28"/>
      <c r="S54" s="28"/>
      <c r="T54" s="28"/>
      <c r="U54" s="28"/>
      <c r="V54" s="28"/>
      <c r="W54" s="30"/>
      <c r="X54" s="22"/>
      <c r="Y54" s="1"/>
      <c r="Z54" s="1"/>
      <c r="AA54" s="1"/>
    </row>
    <row r="55" spans="1:27" ht="15" customHeight="1">
      <c r="A55" s="31">
        <v>46</v>
      </c>
      <c r="B55" s="178">
        <f t="shared" si="12"/>
        <v>0</v>
      </c>
      <c r="C55" s="23">
        <f t="shared" si="13"/>
        <v>0</v>
      </c>
      <c r="D55" s="179">
        <f t="shared" si="14"/>
        <v>0</v>
      </c>
      <c r="E55" s="24">
        <f t="shared" si="15"/>
        <v>0</v>
      </c>
      <c r="F55" s="25">
        <f t="shared" si="16"/>
        <v>0</v>
      </c>
      <c r="G55" s="25">
        <f t="shared" si="17"/>
        <v>0</v>
      </c>
      <c r="H55" s="25">
        <f t="shared" si="18"/>
        <v>0</v>
      </c>
      <c r="I55" s="26">
        <f t="shared" si="19"/>
        <v>0</v>
      </c>
      <c r="J55" s="26">
        <f t="shared" si="20"/>
        <v>0</v>
      </c>
      <c r="K55" s="26">
        <f t="shared" si="21"/>
        <v>0</v>
      </c>
      <c r="L55" s="27">
        <f t="shared" si="22"/>
        <v>0</v>
      </c>
      <c r="M55" s="8" t="str">
        <f>VLOOKUP(K55,GradingPolicy!$B$2:$C$11,2)</f>
        <v>F (Fail)</v>
      </c>
      <c r="P55" s="28"/>
      <c r="Q55" s="29"/>
      <c r="R55" s="28"/>
      <c r="S55" s="28"/>
      <c r="T55" s="28"/>
      <c r="U55" s="28"/>
      <c r="V55" s="28"/>
      <c r="W55" s="30"/>
      <c r="X55" s="22"/>
      <c r="Y55" s="1"/>
      <c r="Z55" s="1"/>
      <c r="AA55" s="1"/>
    </row>
    <row r="56" spans="1:27" ht="15.75" customHeight="1">
      <c r="A56" s="31">
        <v>47</v>
      </c>
      <c r="B56" s="178">
        <f t="shared" si="12"/>
        <v>0</v>
      </c>
      <c r="C56" s="23">
        <f t="shared" si="13"/>
        <v>0</v>
      </c>
      <c r="D56" s="179">
        <f t="shared" si="14"/>
        <v>0</v>
      </c>
      <c r="E56" s="24">
        <f t="shared" si="15"/>
        <v>0</v>
      </c>
      <c r="F56" s="25">
        <f t="shared" si="16"/>
        <v>0</v>
      </c>
      <c r="G56" s="25">
        <f t="shared" si="17"/>
        <v>0</v>
      </c>
      <c r="H56" s="25">
        <f t="shared" si="18"/>
        <v>0</v>
      </c>
      <c r="I56" s="26">
        <f t="shared" si="19"/>
        <v>0</v>
      </c>
      <c r="J56" s="26">
        <f t="shared" si="20"/>
        <v>0</v>
      </c>
      <c r="K56" s="26">
        <f t="shared" si="21"/>
        <v>0</v>
      </c>
      <c r="L56" s="27">
        <f t="shared" si="22"/>
        <v>0</v>
      </c>
      <c r="M56" s="8" t="str">
        <f>VLOOKUP(K56,GradingPolicy!$B$2:$C$11,2)</f>
        <v>F (Fail)</v>
      </c>
      <c r="P56" s="28"/>
      <c r="Q56" s="29"/>
      <c r="R56" s="28"/>
      <c r="S56" s="28"/>
      <c r="T56" s="28"/>
      <c r="U56" s="28"/>
      <c r="V56" s="28"/>
      <c r="W56" s="30"/>
      <c r="X56" s="22"/>
      <c r="Y56" s="1"/>
      <c r="Z56" s="1"/>
      <c r="AA56" s="1"/>
    </row>
    <row r="57" spans="1:27" ht="15.75" customHeight="1">
      <c r="A57" s="31">
        <v>48</v>
      </c>
      <c r="B57" s="178">
        <f t="shared" si="12"/>
        <v>0</v>
      </c>
      <c r="C57" s="23">
        <f t="shared" si="13"/>
        <v>0</v>
      </c>
      <c r="D57" s="179">
        <f t="shared" si="14"/>
        <v>0</v>
      </c>
      <c r="E57" s="24">
        <f t="shared" si="15"/>
        <v>0</v>
      </c>
      <c r="F57" s="25">
        <f t="shared" si="16"/>
        <v>0</v>
      </c>
      <c r="G57" s="25">
        <f t="shared" si="17"/>
        <v>0</v>
      </c>
      <c r="H57" s="25">
        <f t="shared" si="18"/>
        <v>0</v>
      </c>
      <c r="I57" s="26">
        <f t="shared" si="19"/>
        <v>0</v>
      </c>
      <c r="J57" s="26">
        <f t="shared" si="20"/>
        <v>0</v>
      </c>
      <c r="K57" s="26">
        <f t="shared" si="21"/>
        <v>0</v>
      </c>
      <c r="L57" s="27">
        <f t="shared" si="22"/>
        <v>0</v>
      </c>
      <c r="M57" s="8" t="str">
        <f>VLOOKUP(K57,GradingPolicy!$B$2:$C$11,2)</f>
        <v>F (Fail)</v>
      </c>
      <c r="P57" s="28"/>
      <c r="Q57" s="29"/>
      <c r="R57" s="28"/>
      <c r="S57" s="28"/>
      <c r="T57" s="28"/>
      <c r="U57" s="28"/>
      <c r="V57" s="28"/>
      <c r="W57" s="30"/>
      <c r="X57" s="22"/>
      <c r="Y57" s="1"/>
      <c r="Z57" s="1"/>
      <c r="AA57" s="1"/>
    </row>
    <row r="58" spans="1:27" ht="15.75" customHeight="1">
      <c r="A58" s="31">
        <v>49</v>
      </c>
      <c r="B58" s="178">
        <f t="shared" si="12"/>
        <v>0</v>
      </c>
      <c r="C58" s="23">
        <f t="shared" si="13"/>
        <v>0</v>
      </c>
      <c r="D58" s="179">
        <f t="shared" si="14"/>
        <v>0</v>
      </c>
      <c r="E58" s="24">
        <f t="shared" si="15"/>
        <v>0</v>
      </c>
      <c r="F58" s="25">
        <f t="shared" si="16"/>
        <v>0</v>
      </c>
      <c r="G58" s="25">
        <f t="shared" si="17"/>
        <v>0</v>
      </c>
      <c r="H58" s="25">
        <f t="shared" si="18"/>
        <v>0</v>
      </c>
      <c r="I58" s="26">
        <f t="shared" si="19"/>
        <v>0</v>
      </c>
      <c r="J58" s="26">
        <f t="shared" si="20"/>
        <v>0</v>
      </c>
      <c r="K58" s="26">
        <f t="shared" si="21"/>
        <v>0</v>
      </c>
      <c r="L58" s="27">
        <f t="shared" si="22"/>
        <v>0</v>
      </c>
      <c r="M58" s="8" t="str">
        <f>VLOOKUP(K58,GradingPolicy!$B$2:$C$11,2)</f>
        <v>F (Fail)</v>
      </c>
      <c r="P58" s="28"/>
      <c r="Q58" s="29"/>
      <c r="R58" s="28"/>
      <c r="S58" s="28"/>
      <c r="T58" s="28"/>
      <c r="U58" s="28"/>
      <c r="V58" s="28"/>
      <c r="W58" s="30"/>
      <c r="X58" s="22"/>
      <c r="Y58" s="1"/>
      <c r="Z58" s="1"/>
      <c r="AA58" s="1"/>
    </row>
    <row r="59" spans="1:27" ht="15.75" customHeight="1">
      <c r="A59" s="31">
        <v>50</v>
      </c>
      <c r="B59" s="178">
        <f t="shared" si="12"/>
        <v>0</v>
      </c>
      <c r="C59" s="23">
        <f t="shared" si="13"/>
        <v>0</v>
      </c>
      <c r="D59" s="179">
        <f t="shared" si="14"/>
        <v>0</v>
      </c>
      <c r="E59" s="24">
        <f t="shared" si="15"/>
        <v>0</v>
      </c>
      <c r="F59" s="25">
        <f t="shared" si="16"/>
        <v>0</v>
      </c>
      <c r="G59" s="25">
        <f t="shared" si="17"/>
        <v>0</v>
      </c>
      <c r="H59" s="25">
        <f t="shared" si="18"/>
        <v>0</v>
      </c>
      <c r="I59" s="26">
        <f t="shared" si="19"/>
        <v>0</v>
      </c>
      <c r="J59" s="26">
        <f t="shared" si="20"/>
        <v>0</v>
      </c>
      <c r="K59" s="26">
        <f t="shared" si="21"/>
        <v>0</v>
      </c>
      <c r="L59" s="27">
        <f t="shared" si="22"/>
        <v>0</v>
      </c>
      <c r="M59" s="8" t="str">
        <f>VLOOKUP(K59,GradingPolicy!$B$2:$C$11,2)</f>
        <v>F (Fail)</v>
      </c>
      <c r="P59" s="28"/>
      <c r="Q59" s="29"/>
      <c r="R59" s="28"/>
      <c r="S59" s="28"/>
      <c r="T59" s="28"/>
      <c r="U59" s="28"/>
      <c r="V59" s="28"/>
      <c r="W59" s="30"/>
      <c r="X59" s="22"/>
      <c r="Y59" s="1"/>
      <c r="Z59" s="1"/>
      <c r="AA59" s="1"/>
    </row>
    <row r="60" spans="1:27" ht="15.75" customHeight="1">
      <c r="A60" s="1"/>
      <c r="W60" s="1"/>
      <c r="X60" s="1"/>
      <c r="Y60" s="1"/>
      <c r="Z60" s="1"/>
      <c r="AA60" s="1"/>
    </row>
    <row r="61" spans="1:27" ht="15.75" customHeight="1">
      <c r="A61" s="1"/>
      <c r="W61" s="1"/>
      <c r="X61" s="1"/>
      <c r="Y61" s="1"/>
      <c r="Z61" s="1"/>
      <c r="AA61" s="1"/>
    </row>
    <row r="62" spans="1:27" ht="15.75" customHeight="1">
      <c r="A62" s="1"/>
      <c r="W62" s="1"/>
      <c r="X62" s="1"/>
      <c r="Y62" s="1"/>
      <c r="Z62" s="1"/>
      <c r="AA62" s="1"/>
    </row>
    <row r="63" spans="1:27" ht="15.75" customHeight="1">
      <c r="A63" s="1"/>
      <c r="B63" s="11" t="s">
        <v>20</v>
      </c>
      <c r="C63" s="33" t="s">
        <v>21</v>
      </c>
      <c r="D63" s="34"/>
      <c r="E63" s="34"/>
      <c r="F63" s="35" t="s">
        <v>22</v>
      </c>
      <c r="G63" s="35" t="s">
        <v>23</v>
      </c>
      <c r="H63" s="14" t="s">
        <v>24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36" t="s">
        <v>25</v>
      </c>
      <c r="C64" s="37">
        <v>0</v>
      </c>
      <c r="D64" s="2"/>
      <c r="E64" s="2"/>
      <c r="F64" s="38" t="s">
        <v>26</v>
      </c>
      <c r="G64" s="39" t="s">
        <v>27</v>
      </c>
      <c r="H64" s="40">
        <f>COUNTIFS(M10:M59,"A+ (Plus)",B10:B59,"&lt;&gt;0")</f>
        <v>0</v>
      </c>
      <c r="I64" s="1"/>
      <c r="J64" s="1"/>
      <c r="K64" s="1"/>
      <c r="L64" s="1"/>
      <c r="M64" s="1"/>
      <c r="N64" s="1"/>
      <c r="O64" s="41" t="s">
        <v>28</v>
      </c>
      <c r="P64" s="26">
        <f t="shared" ref="P64:V64" si="23">MAX(P10:P49)</f>
        <v>0</v>
      </c>
      <c r="Q64" s="42">
        <f t="shared" si="23"/>
        <v>0</v>
      </c>
      <c r="R64" s="42">
        <f t="shared" si="23"/>
        <v>0</v>
      </c>
      <c r="S64" s="42">
        <f t="shared" si="23"/>
        <v>0</v>
      </c>
      <c r="T64" s="42">
        <f t="shared" si="23"/>
        <v>0</v>
      </c>
      <c r="U64" s="42">
        <f t="shared" si="23"/>
        <v>0</v>
      </c>
      <c r="V64" s="42">
        <f t="shared" si="23"/>
        <v>0</v>
      </c>
      <c r="W64" s="1"/>
      <c r="X64" s="1"/>
      <c r="Y64" s="1"/>
      <c r="Z64" s="1"/>
      <c r="AA64" s="1"/>
    </row>
    <row r="65" spans="1:27" ht="15.75" customHeight="1">
      <c r="A65" s="1"/>
      <c r="B65" s="36" t="s">
        <v>11</v>
      </c>
      <c r="C65" s="37">
        <v>0</v>
      </c>
      <c r="D65" s="2"/>
      <c r="E65" s="2"/>
      <c r="F65" s="38" t="s">
        <v>161</v>
      </c>
      <c r="G65" s="40" t="s">
        <v>29</v>
      </c>
      <c r="H65" s="40">
        <f>COUNTIFS(M10:M59,"A (Plain)",B10:B59,"&lt;&gt;0")</f>
        <v>0</v>
      </c>
      <c r="I65" s="1"/>
      <c r="J65" s="1"/>
      <c r="K65" s="1"/>
      <c r="L65" s="1"/>
      <c r="M65" s="1"/>
      <c r="N65" s="1"/>
      <c r="O65" s="41" t="s">
        <v>30</v>
      </c>
      <c r="P65" s="26" t="e">
        <f t="shared" ref="P65:V65" si="24">AVERAGE(P10:P49)</f>
        <v>#DIV/0!</v>
      </c>
      <c r="Q65" s="26" t="e">
        <f t="shared" si="24"/>
        <v>#DIV/0!</v>
      </c>
      <c r="R65" s="26" t="e">
        <f t="shared" si="24"/>
        <v>#DIV/0!</v>
      </c>
      <c r="S65" s="26" t="e">
        <f t="shared" si="24"/>
        <v>#DIV/0!</v>
      </c>
      <c r="T65" s="26" t="e">
        <f t="shared" si="24"/>
        <v>#DIV/0!</v>
      </c>
      <c r="U65" s="26" t="e">
        <f t="shared" si="24"/>
        <v>#DIV/0!</v>
      </c>
      <c r="V65" s="26" t="e">
        <f t="shared" si="24"/>
        <v>#DIV/0!</v>
      </c>
      <c r="W65" s="1"/>
      <c r="X65" s="1"/>
      <c r="Y65" s="1"/>
      <c r="Z65" s="1"/>
      <c r="AA65" s="1"/>
    </row>
    <row r="66" spans="1:27" ht="15.75" customHeight="1">
      <c r="A66" s="1"/>
      <c r="B66" s="21" t="s">
        <v>31</v>
      </c>
      <c r="C66" s="43">
        <v>0</v>
      </c>
      <c r="D66" s="2"/>
      <c r="E66" s="2"/>
      <c r="F66" s="38" t="s">
        <v>162</v>
      </c>
      <c r="G66" s="40" t="s">
        <v>33</v>
      </c>
      <c r="H66" s="40">
        <f>COUNTIFS(M10:M59,"A- (Minus)",B10:B59,"&lt;&gt;0")</f>
        <v>0</v>
      </c>
      <c r="I66" s="1"/>
      <c r="J66" s="1"/>
      <c r="K66" s="1"/>
      <c r="L66" s="1"/>
      <c r="M66" s="1"/>
      <c r="N66" s="1"/>
      <c r="O66" s="41" t="s">
        <v>34</v>
      </c>
      <c r="P66" s="26">
        <f t="shared" ref="P66:V66" si="25">MIN(P10:P49)</f>
        <v>0</v>
      </c>
      <c r="Q66" s="42">
        <f t="shared" si="25"/>
        <v>0</v>
      </c>
      <c r="R66" s="42">
        <f t="shared" si="25"/>
        <v>0</v>
      </c>
      <c r="S66" s="42">
        <f t="shared" si="25"/>
        <v>0</v>
      </c>
      <c r="T66" s="42">
        <f t="shared" si="25"/>
        <v>0</v>
      </c>
      <c r="U66" s="42">
        <f t="shared" si="25"/>
        <v>0</v>
      </c>
      <c r="V66" s="42">
        <f t="shared" si="25"/>
        <v>0</v>
      </c>
      <c r="W66" s="1"/>
      <c r="X66" s="1"/>
      <c r="Y66" s="1"/>
      <c r="Z66" s="1"/>
      <c r="AA66" s="1"/>
    </row>
    <row r="67" spans="1:27" ht="15.75" customHeight="1">
      <c r="A67" s="1"/>
      <c r="B67" s="21" t="s">
        <v>12</v>
      </c>
      <c r="C67" s="43">
        <v>0</v>
      </c>
      <c r="D67" s="2"/>
      <c r="E67" s="2"/>
      <c r="F67" s="38" t="s">
        <v>32</v>
      </c>
      <c r="G67" s="40" t="s">
        <v>36</v>
      </c>
      <c r="H67" s="40">
        <f>COUNTIFS(M10:M59,"B+ (Plus)",B10:B59,"&lt;&gt;0")</f>
        <v>0</v>
      </c>
      <c r="I67" s="1"/>
      <c r="J67" s="1"/>
      <c r="K67" s="1"/>
      <c r="L67" s="1"/>
      <c r="M67" s="1"/>
      <c r="N67" s="1"/>
      <c r="O67" s="1"/>
      <c r="P67" s="1"/>
      <c r="Q67" s="44"/>
      <c r="R67" s="44"/>
      <c r="S67" s="44"/>
      <c r="T67" s="44"/>
      <c r="U67" s="44"/>
      <c r="V67" s="44"/>
      <c r="W67" s="1"/>
      <c r="X67" s="1"/>
      <c r="Y67" s="1"/>
      <c r="Z67" s="1"/>
      <c r="AA67" s="1"/>
    </row>
    <row r="68" spans="1:27" ht="15.75" customHeight="1">
      <c r="A68" s="1"/>
      <c r="B68" s="21" t="s">
        <v>37</v>
      </c>
      <c r="C68" s="43">
        <v>0</v>
      </c>
      <c r="D68" s="2"/>
      <c r="E68" s="2"/>
      <c r="F68" s="38" t="s">
        <v>35</v>
      </c>
      <c r="G68" s="40" t="s">
        <v>39</v>
      </c>
      <c r="H68" s="40">
        <f>COUNTIFS(M10:M59,"B (Plain)",B10:B59,"&lt;&gt;0")</f>
        <v>0</v>
      </c>
      <c r="I68" s="1"/>
      <c r="J68" s="1"/>
      <c r="K68" s="1"/>
      <c r="L68" s="1"/>
      <c r="M68" s="1"/>
      <c r="N68" s="1"/>
      <c r="O68" s="1"/>
      <c r="P68" s="1"/>
      <c r="Q68" s="44"/>
      <c r="R68" s="44"/>
      <c r="S68" s="44"/>
      <c r="T68" s="44"/>
      <c r="U68" s="44"/>
      <c r="V68" s="44"/>
      <c r="W68" s="1"/>
      <c r="X68" s="1"/>
      <c r="Y68" s="1"/>
      <c r="Z68" s="1"/>
      <c r="AA68" s="1"/>
    </row>
    <row r="69" spans="1:27" ht="15.75" customHeight="1">
      <c r="A69" s="1"/>
      <c r="B69" s="21" t="s">
        <v>40</v>
      </c>
      <c r="C69" s="43">
        <v>0</v>
      </c>
      <c r="D69" s="2"/>
      <c r="E69" s="2"/>
      <c r="F69" s="38" t="s">
        <v>38</v>
      </c>
      <c r="G69" s="40" t="s">
        <v>42</v>
      </c>
      <c r="H69" s="40">
        <f>COUNTIFS(M10:M59,"B- (Minus)",B10:B59,"&lt;&gt;0")</f>
        <v>0</v>
      </c>
      <c r="I69" s="1"/>
      <c r="J69" s="1"/>
      <c r="K69" s="1"/>
      <c r="L69" s="1"/>
      <c r="M69" s="1"/>
      <c r="N69" s="1"/>
      <c r="O69" s="1"/>
      <c r="P69" s="1"/>
      <c r="Q69" s="44"/>
      <c r="R69" s="44"/>
      <c r="S69" s="44"/>
      <c r="T69" s="44"/>
      <c r="U69" s="44"/>
      <c r="V69" s="44"/>
      <c r="W69" s="1"/>
      <c r="X69" s="1"/>
      <c r="Y69" s="1"/>
      <c r="Z69" s="1"/>
      <c r="AA69" s="1"/>
    </row>
    <row r="70" spans="1:27" ht="15.75" customHeight="1">
      <c r="A70" s="1"/>
      <c r="B70" s="21" t="s">
        <v>43</v>
      </c>
      <c r="C70" s="43">
        <v>0</v>
      </c>
      <c r="D70" s="2"/>
      <c r="E70" s="2"/>
      <c r="F70" s="38" t="s">
        <v>41</v>
      </c>
      <c r="G70" s="40" t="s">
        <v>45</v>
      </c>
      <c r="H70" s="40">
        <f>COUNTIFS(M10:M59,"C+ (Plus)",B10:B59,"&lt;&gt;0")</f>
        <v>0</v>
      </c>
      <c r="I70" s="1"/>
      <c r="J70" s="1"/>
      <c r="K70" s="1"/>
      <c r="L70" s="1"/>
      <c r="M70" s="1"/>
      <c r="N70" s="1"/>
      <c r="O70" s="1"/>
      <c r="P70" s="1"/>
      <c r="Q70" s="44"/>
      <c r="R70" s="44"/>
      <c r="S70" s="44"/>
      <c r="T70" s="44"/>
      <c r="U70" s="44"/>
      <c r="V70" s="44"/>
      <c r="W70" s="1"/>
      <c r="X70" s="1"/>
      <c r="Y70" s="1"/>
      <c r="Z70" s="1"/>
      <c r="AA70" s="1"/>
    </row>
    <row r="71" spans="1:27" ht="15.75" customHeight="1">
      <c r="A71" s="1"/>
      <c r="B71" s="21" t="s">
        <v>46</v>
      </c>
      <c r="C71" s="21">
        <f>SUM(C64:C70)</f>
        <v>0</v>
      </c>
      <c r="D71" s="45"/>
      <c r="E71" s="45"/>
      <c r="F71" s="38" t="s">
        <v>44</v>
      </c>
      <c r="G71" s="40" t="s">
        <v>47</v>
      </c>
      <c r="H71" s="40">
        <f>COUNTIFS(M10:M59,"C (Plain)",B10:B59,"&lt;&gt;0")</f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2"/>
      <c r="C72" s="3"/>
      <c r="D72" s="1"/>
      <c r="E72" s="1"/>
      <c r="F72" s="38" t="s">
        <v>163</v>
      </c>
      <c r="G72" s="40" t="s">
        <v>48</v>
      </c>
      <c r="H72" s="40">
        <f>COUNTIFS(M10:M59,"D (Plain)",B10:B59,"&lt;&gt;0")</f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2"/>
      <c r="C73" s="3"/>
      <c r="D73" s="1"/>
      <c r="E73" s="1"/>
      <c r="F73" s="38" t="s">
        <v>49</v>
      </c>
      <c r="G73" s="40" t="s">
        <v>50</v>
      </c>
      <c r="H73" s="40">
        <f>COUNTIFS(M10:M59,"F (Fail)",B10:B59,"&lt;&gt;0")</f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2"/>
      <c r="C74" s="3"/>
      <c r="D74" s="1"/>
      <c r="E74" s="1"/>
      <c r="F74" s="46" t="s">
        <v>51</v>
      </c>
      <c r="G74" s="40" t="s">
        <v>52</v>
      </c>
      <c r="H74" s="40">
        <f>COUNTIFS(M10:M59,"I (Incomplete)",B10:B59,"&lt;&gt;0")</f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83" t="str">
        <f>GradeSheet!$H$5</f>
        <v>Rubaiya Hafiz</v>
      </c>
      <c r="C75" s="184"/>
      <c r="D75" s="1"/>
      <c r="E75" s="1"/>
      <c r="F75" s="46" t="s">
        <v>53</v>
      </c>
      <c r="G75" s="40" t="s">
        <v>54</v>
      </c>
      <c r="H75" s="40">
        <f>COUNTIFS(M10:M59,"W (Withdrawn)",B10:B59,"&lt;&gt;0")</f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85" t="s">
        <v>55</v>
      </c>
      <c r="C76" s="186"/>
      <c r="D76" s="1"/>
      <c r="E76" s="1"/>
      <c r="F76" s="46" t="s">
        <v>56</v>
      </c>
      <c r="G76" s="46"/>
      <c r="H76" s="40">
        <f>SUM(H64:H75)</f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85" t="s">
        <v>57</v>
      </c>
      <c r="C77" s="18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W78" s="1"/>
      <c r="X78" s="1"/>
      <c r="Y78" s="1"/>
      <c r="Z78" s="1"/>
      <c r="AA78" s="1"/>
    </row>
    <row r="79" spans="1:27" ht="15.75" customHeight="1">
      <c r="A79" s="1"/>
      <c r="W79" s="1"/>
      <c r="X79" s="1"/>
      <c r="Y79" s="1"/>
      <c r="Z79" s="1"/>
      <c r="AA79" s="1"/>
    </row>
    <row r="80" spans="1:27" ht="15.75" customHeight="1">
      <c r="A80" s="1"/>
      <c r="W80" s="1"/>
      <c r="X80" s="1"/>
      <c r="Y80" s="1"/>
      <c r="Z80" s="1"/>
      <c r="AA80" s="1"/>
    </row>
    <row r="81" spans="1:27" ht="15.75" customHeight="1">
      <c r="A81" s="1"/>
      <c r="W81" s="1"/>
      <c r="X81" s="1"/>
      <c r="Y81" s="1"/>
      <c r="Z81" s="1"/>
      <c r="AA81" s="1"/>
    </row>
    <row r="82" spans="1:27" ht="15.75" customHeight="1">
      <c r="A82" s="1"/>
      <c r="W82" s="1"/>
      <c r="X82" s="1"/>
      <c r="Y82" s="1"/>
      <c r="Z82" s="1"/>
      <c r="AA82" s="1"/>
    </row>
    <row r="83" spans="1:27" ht="15.75" customHeight="1">
      <c r="A83" s="1"/>
      <c r="W83" s="1"/>
      <c r="X83" s="1"/>
      <c r="Y83" s="1"/>
      <c r="Z83" s="1"/>
      <c r="AA83" s="1"/>
    </row>
    <row r="84" spans="1:27" ht="16.5" customHeight="1">
      <c r="A84" s="1"/>
      <c r="W84" s="1"/>
      <c r="X84" s="1"/>
      <c r="Y84" s="1"/>
      <c r="Z84" s="1"/>
      <c r="AA84" s="1"/>
    </row>
    <row r="85" spans="1:27" ht="15.75" customHeight="1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2.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2"/>
      <c r="C268" s="3"/>
      <c r="D268" s="1"/>
      <c r="E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B269" s="9"/>
      <c r="C269" s="10"/>
    </row>
    <row r="270" spans="1:27" ht="15.75" customHeight="1">
      <c r="B270" s="9"/>
      <c r="C270" s="10"/>
    </row>
    <row r="271" spans="1:27" ht="15.75" customHeight="1">
      <c r="B271" s="9"/>
      <c r="C271" s="10"/>
    </row>
    <row r="272" spans="1:27" ht="15.75" customHeight="1">
      <c r="B272" s="9"/>
      <c r="C272" s="10"/>
    </row>
    <row r="273" spans="2:3" ht="15.75" customHeight="1">
      <c r="B273" s="9"/>
      <c r="C273" s="10"/>
    </row>
    <row r="274" spans="2:3" ht="15.75" customHeight="1">
      <c r="B274" s="9"/>
      <c r="C274" s="10"/>
    </row>
    <row r="275" spans="2:3" ht="15.75" customHeight="1">
      <c r="B275" s="9"/>
      <c r="C275" s="10"/>
    </row>
    <row r="276" spans="2:3" ht="15.75" customHeight="1">
      <c r="B276" s="9"/>
      <c r="C276" s="10"/>
    </row>
    <row r="277" spans="2:3" ht="15.75" customHeight="1">
      <c r="B277" s="9"/>
      <c r="C277" s="10"/>
    </row>
    <row r="278" spans="2:3" ht="15.75" customHeight="1">
      <c r="B278" s="9"/>
      <c r="C278" s="10"/>
    </row>
    <row r="279" spans="2:3" ht="15.75" customHeight="1">
      <c r="B279" s="9"/>
      <c r="C279" s="10"/>
    </row>
    <row r="280" spans="2:3" ht="15.75" customHeight="1">
      <c r="B280" s="9"/>
      <c r="C280" s="10"/>
    </row>
    <row r="281" spans="2:3" ht="15.75" customHeight="1">
      <c r="B281" s="9"/>
      <c r="C281" s="10"/>
    </row>
    <row r="282" spans="2:3" ht="15.75" customHeight="1">
      <c r="B282" s="9"/>
      <c r="C282" s="10"/>
    </row>
    <row r="283" spans="2:3" ht="15.75" customHeight="1">
      <c r="B283" s="9"/>
      <c r="C283" s="10"/>
    </row>
    <row r="284" spans="2:3" ht="15.75" customHeight="1">
      <c r="B284" s="9"/>
      <c r="C284" s="10"/>
    </row>
    <row r="285" spans="2:3" ht="15.75" customHeight="1">
      <c r="B285" s="9"/>
      <c r="C285" s="10"/>
    </row>
    <row r="286" spans="2:3" ht="15.75" customHeight="1">
      <c r="B286" s="9"/>
      <c r="C286" s="10"/>
    </row>
    <row r="287" spans="2:3" ht="15.75" customHeight="1">
      <c r="B287" s="9"/>
      <c r="C287" s="10"/>
    </row>
    <row r="288" spans="2:3" ht="15.75" customHeight="1">
      <c r="B288" s="9"/>
      <c r="C288" s="10"/>
    </row>
    <row r="289" spans="2:3" ht="15.75" customHeight="1">
      <c r="B289" s="9"/>
      <c r="C289" s="10"/>
    </row>
    <row r="290" spans="2:3" ht="15.75" customHeight="1">
      <c r="B290" s="9"/>
      <c r="C290" s="10"/>
    </row>
    <row r="291" spans="2:3" ht="15.75" customHeight="1">
      <c r="B291" s="9"/>
      <c r="C291" s="10"/>
    </row>
    <row r="292" spans="2:3" ht="15.75" customHeight="1">
      <c r="B292" s="9"/>
      <c r="C292" s="10"/>
    </row>
    <row r="293" spans="2:3" ht="15.75" customHeight="1">
      <c r="B293" s="9"/>
      <c r="C293" s="10"/>
    </row>
    <row r="294" spans="2:3" ht="15.75" customHeight="1">
      <c r="B294" s="9"/>
      <c r="C294" s="10"/>
    </row>
    <row r="295" spans="2:3" ht="15.75" customHeight="1">
      <c r="B295" s="9"/>
      <c r="C295" s="10"/>
    </row>
    <row r="296" spans="2:3" ht="15.75" customHeight="1">
      <c r="B296" s="9"/>
      <c r="C296" s="10"/>
    </row>
    <row r="297" spans="2:3" ht="15.75" customHeight="1">
      <c r="B297" s="9"/>
      <c r="C297" s="10"/>
    </row>
    <row r="298" spans="2:3" ht="15.75" customHeight="1">
      <c r="B298" s="9"/>
      <c r="C298" s="10"/>
    </row>
    <row r="299" spans="2:3" ht="15.75" customHeight="1">
      <c r="B299" s="9"/>
      <c r="C299" s="10"/>
    </row>
    <row r="300" spans="2:3" ht="15.75" customHeight="1">
      <c r="B300" s="9"/>
      <c r="C300" s="10"/>
    </row>
    <row r="301" spans="2:3" ht="15.75" customHeight="1">
      <c r="B301" s="9"/>
      <c r="C301" s="10"/>
    </row>
    <row r="302" spans="2:3" ht="15.75" customHeight="1">
      <c r="B302" s="9"/>
      <c r="C302" s="10"/>
    </row>
    <row r="303" spans="2:3" ht="15.75" customHeight="1">
      <c r="B303" s="9"/>
      <c r="C303" s="10"/>
    </row>
    <row r="304" spans="2:3" ht="15.75" customHeight="1">
      <c r="B304" s="9"/>
      <c r="C304" s="10"/>
    </row>
    <row r="305" spans="2:3" ht="15.75" customHeight="1">
      <c r="B305" s="9"/>
      <c r="C305" s="10"/>
    </row>
    <row r="306" spans="2:3" ht="15.75" customHeight="1">
      <c r="B306" s="9"/>
      <c r="C306" s="10"/>
    </row>
    <row r="307" spans="2:3" ht="15.75" customHeight="1">
      <c r="B307" s="9"/>
      <c r="C307" s="10"/>
    </row>
    <row r="308" spans="2:3" ht="15.75" customHeight="1">
      <c r="B308" s="9"/>
      <c r="C308" s="10"/>
    </row>
    <row r="309" spans="2:3" ht="15.75" customHeight="1">
      <c r="B309" s="9"/>
      <c r="C309" s="10"/>
    </row>
    <row r="310" spans="2:3" ht="15.75" customHeight="1">
      <c r="B310" s="9"/>
      <c r="C310" s="10"/>
    </row>
    <row r="311" spans="2:3" ht="15.75" customHeight="1">
      <c r="B311" s="9"/>
      <c r="C311" s="10"/>
    </row>
    <row r="312" spans="2:3" ht="15.75" customHeight="1">
      <c r="B312" s="9"/>
      <c r="C312" s="10"/>
    </row>
    <row r="313" spans="2:3" ht="15.75" customHeight="1">
      <c r="B313" s="9"/>
      <c r="C313" s="10"/>
    </row>
    <row r="314" spans="2:3" ht="15.75" customHeight="1">
      <c r="B314" s="9"/>
      <c r="C314" s="10"/>
    </row>
    <row r="315" spans="2:3" ht="15.75" customHeight="1">
      <c r="B315" s="9"/>
      <c r="C315" s="10"/>
    </row>
    <row r="316" spans="2:3" ht="15.75" customHeight="1">
      <c r="B316" s="9"/>
      <c r="C316" s="10"/>
    </row>
    <row r="317" spans="2:3" ht="15.75" customHeight="1">
      <c r="B317" s="9"/>
      <c r="C317" s="10"/>
    </row>
    <row r="318" spans="2:3" ht="15.75" customHeight="1">
      <c r="B318" s="9"/>
      <c r="C318" s="10"/>
    </row>
    <row r="319" spans="2:3" ht="15.75" customHeight="1">
      <c r="B319" s="9"/>
      <c r="C319" s="10"/>
    </row>
    <row r="320" spans="2:3" ht="15.75" customHeight="1">
      <c r="B320" s="9"/>
      <c r="C320" s="10"/>
    </row>
    <row r="321" spans="2:3" ht="15.75" customHeight="1">
      <c r="B321" s="9"/>
      <c r="C321" s="10"/>
    </row>
    <row r="322" spans="2:3" ht="15.75" customHeight="1">
      <c r="B322" s="9"/>
      <c r="C322" s="10"/>
    </row>
    <row r="323" spans="2:3" ht="15.75" customHeight="1">
      <c r="B323" s="9"/>
      <c r="C323" s="10"/>
    </row>
    <row r="324" spans="2:3" ht="15.75" customHeight="1">
      <c r="B324" s="9"/>
      <c r="C324" s="10"/>
    </row>
    <row r="325" spans="2:3" ht="15.75" customHeight="1">
      <c r="B325" s="9"/>
      <c r="C325" s="10"/>
    </row>
    <row r="326" spans="2:3" ht="15.75" customHeight="1">
      <c r="B326" s="9"/>
      <c r="C326" s="10"/>
    </row>
    <row r="327" spans="2:3" ht="15.75" customHeight="1">
      <c r="B327" s="9"/>
      <c r="C327" s="10"/>
    </row>
    <row r="328" spans="2:3" ht="15.75" customHeight="1">
      <c r="B328" s="9"/>
      <c r="C328" s="10"/>
    </row>
    <row r="329" spans="2:3" ht="15.75" customHeight="1">
      <c r="B329" s="9"/>
      <c r="C329" s="10"/>
    </row>
    <row r="330" spans="2:3" ht="15.75" customHeight="1">
      <c r="B330" s="9"/>
      <c r="C330" s="10"/>
    </row>
    <row r="331" spans="2:3" ht="15.75" customHeight="1">
      <c r="B331" s="9"/>
      <c r="C331" s="10"/>
    </row>
    <row r="332" spans="2:3" ht="15.75" customHeight="1">
      <c r="B332" s="9"/>
      <c r="C332" s="10"/>
    </row>
    <row r="333" spans="2:3" ht="15.75" customHeight="1">
      <c r="B333" s="9"/>
      <c r="C333" s="10"/>
    </row>
    <row r="334" spans="2:3" ht="15.75" customHeight="1">
      <c r="B334" s="9"/>
      <c r="C334" s="10"/>
    </row>
    <row r="335" spans="2:3" ht="15.75" customHeight="1">
      <c r="B335" s="9"/>
      <c r="C335" s="10"/>
    </row>
    <row r="336" spans="2:3" ht="15.75" customHeight="1">
      <c r="B336" s="9"/>
      <c r="C336" s="10"/>
    </row>
    <row r="337" spans="2:3" ht="15.75" customHeight="1">
      <c r="B337" s="9"/>
      <c r="C337" s="10"/>
    </row>
    <row r="338" spans="2:3" ht="15.75" customHeight="1">
      <c r="B338" s="9"/>
      <c r="C338" s="10"/>
    </row>
    <row r="339" spans="2:3" ht="15.75" customHeight="1">
      <c r="B339" s="9"/>
      <c r="C339" s="10"/>
    </row>
    <row r="340" spans="2:3" ht="15.75" customHeight="1">
      <c r="B340" s="9"/>
      <c r="C340" s="10"/>
    </row>
    <row r="341" spans="2:3" ht="15.75" customHeight="1">
      <c r="B341" s="9"/>
      <c r="C341" s="10"/>
    </row>
    <row r="342" spans="2:3" ht="15.75" customHeight="1">
      <c r="B342" s="9"/>
      <c r="C342" s="10"/>
    </row>
    <row r="343" spans="2:3" ht="15.75" customHeight="1">
      <c r="B343" s="9"/>
      <c r="C343" s="10"/>
    </row>
    <row r="344" spans="2:3" ht="15.75" customHeight="1">
      <c r="B344" s="9"/>
      <c r="C344" s="10"/>
    </row>
    <row r="345" spans="2:3" ht="15.75" customHeight="1">
      <c r="B345" s="9"/>
      <c r="C345" s="10"/>
    </row>
    <row r="346" spans="2:3" ht="15.75" customHeight="1">
      <c r="B346" s="9"/>
      <c r="C346" s="10"/>
    </row>
    <row r="347" spans="2:3" ht="15.75" customHeight="1">
      <c r="B347" s="9"/>
      <c r="C347" s="10"/>
    </row>
    <row r="348" spans="2:3" ht="15.75" customHeight="1">
      <c r="B348" s="9"/>
      <c r="C348" s="10"/>
    </row>
    <row r="349" spans="2:3" ht="15.75" customHeight="1">
      <c r="B349" s="9"/>
      <c r="C349" s="10"/>
    </row>
    <row r="350" spans="2:3" ht="15.75" customHeight="1">
      <c r="B350" s="9"/>
      <c r="C350" s="10"/>
    </row>
    <row r="351" spans="2:3" ht="15.75" customHeight="1">
      <c r="B351" s="9"/>
      <c r="C351" s="10"/>
    </row>
    <row r="352" spans="2:3" ht="15.75" customHeight="1">
      <c r="B352" s="9"/>
      <c r="C352" s="10"/>
    </row>
    <row r="353" spans="2:3" ht="15.75" customHeight="1">
      <c r="B353" s="9"/>
      <c r="C353" s="10"/>
    </row>
    <row r="354" spans="2:3" ht="15.75" customHeight="1">
      <c r="B354" s="9"/>
      <c r="C354" s="10"/>
    </row>
    <row r="355" spans="2:3" ht="15.75" customHeight="1">
      <c r="B355" s="9"/>
      <c r="C355" s="10"/>
    </row>
    <row r="356" spans="2:3" ht="15.75" customHeight="1">
      <c r="B356" s="9"/>
      <c r="C356" s="10"/>
    </row>
    <row r="357" spans="2:3" ht="15.75" customHeight="1">
      <c r="B357" s="9"/>
      <c r="C357" s="10"/>
    </row>
    <row r="358" spans="2:3" ht="15.75" customHeight="1">
      <c r="B358" s="9"/>
      <c r="C358" s="10"/>
    </row>
    <row r="359" spans="2:3" ht="15.75" customHeight="1">
      <c r="B359" s="9"/>
      <c r="C359" s="10"/>
    </row>
    <row r="360" spans="2:3" ht="15.75" customHeight="1">
      <c r="B360" s="9"/>
      <c r="C360" s="10"/>
    </row>
    <row r="361" spans="2:3" ht="15.75" customHeight="1">
      <c r="B361" s="9"/>
      <c r="C361" s="10"/>
    </row>
    <row r="362" spans="2:3" ht="15.75" customHeight="1">
      <c r="B362" s="9"/>
      <c r="C362" s="10"/>
    </row>
    <row r="363" spans="2:3" ht="15.75" customHeight="1">
      <c r="B363" s="9"/>
      <c r="C363" s="10"/>
    </row>
    <row r="364" spans="2:3" ht="15.75" customHeight="1">
      <c r="B364" s="9"/>
      <c r="C364" s="10"/>
    </row>
    <row r="365" spans="2:3" ht="15.75" customHeight="1">
      <c r="B365" s="9"/>
      <c r="C365" s="10"/>
    </row>
    <row r="366" spans="2:3" ht="15.75" customHeight="1">
      <c r="B366" s="9"/>
      <c r="C366" s="10"/>
    </row>
    <row r="367" spans="2:3" ht="15.75" customHeight="1">
      <c r="B367" s="9"/>
      <c r="C367" s="10"/>
    </row>
    <row r="368" spans="2:3" ht="15.75" customHeight="1">
      <c r="B368" s="9"/>
      <c r="C368" s="10"/>
    </row>
    <row r="369" spans="2:3" ht="15.75" customHeight="1">
      <c r="B369" s="9"/>
      <c r="C369" s="10"/>
    </row>
    <row r="370" spans="2:3" ht="15.75" customHeight="1">
      <c r="B370" s="9"/>
      <c r="C370" s="10"/>
    </row>
    <row r="371" spans="2:3" ht="15.75" customHeight="1">
      <c r="B371" s="9"/>
      <c r="C371" s="10"/>
    </row>
    <row r="372" spans="2:3" ht="15.75" customHeight="1">
      <c r="B372" s="9"/>
      <c r="C372" s="10"/>
    </row>
    <row r="373" spans="2:3" ht="15.75" customHeight="1">
      <c r="B373" s="9"/>
      <c r="C373" s="10"/>
    </row>
    <row r="374" spans="2:3" ht="15.75" customHeight="1">
      <c r="B374" s="9"/>
      <c r="C374" s="10"/>
    </row>
    <row r="375" spans="2:3" ht="15.75" customHeight="1">
      <c r="B375" s="9"/>
      <c r="C375" s="10"/>
    </row>
    <row r="376" spans="2:3" ht="15.75" customHeight="1">
      <c r="B376" s="9"/>
      <c r="C376" s="10"/>
    </row>
    <row r="377" spans="2:3" ht="15.75" customHeight="1">
      <c r="B377" s="9"/>
      <c r="C377" s="10"/>
    </row>
    <row r="378" spans="2:3" ht="15.75" customHeight="1">
      <c r="B378" s="9"/>
      <c r="C378" s="10"/>
    </row>
    <row r="379" spans="2:3" ht="15.75" customHeight="1">
      <c r="B379" s="9"/>
      <c r="C379" s="10"/>
    </row>
    <row r="380" spans="2:3" ht="15.75" customHeight="1">
      <c r="B380" s="9"/>
      <c r="C380" s="10"/>
    </row>
    <row r="381" spans="2:3" ht="15.75" customHeight="1">
      <c r="B381" s="9"/>
      <c r="C381" s="10"/>
    </row>
    <row r="382" spans="2:3" ht="15.75" customHeight="1">
      <c r="B382" s="9"/>
      <c r="C382" s="10"/>
    </row>
    <row r="383" spans="2:3" ht="15.75" customHeight="1">
      <c r="B383" s="9"/>
      <c r="C383" s="10"/>
    </row>
    <row r="384" spans="2:3" ht="15.75" customHeight="1">
      <c r="B384" s="9"/>
      <c r="C384" s="10"/>
    </row>
    <row r="385" spans="2:3" ht="15.75" customHeight="1">
      <c r="B385" s="9"/>
      <c r="C385" s="10"/>
    </row>
    <row r="386" spans="2:3" ht="15.75" customHeight="1">
      <c r="B386" s="9"/>
      <c r="C386" s="10"/>
    </row>
    <row r="387" spans="2:3" ht="15.75" customHeight="1">
      <c r="B387" s="9"/>
      <c r="C387" s="10"/>
    </row>
    <row r="388" spans="2:3" ht="15.75" customHeight="1">
      <c r="B388" s="9"/>
      <c r="C388" s="10"/>
    </row>
    <row r="389" spans="2:3" ht="15.75" customHeight="1">
      <c r="B389" s="9"/>
      <c r="C389" s="10"/>
    </row>
    <row r="390" spans="2:3" ht="15.75" customHeight="1">
      <c r="B390" s="9"/>
      <c r="C390" s="10"/>
    </row>
    <row r="391" spans="2:3" ht="15.75" customHeight="1">
      <c r="B391" s="9"/>
      <c r="C391" s="10"/>
    </row>
    <row r="392" spans="2:3" ht="15.75" customHeight="1">
      <c r="B392" s="9"/>
      <c r="C392" s="10"/>
    </row>
    <row r="393" spans="2:3" ht="15.75" customHeight="1">
      <c r="B393" s="9"/>
      <c r="C393" s="10"/>
    </row>
    <row r="394" spans="2:3" ht="15.75" customHeight="1">
      <c r="B394" s="9"/>
      <c r="C394" s="10"/>
    </row>
    <row r="395" spans="2:3" ht="15.75" customHeight="1">
      <c r="B395" s="9"/>
      <c r="C395" s="10"/>
    </row>
    <row r="396" spans="2:3" ht="15.75" customHeight="1">
      <c r="B396" s="9"/>
      <c r="C396" s="10"/>
    </row>
    <row r="397" spans="2:3" ht="15.75" customHeight="1">
      <c r="B397" s="9"/>
      <c r="C397" s="10"/>
    </row>
    <row r="398" spans="2:3" ht="15.75" customHeight="1">
      <c r="B398" s="9"/>
      <c r="C398" s="10"/>
    </row>
    <row r="399" spans="2:3" ht="15.75" customHeight="1">
      <c r="B399" s="9"/>
      <c r="C399" s="10"/>
    </row>
    <row r="400" spans="2:3" ht="15.75" customHeight="1">
      <c r="B400" s="9"/>
      <c r="C400" s="10"/>
    </row>
    <row r="401" spans="2:3" ht="15.75" customHeight="1">
      <c r="B401" s="9"/>
      <c r="C401" s="10"/>
    </row>
    <row r="402" spans="2:3" ht="15.75" customHeight="1">
      <c r="B402" s="9"/>
      <c r="C402" s="10"/>
    </row>
    <row r="403" spans="2:3" ht="15.75" customHeight="1">
      <c r="B403" s="9"/>
      <c r="C403" s="10"/>
    </row>
    <row r="404" spans="2:3" ht="15.75" customHeight="1">
      <c r="B404" s="9"/>
      <c r="C404" s="10"/>
    </row>
    <row r="405" spans="2:3" ht="15.75" customHeight="1">
      <c r="B405" s="9"/>
      <c r="C405" s="10"/>
    </row>
    <row r="406" spans="2:3" ht="15.75" customHeight="1">
      <c r="B406" s="9"/>
      <c r="C406" s="10"/>
    </row>
    <row r="407" spans="2:3" ht="15.75" customHeight="1">
      <c r="B407" s="9"/>
      <c r="C407" s="10"/>
    </row>
    <row r="408" spans="2:3" ht="15.75" customHeight="1">
      <c r="B408" s="9"/>
      <c r="C408" s="10"/>
    </row>
    <row r="409" spans="2:3" ht="15.75" customHeight="1">
      <c r="B409" s="9"/>
      <c r="C409" s="10"/>
    </row>
    <row r="410" spans="2:3" ht="15.75" customHeight="1">
      <c r="B410" s="9"/>
      <c r="C410" s="10"/>
    </row>
    <row r="411" spans="2:3" ht="15.75" customHeight="1">
      <c r="B411" s="9"/>
      <c r="C411" s="10"/>
    </row>
    <row r="412" spans="2:3" ht="15.75" customHeight="1">
      <c r="B412" s="9"/>
      <c r="C412" s="10"/>
    </row>
    <row r="413" spans="2:3" ht="15.75" customHeight="1">
      <c r="B413" s="9"/>
      <c r="C413" s="10"/>
    </row>
    <row r="414" spans="2:3" ht="15.75" customHeight="1">
      <c r="B414" s="9"/>
      <c r="C414" s="10"/>
    </row>
    <row r="415" spans="2:3" ht="15.75" customHeight="1">
      <c r="B415" s="9"/>
      <c r="C415" s="10"/>
    </row>
    <row r="416" spans="2:3" ht="15.75" customHeight="1">
      <c r="B416" s="9"/>
      <c r="C416" s="10"/>
    </row>
    <row r="417" spans="2:3" ht="15.75" customHeight="1">
      <c r="B417" s="9"/>
      <c r="C417" s="10"/>
    </row>
    <row r="418" spans="2:3" ht="15.75" customHeight="1">
      <c r="B418" s="9"/>
      <c r="C418" s="10"/>
    </row>
    <row r="419" spans="2:3" ht="15.75" customHeight="1">
      <c r="B419" s="9"/>
      <c r="C419" s="10"/>
    </row>
    <row r="420" spans="2:3" ht="15.75" customHeight="1">
      <c r="B420" s="9"/>
      <c r="C420" s="10"/>
    </row>
    <row r="421" spans="2:3" ht="15.75" customHeight="1">
      <c r="B421" s="9"/>
      <c r="C421" s="10"/>
    </row>
    <row r="422" spans="2:3" ht="15.75" customHeight="1">
      <c r="B422" s="9"/>
      <c r="C422" s="10"/>
    </row>
    <row r="423" spans="2:3" ht="15.75" customHeight="1">
      <c r="B423" s="9"/>
      <c r="C423" s="10"/>
    </row>
    <row r="424" spans="2:3" ht="15.75" customHeight="1">
      <c r="B424" s="9"/>
      <c r="C424" s="10"/>
    </row>
    <row r="425" spans="2:3" ht="15.75" customHeight="1">
      <c r="B425" s="9"/>
      <c r="C425" s="10"/>
    </row>
    <row r="426" spans="2:3" ht="15.75" customHeight="1">
      <c r="B426" s="9"/>
      <c r="C426" s="10"/>
    </row>
    <row r="427" spans="2:3" ht="15.75" customHeight="1">
      <c r="B427" s="9"/>
      <c r="C427" s="10"/>
    </row>
    <row r="428" spans="2:3" ht="15.75" customHeight="1">
      <c r="B428" s="9"/>
      <c r="C428" s="10"/>
    </row>
    <row r="429" spans="2:3" ht="15.75" customHeight="1">
      <c r="B429" s="9"/>
      <c r="C429" s="10"/>
    </row>
    <row r="430" spans="2:3" ht="15.75" customHeight="1">
      <c r="B430" s="9"/>
      <c r="C430" s="10"/>
    </row>
    <row r="431" spans="2:3" ht="15.75" customHeight="1">
      <c r="B431" s="9"/>
      <c r="C431" s="10"/>
    </row>
    <row r="432" spans="2:3" ht="15.75" customHeight="1">
      <c r="B432" s="9"/>
      <c r="C432" s="10"/>
    </row>
    <row r="433" spans="2:3" ht="15.75" customHeight="1">
      <c r="B433" s="9"/>
      <c r="C433" s="10"/>
    </row>
    <row r="434" spans="2:3" ht="15.75" customHeight="1">
      <c r="B434" s="9"/>
      <c r="C434" s="10"/>
    </row>
    <row r="435" spans="2:3" ht="15.75" customHeight="1">
      <c r="B435" s="9"/>
      <c r="C435" s="10"/>
    </row>
    <row r="436" spans="2:3" ht="15.75" customHeight="1">
      <c r="B436" s="9"/>
      <c r="C436" s="10"/>
    </row>
    <row r="437" spans="2:3" ht="15.75" customHeight="1">
      <c r="B437" s="9"/>
      <c r="C437" s="10"/>
    </row>
    <row r="438" spans="2:3" ht="15.75" customHeight="1">
      <c r="B438" s="9"/>
      <c r="C438" s="10"/>
    </row>
    <row r="439" spans="2:3" ht="15.75" customHeight="1">
      <c r="B439" s="9"/>
      <c r="C439" s="10"/>
    </row>
    <row r="440" spans="2:3" ht="15.75" customHeight="1">
      <c r="B440" s="9"/>
      <c r="C440" s="10"/>
    </row>
    <row r="441" spans="2:3" ht="15.75" customHeight="1">
      <c r="B441" s="9"/>
      <c r="C441" s="10"/>
    </row>
    <row r="442" spans="2:3" ht="15.75" customHeight="1">
      <c r="B442" s="9"/>
      <c r="C442" s="10"/>
    </row>
    <row r="443" spans="2:3" ht="15.75" customHeight="1">
      <c r="B443" s="9"/>
      <c r="C443" s="10"/>
    </row>
    <row r="444" spans="2:3" ht="15.75" customHeight="1">
      <c r="B444" s="9"/>
      <c r="C444" s="10"/>
    </row>
    <row r="445" spans="2:3" ht="15.75" customHeight="1">
      <c r="B445" s="9"/>
      <c r="C445" s="10"/>
    </row>
    <row r="446" spans="2:3" ht="15.75" customHeight="1">
      <c r="B446" s="9"/>
      <c r="C446" s="10"/>
    </row>
    <row r="447" spans="2:3" ht="15.75" customHeight="1">
      <c r="B447" s="9"/>
      <c r="C447" s="10"/>
    </row>
    <row r="448" spans="2:3" ht="15.75" customHeight="1">
      <c r="B448" s="9"/>
      <c r="C448" s="10"/>
    </row>
    <row r="449" spans="2:3" ht="15.75" customHeight="1">
      <c r="B449" s="9"/>
      <c r="C449" s="10"/>
    </row>
    <row r="450" spans="2:3" ht="15.75" customHeight="1">
      <c r="B450" s="9"/>
      <c r="C450" s="10"/>
    </row>
    <row r="451" spans="2:3" ht="15.75" customHeight="1">
      <c r="B451" s="9"/>
      <c r="C451" s="10"/>
    </row>
    <row r="452" spans="2:3" ht="15.75" customHeight="1">
      <c r="B452" s="9"/>
      <c r="C452" s="10"/>
    </row>
    <row r="453" spans="2:3" ht="15.75" customHeight="1">
      <c r="B453" s="9"/>
      <c r="C453" s="10"/>
    </row>
    <row r="454" spans="2:3" ht="15.75" customHeight="1">
      <c r="B454" s="9"/>
      <c r="C454" s="10"/>
    </row>
    <row r="455" spans="2:3" ht="15.75" customHeight="1">
      <c r="B455" s="9"/>
      <c r="C455" s="10"/>
    </row>
    <row r="456" spans="2:3" ht="15.75" customHeight="1">
      <c r="B456" s="9"/>
      <c r="C456" s="10"/>
    </row>
    <row r="457" spans="2:3" ht="15.75" customHeight="1">
      <c r="B457" s="9"/>
      <c r="C457" s="10"/>
    </row>
    <row r="458" spans="2:3" ht="15.75" customHeight="1">
      <c r="B458" s="9"/>
      <c r="C458" s="10"/>
    </row>
    <row r="459" spans="2:3" ht="15.75" customHeight="1">
      <c r="B459" s="9"/>
      <c r="C459" s="10"/>
    </row>
    <row r="460" spans="2:3" ht="15.75" customHeight="1">
      <c r="B460" s="9"/>
      <c r="C460" s="10"/>
    </row>
    <row r="461" spans="2:3" ht="15.75" customHeight="1">
      <c r="B461" s="9"/>
      <c r="C461" s="10"/>
    </row>
    <row r="462" spans="2:3" ht="15.75" customHeight="1">
      <c r="B462" s="9"/>
      <c r="C462" s="10"/>
    </row>
    <row r="463" spans="2:3" ht="15.75" customHeight="1">
      <c r="B463" s="9"/>
      <c r="C463" s="10"/>
    </row>
    <row r="464" spans="2:3" ht="15.75" customHeight="1">
      <c r="B464" s="9"/>
      <c r="C464" s="10"/>
    </row>
    <row r="465" spans="2:3" ht="15.75" customHeight="1">
      <c r="B465" s="9"/>
      <c r="C465" s="10"/>
    </row>
    <row r="466" spans="2:3" ht="15.75" customHeight="1">
      <c r="B466" s="9"/>
      <c r="C466" s="10"/>
    </row>
    <row r="467" spans="2:3" ht="15.75" customHeight="1">
      <c r="B467" s="9"/>
      <c r="C467" s="10"/>
    </row>
    <row r="468" spans="2:3" ht="15.75" customHeight="1">
      <c r="B468" s="9"/>
      <c r="C468" s="10"/>
    </row>
    <row r="469" spans="2:3" ht="15.75" customHeight="1">
      <c r="B469" s="9"/>
      <c r="C469" s="10"/>
    </row>
    <row r="470" spans="2:3" ht="15.75" customHeight="1">
      <c r="B470" s="9"/>
      <c r="C470" s="10"/>
    </row>
    <row r="471" spans="2:3" ht="15.75" customHeight="1">
      <c r="B471" s="9"/>
      <c r="C471" s="10"/>
    </row>
    <row r="472" spans="2:3" ht="15.75" customHeight="1">
      <c r="B472" s="9"/>
      <c r="C472" s="10"/>
    </row>
    <row r="473" spans="2:3" ht="15.75" customHeight="1">
      <c r="B473" s="9"/>
      <c r="C473" s="10"/>
    </row>
    <row r="474" spans="2:3" ht="15.75" customHeight="1">
      <c r="B474" s="9"/>
      <c r="C474" s="10"/>
    </row>
    <row r="475" spans="2:3" ht="15.75" customHeight="1">
      <c r="B475" s="9"/>
      <c r="C475" s="10"/>
    </row>
    <row r="476" spans="2:3" ht="15.75" customHeight="1">
      <c r="B476" s="9"/>
      <c r="C476" s="10"/>
    </row>
    <row r="477" spans="2:3" ht="15.75" customHeight="1">
      <c r="B477" s="9"/>
      <c r="C477" s="10"/>
    </row>
    <row r="478" spans="2:3" ht="15.75" customHeight="1">
      <c r="B478" s="9"/>
      <c r="C478" s="10"/>
    </row>
    <row r="479" spans="2:3" ht="15.75" customHeight="1">
      <c r="B479" s="9"/>
      <c r="C479" s="10"/>
    </row>
    <row r="480" spans="2:3" ht="15.75" customHeight="1">
      <c r="B480" s="9"/>
      <c r="C480" s="10"/>
    </row>
    <row r="481" spans="2:3" ht="15.75" customHeight="1">
      <c r="B481" s="9"/>
      <c r="C481" s="10"/>
    </row>
    <row r="482" spans="2:3" ht="15.75" customHeight="1">
      <c r="B482" s="9"/>
      <c r="C482" s="10"/>
    </row>
    <row r="483" spans="2:3" ht="15.75" customHeight="1">
      <c r="B483" s="9"/>
      <c r="C483" s="10"/>
    </row>
    <row r="484" spans="2:3" ht="15.75" customHeight="1">
      <c r="B484" s="9"/>
      <c r="C484" s="10"/>
    </row>
    <row r="485" spans="2:3" ht="15.75" customHeight="1">
      <c r="B485" s="9"/>
      <c r="C485" s="10"/>
    </row>
    <row r="486" spans="2:3" ht="15.75" customHeight="1">
      <c r="B486" s="9"/>
      <c r="C486" s="10"/>
    </row>
    <row r="487" spans="2:3" ht="15.75" customHeight="1">
      <c r="B487" s="9"/>
      <c r="C487" s="10"/>
    </row>
    <row r="488" spans="2:3" ht="15.75" customHeight="1">
      <c r="B488" s="9"/>
      <c r="C488" s="10"/>
    </row>
    <row r="489" spans="2:3" ht="15.75" customHeight="1">
      <c r="B489" s="9"/>
      <c r="C489" s="10"/>
    </row>
    <row r="490" spans="2:3" ht="15.75" customHeight="1">
      <c r="B490" s="9"/>
      <c r="C490" s="10"/>
    </row>
    <row r="491" spans="2:3" ht="15.75" customHeight="1">
      <c r="B491" s="9"/>
      <c r="C491" s="10"/>
    </row>
    <row r="492" spans="2:3" ht="15.75" customHeight="1">
      <c r="B492" s="9"/>
      <c r="C492" s="10"/>
    </row>
    <row r="493" spans="2:3" ht="15.75" customHeight="1">
      <c r="B493" s="9"/>
      <c r="C493" s="10"/>
    </row>
    <row r="494" spans="2:3" ht="15.75" customHeight="1">
      <c r="B494" s="9"/>
      <c r="C494" s="10"/>
    </row>
    <row r="495" spans="2:3" ht="15.75" customHeight="1">
      <c r="B495" s="9"/>
      <c r="C495" s="10"/>
    </row>
    <row r="496" spans="2:3" ht="15.75" customHeight="1">
      <c r="B496" s="9"/>
      <c r="C496" s="10"/>
    </row>
    <row r="497" spans="2:3" ht="15.75" customHeight="1">
      <c r="B497" s="9"/>
      <c r="C497" s="10"/>
    </row>
    <row r="498" spans="2:3" ht="15.75" customHeight="1">
      <c r="B498" s="9"/>
      <c r="C498" s="10"/>
    </row>
    <row r="499" spans="2:3" ht="15.75" customHeight="1">
      <c r="B499" s="9"/>
      <c r="C499" s="10"/>
    </row>
    <row r="500" spans="2:3" ht="15.75" customHeight="1">
      <c r="B500" s="9"/>
      <c r="C500" s="10"/>
    </row>
    <row r="501" spans="2:3" ht="15.75" customHeight="1">
      <c r="B501" s="9"/>
      <c r="C501" s="10"/>
    </row>
    <row r="502" spans="2:3" ht="15.75" customHeight="1">
      <c r="B502" s="9"/>
      <c r="C502" s="10"/>
    </row>
    <row r="503" spans="2:3" ht="15.75" customHeight="1">
      <c r="B503" s="9"/>
      <c r="C503" s="10"/>
    </row>
    <row r="504" spans="2:3" ht="15.75" customHeight="1">
      <c r="B504" s="9"/>
      <c r="C504" s="10"/>
    </row>
    <row r="505" spans="2:3" ht="15.75" customHeight="1">
      <c r="B505" s="9"/>
      <c r="C505" s="10"/>
    </row>
    <row r="506" spans="2:3" ht="15.75" customHeight="1">
      <c r="B506" s="9"/>
      <c r="C506" s="10"/>
    </row>
    <row r="507" spans="2:3" ht="15.75" customHeight="1">
      <c r="B507" s="9"/>
      <c r="C507" s="10"/>
    </row>
    <row r="508" spans="2:3" ht="15.75" customHeight="1">
      <c r="B508" s="9"/>
      <c r="C508" s="10"/>
    </row>
    <row r="509" spans="2:3" ht="15.75" customHeight="1">
      <c r="B509" s="9"/>
      <c r="C509" s="10"/>
    </row>
    <row r="510" spans="2:3" ht="15.75" customHeight="1">
      <c r="B510" s="9"/>
      <c r="C510" s="10"/>
    </row>
    <row r="511" spans="2:3" ht="15.75" customHeight="1">
      <c r="B511" s="9"/>
      <c r="C511" s="10"/>
    </row>
    <row r="512" spans="2:3" ht="15.75" customHeight="1">
      <c r="B512" s="9"/>
      <c r="C512" s="10"/>
    </row>
    <row r="513" spans="2:3" ht="15.75" customHeight="1">
      <c r="B513" s="9"/>
      <c r="C513" s="10"/>
    </row>
    <row r="514" spans="2:3" ht="15.75" customHeight="1">
      <c r="B514" s="9"/>
      <c r="C514" s="10"/>
    </row>
    <row r="515" spans="2:3" ht="15.75" customHeight="1">
      <c r="B515" s="9"/>
      <c r="C515" s="10"/>
    </row>
    <row r="516" spans="2:3" ht="15.75" customHeight="1">
      <c r="B516" s="9"/>
      <c r="C516" s="10"/>
    </row>
    <row r="517" spans="2:3" ht="15.75" customHeight="1">
      <c r="B517" s="9"/>
      <c r="C517" s="10"/>
    </row>
    <row r="518" spans="2:3" ht="15.75" customHeight="1">
      <c r="B518" s="9"/>
      <c r="C518" s="10"/>
    </row>
    <row r="519" spans="2:3" ht="15.75" customHeight="1">
      <c r="B519" s="9"/>
      <c r="C519" s="10"/>
    </row>
    <row r="520" spans="2:3" ht="15.75" customHeight="1">
      <c r="B520" s="9"/>
      <c r="C520" s="10"/>
    </row>
    <row r="521" spans="2:3" ht="15.75" customHeight="1">
      <c r="B521" s="9"/>
      <c r="C521" s="10"/>
    </row>
    <row r="522" spans="2:3" ht="15.75" customHeight="1">
      <c r="B522" s="9"/>
      <c r="C522" s="10"/>
    </row>
    <row r="523" spans="2:3" ht="15.75" customHeight="1">
      <c r="B523" s="9"/>
      <c r="C523" s="10"/>
    </row>
    <row r="524" spans="2:3" ht="15.75" customHeight="1">
      <c r="B524" s="9"/>
      <c r="C524" s="10"/>
    </row>
    <row r="525" spans="2:3" ht="15.75" customHeight="1">
      <c r="B525" s="9"/>
      <c r="C525" s="10"/>
    </row>
    <row r="526" spans="2:3" ht="15.75" customHeight="1">
      <c r="B526" s="9"/>
      <c r="C526" s="10"/>
    </row>
    <row r="527" spans="2:3" ht="15.75" customHeight="1">
      <c r="B527" s="9"/>
      <c r="C527" s="10"/>
    </row>
    <row r="528" spans="2:3" ht="15.75" customHeight="1">
      <c r="B528" s="9"/>
      <c r="C528" s="10"/>
    </row>
    <row r="529" spans="2:3" ht="15.75" customHeight="1">
      <c r="B529" s="9"/>
      <c r="C529" s="10"/>
    </row>
    <row r="530" spans="2:3" ht="15.75" customHeight="1">
      <c r="B530" s="9"/>
      <c r="C530" s="10"/>
    </row>
    <row r="531" spans="2:3" ht="15.75" customHeight="1">
      <c r="B531" s="9"/>
      <c r="C531" s="10"/>
    </row>
    <row r="532" spans="2:3" ht="15.75" customHeight="1">
      <c r="B532" s="9"/>
      <c r="C532" s="10"/>
    </row>
    <row r="533" spans="2:3" ht="15.75" customHeight="1">
      <c r="B533" s="9"/>
      <c r="C533" s="10"/>
    </row>
    <row r="534" spans="2:3" ht="15.75" customHeight="1">
      <c r="B534" s="9"/>
      <c r="C534" s="10"/>
    </row>
    <row r="535" spans="2:3" ht="15.75" customHeight="1">
      <c r="B535" s="9"/>
      <c r="C535" s="10"/>
    </row>
    <row r="536" spans="2:3" ht="15.75" customHeight="1">
      <c r="B536" s="9"/>
      <c r="C536" s="10"/>
    </row>
    <row r="537" spans="2:3" ht="15.75" customHeight="1">
      <c r="B537" s="9"/>
      <c r="C537" s="10"/>
    </row>
    <row r="538" spans="2:3" ht="15.75" customHeight="1">
      <c r="B538" s="9"/>
      <c r="C538" s="10"/>
    </row>
    <row r="539" spans="2:3" ht="15.75" customHeight="1">
      <c r="B539" s="9"/>
      <c r="C539" s="10"/>
    </row>
    <row r="540" spans="2:3" ht="15.75" customHeight="1">
      <c r="B540" s="9"/>
      <c r="C540" s="10"/>
    </row>
    <row r="541" spans="2:3" ht="15.75" customHeight="1">
      <c r="B541" s="9"/>
      <c r="C541" s="10"/>
    </row>
    <row r="542" spans="2:3" ht="15.75" customHeight="1">
      <c r="B542" s="9"/>
      <c r="C542" s="10"/>
    </row>
    <row r="543" spans="2:3" ht="15.75" customHeight="1">
      <c r="B543" s="9"/>
      <c r="C543" s="10"/>
    </row>
    <row r="544" spans="2:3" ht="15.75" customHeight="1">
      <c r="B544" s="9"/>
      <c r="C544" s="10"/>
    </row>
    <row r="545" spans="2:3" ht="15.75" customHeight="1">
      <c r="B545" s="9"/>
      <c r="C545" s="10"/>
    </row>
    <row r="546" spans="2:3" ht="15.75" customHeight="1">
      <c r="B546" s="9"/>
      <c r="C546" s="10"/>
    </row>
    <row r="547" spans="2:3" ht="15.75" customHeight="1">
      <c r="B547" s="9"/>
      <c r="C547" s="10"/>
    </row>
    <row r="548" spans="2:3" ht="15.75" customHeight="1">
      <c r="B548" s="9"/>
      <c r="C548" s="10"/>
    </row>
    <row r="549" spans="2:3" ht="15.75" customHeight="1">
      <c r="B549" s="9"/>
      <c r="C549" s="10"/>
    </row>
    <row r="550" spans="2:3" ht="15.75" customHeight="1">
      <c r="B550" s="9"/>
      <c r="C550" s="10"/>
    </row>
    <row r="551" spans="2:3" ht="15.75" customHeight="1">
      <c r="B551" s="9"/>
      <c r="C551" s="10"/>
    </row>
    <row r="552" spans="2:3" ht="15.75" customHeight="1">
      <c r="B552" s="9"/>
      <c r="C552" s="10"/>
    </row>
    <row r="553" spans="2:3" ht="15.75" customHeight="1">
      <c r="B553" s="9"/>
      <c r="C553" s="10"/>
    </row>
    <row r="554" spans="2:3" ht="15.75" customHeight="1">
      <c r="B554" s="9"/>
      <c r="C554" s="10"/>
    </row>
    <row r="555" spans="2:3" ht="15.75" customHeight="1">
      <c r="B555" s="9"/>
      <c r="C555" s="10"/>
    </row>
    <row r="556" spans="2:3" ht="15.75" customHeight="1">
      <c r="B556" s="9"/>
      <c r="C556" s="10"/>
    </row>
    <row r="557" spans="2:3" ht="15.75" customHeight="1">
      <c r="B557" s="9"/>
      <c r="C557" s="10"/>
    </row>
    <row r="558" spans="2:3" ht="15.75" customHeight="1">
      <c r="B558" s="9"/>
      <c r="C558" s="10"/>
    </row>
    <row r="559" spans="2:3" ht="15.75" customHeight="1">
      <c r="B559" s="9"/>
      <c r="C559" s="10"/>
    </row>
    <row r="560" spans="2:3" ht="15.75" customHeight="1">
      <c r="B560" s="9"/>
      <c r="C560" s="10"/>
    </row>
    <row r="561" spans="2:3" ht="15.75" customHeight="1">
      <c r="B561" s="9"/>
      <c r="C561" s="10"/>
    </row>
    <row r="562" spans="2:3" ht="15.75" customHeight="1">
      <c r="B562" s="9"/>
      <c r="C562" s="10"/>
    </row>
    <row r="563" spans="2:3" ht="15.75" customHeight="1">
      <c r="B563" s="9"/>
      <c r="C563" s="10"/>
    </row>
    <row r="564" spans="2:3" ht="15.75" customHeight="1">
      <c r="B564" s="9"/>
      <c r="C564" s="10"/>
    </row>
    <row r="565" spans="2:3" ht="15.75" customHeight="1">
      <c r="B565" s="9"/>
      <c r="C565" s="10"/>
    </row>
    <row r="566" spans="2:3" ht="15.75" customHeight="1">
      <c r="B566" s="9"/>
      <c r="C566" s="10"/>
    </row>
    <row r="567" spans="2:3" ht="15.75" customHeight="1">
      <c r="B567" s="9"/>
      <c r="C567" s="10"/>
    </row>
    <row r="568" spans="2:3" ht="15.75" customHeight="1">
      <c r="B568" s="9"/>
      <c r="C568" s="10"/>
    </row>
    <row r="569" spans="2:3" ht="15.75" customHeight="1">
      <c r="B569" s="9"/>
      <c r="C569" s="10"/>
    </row>
    <row r="570" spans="2:3" ht="15.75" customHeight="1">
      <c r="B570" s="9"/>
      <c r="C570" s="10"/>
    </row>
    <row r="571" spans="2:3" ht="15.75" customHeight="1">
      <c r="B571" s="9"/>
      <c r="C571" s="10"/>
    </row>
    <row r="572" spans="2:3" ht="15.75" customHeight="1">
      <c r="B572" s="9"/>
      <c r="C572" s="10"/>
    </row>
    <row r="573" spans="2:3" ht="15.75" customHeight="1">
      <c r="B573" s="9"/>
      <c r="C573" s="10"/>
    </row>
    <row r="574" spans="2:3" ht="15.75" customHeight="1">
      <c r="B574" s="9"/>
      <c r="C574" s="10"/>
    </row>
    <row r="575" spans="2:3" ht="15.75" customHeight="1">
      <c r="B575" s="9"/>
      <c r="C575" s="10"/>
    </row>
    <row r="576" spans="2:3" ht="15.75" customHeight="1">
      <c r="B576" s="9"/>
      <c r="C576" s="10"/>
    </row>
    <row r="577" spans="2:3" ht="15.75" customHeight="1">
      <c r="B577" s="9"/>
      <c r="C577" s="10"/>
    </row>
    <row r="578" spans="2:3" ht="15.75" customHeight="1">
      <c r="B578" s="9"/>
      <c r="C578" s="10"/>
    </row>
    <row r="579" spans="2:3" ht="15.75" customHeight="1">
      <c r="B579" s="9"/>
      <c r="C579" s="10"/>
    </row>
    <row r="580" spans="2:3" ht="15.75" customHeight="1">
      <c r="B580" s="9"/>
      <c r="C580" s="10"/>
    </row>
    <row r="581" spans="2:3" ht="15.75" customHeight="1">
      <c r="B581" s="9"/>
      <c r="C581" s="10"/>
    </row>
    <row r="582" spans="2:3" ht="15.75" customHeight="1">
      <c r="B582" s="9"/>
      <c r="C582" s="10"/>
    </row>
    <row r="583" spans="2:3" ht="15.75" customHeight="1">
      <c r="B583" s="9"/>
      <c r="C583" s="10"/>
    </row>
    <row r="584" spans="2:3" ht="15.75" customHeight="1">
      <c r="B584" s="9"/>
      <c r="C584" s="10"/>
    </row>
    <row r="585" spans="2:3" ht="15.75" customHeight="1">
      <c r="B585" s="9"/>
      <c r="C585" s="10"/>
    </row>
    <row r="586" spans="2:3" ht="15.75" customHeight="1">
      <c r="B586" s="9"/>
      <c r="C586" s="10"/>
    </row>
    <row r="587" spans="2:3" ht="15.75" customHeight="1">
      <c r="B587" s="9"/>
      <c r="C587" s="10"/>
    </row>
    <row r="588" spans="2:3" ht="15.75" customHeight="1">
      <c r="B588" s="9"/>
      <c r="C588" s="10"/>
    </row>
    <row r="589" spans="2:3" ht="15.75" customHeight="1">
      <c r="B589" s="9"/>
      <c r="C589" s="10"/>
    </row>
    <row r="590" spans="2:3" ht="15.75" customHeight="1">
      <c r="B590" s="9"/>
      <c r="C590" s="10"/>
    </row>
    <row r="591" spans="2:3" ht="15.75" customHeight="1">
      <c r="B591" s="9"/>
      <c r="C591" s="10"/>
    </row>
    <row r="592" spans="2:3" ht="15.75" customHeight="1">
      <c r="B592" s="9"/>
      <c r="C592" s="10"/>
    </row>
    <row r="593" spans="2:3" ht="15.75" customHeight="1">
      <c r="B593" s="9"/>
      <c r="C593" s="10"/>
    </row>
    <row r="594" spans="2:3" ht="15.75" customHeight="1">
      <c r="B594" s="9"/>
      <c r="C594" s="10"/>
    </row>
    <row r="595" spans="2:3" ht="15.75" customHeight="1">
      <c r="B595" s="9"/>
      <c r="C595" s="10"/>
    </row>
    <row r="596" spans="2:3" ht="15.75" customHeight="1">
      <c r="B596" s="9"/>
      <c r="C596" s="10"/>
    </row>
    <row r="597" spans="2:3" ht="15.75" customHeight="1">
      <c r="B597" s="9"/>
      <c r="C597" s="10"/>
    </row>
    <row r="598" spans="2:3" ht="15.75" customHeight="1">
      <c r="B598" s="9"/>
      <c r="C598" s="10"/>
    </row>
    <row r="599" spans="2:3" ht="15.75" customHeight="1">
      <c r="B599" s="9"/>
      <c r="C599" s="10"/>
    </row>
    <row r="600" spans="2:3" ht="15.75" customHeight="1">
      <c r="B600" s="9"/>
      <c r="C600" s="10"/>
    </row>
    <row r="601" spans="2:3" ht="15.75" customHeight="1">
      <c r="B601" s="9"/>
      <c r="C601" s="10"/>
    </row>
    <row r="602" spans="2:3" ht="15.75" customHeight="1">
      <c r="B602" s="9"/>
      <c r="C602" s="10"/>
    </row>
    <row r="603" spans="2:3" ht="15.75" customHeight="1">
      <c r="B603" s="9"/>
      <c r="C603" s="10"/>
    </row>
    <row r="604" spans="2:3" ht="15.75" customHeight="1">
      <c r="B604" s="9"/>
      <c r="C604" s="10"/>
    </row>
    <row r="605" spans="2:3" ht="15.75" customHeight="1">
      <c r="B605" s="9"/>
      <c r="C605" s="10"/>
    </row>
    <row r="606" spans="2:3" ht="15.75" customHeight="1">
      <c r="B606" s="9"/>
      <c r="C606" s="10"/>
    </row>
    <row r="607" spans="2:3" ht="15.75" customHeight="1">
      <c r="B607" s="9"/>
      <c r="C607" s="10"/>
    </row>
    <row r="608" spans="2:3" ht="15.75" customHeight="1">
      <c r="B608" s="9"/>
      <c r="C608" s="10"/>
    </row>
    <row r="609" spans="2:3" ht="15.75" customHeight="1">
      <c r="B609" s="9"/>
      <c r="C609" s="10"/>
    </row>
    <row r="610" spans="2:3" ht="15.75" customHeight="1">
      <c r="B610" s="9"/>
      <c r="C610" s="10"/>
    </row>
    <row r="611" spans="2:3" ht="15.75" customHeight="1">
      <c r="B611" s="9"/>
      <c r="C611" s="10"/>
    </row>
    <row r="612" spans="2:3" ht="15.75" customHeight="1">
      <c r="B612" s="9"/>
      <c r="C612" s="10"/>
    </row>
    <row r="613" spans="2:3" ht="15.75" customHeight="1">
      <c r="B613" s="9"/>
      <c r="C613" s="10"/>
    </row>
    <row r="614" spans="2:3" ht="15.75" customHeight="1">
      <c r="B614" s="9"/>
      <c r="C614" s="10"/>
    </row>
    <row r="615" spans="2:3" ht="15.75" customHeight="1">
      <c r="B615" s="9"/>
      <c r="C615" s="10"/>
    </row>
    <row r="616" spans="2:3" ht="15.75" customHeight="1">
      <c r="B616" s="9"/>
      <c r="C616" s="10"/>
    </row>
    <row r="617" spans="2:3" ht="15.75" customHeight="1">
      <c r="B617" s="9"/>
      <c r="C617" s="10"/>
    </row>
    <row r="618" spans="2:3" ht="15.75" customHeight="1">
      <c r="B618" s="9"/>
      <c r="C618" s="10"/>
    </row>
    <row r="619" spans="2:3" ht="15.75" customHeight="1">
      <c r="B619" s="9"/>
      <c r="C619" s="10"/>
    </row>
    <row r="620" spans="2:3" ht="15.75" customHeight="1">
      <c r="B620" s="9"/>
      <c r="C620" s="10"/>
    </row>
    <row r="621" spans="2:3" ht="15.75" customHeight="1">
      <c r="B621" s="9"/>
      <c r="C621" s="10"/>
    </row>
    <row r="622" spans="2:3" ht="15.75" customHeight="1">
      <c r="B622" s="9"/>
      <c r="C622" s="10"/>
    </row>
    <row r="623" spans="2:3" ht="15.75" customHeight="1">
      <c r="B623" s="9"/>
      <c r="C623" s="10"/>
    </row>
    <row r="624" spans="2:3" ht="15.75" customHeight="1">
      <c r="B624" s="9"/>
      <c r="C624" s="10"/>
    </row>
    <row r="625" spans="2:3" ht="15.75" customHeight="1">
      <c r="B625" s="9"/>
      <c r="C625" s="10"/>
    </row>
    <row r="626" spans="2:3" ht="15.75" customHeight="1">
      <c r="B626" s="9"/>
      <c r="C626" s="10"/>
    </row>
    <row r="627" spans="2:3" ht="15.75" customHeight="1">
      <c r="B627" s="9"/>
      <c r="C627" s="10"/>
    </row>
    <row r="628" spans="2:3" ht="15.75" customHeight="1">
      <c r="B628" s="9"/>
      <c r="C628" s="10"/>
    </row>
    <row r="629" spans="2:3" ht="15.75" customHeight="1">
      <c r="B629" s="9"/>
      <c r="C629" s="10"/>
    </row>
    <row r="630" spans="2:3" ht="15.75" customHeight="1">
      <c r="B630" s="9"/>
      <c r="C630" s="10"/>
    </row>
    <row r="631" spans="2:3" ht="15.75" customHeight="1">
      <c r="B631" s="9"/>
      <c r="C631" s="10"/>
    </row>
    <row r="632" spans="2:3" ht="15.75" customHeight="1">
      <c r="B632" s="9"/>
      <c r="C632" s="10"/>
    </row>
    <row r="633" spans="2:3" ht="15.75" customHeight="1">
      <c r="B633" s="9"/>
      <c r="C633" s="10"/>
    </row>
    <row r="634" spans="2:3" ht="15.75" customHeight="1">
      <c r="B634" s="9"/>
      <c r="C634" s="10"/>
    </row>
    <row r="635" spans="2:3" ht="15.75" customHeight="1">
      <c r="B635" s="9"/>
      <c r="C635" s="10"/>
    </row>
    <row r="636" spans="2:3" ht="15.75" customHeight="1">
      <c r="B636" s="9"/>
      <c r="C636" s="10"/>
    </row>
    <row r="637" spans="2:3" ht="15.75" customHeight="1">
      <c r="B637" s="9"/>
      <c r="C637" s="10"/>
    </row>
    <row r="638" spans="2:3" ht="15.75" customHeight="1">
      <c r="B638" s="9"/>
      <c r="C638" s="10"/>
    </row>
    <row r="639" spans="2:3" ht="15.75" customHeight="1">
      <c r="B639" s="9"/>
      <c r="C639" s="10"/>
    </row>
    <row r="640" spans="2:3" ht="15.75" customHeight="1">
      <c r="B640" s="9"/>
      <c r="C640" s="10"/>
    </row>
    <row r="641" spans="2:3" ht="15.75" customHeight="1">
      <c r="B641" s="9"/>
      <c r="C641" s="10"/>
    </row>
    <row r="642" spans="2:3" ht="15.75" customHeight="1">
      <c r="B642" s="9"/>
      <c r="C642" s="10"/>
    </row>
    <row r="643" spans="2:3" ht="15.75" customHeight="1">
      <c r="B643" s="9"/>
      <c r="C643" s="10"/>
    </row>
    <row r="644" spans="2:3" ht="15.75" customHeight="1">
      <c r="B644" s="9"/>
      <c r="C644" s="10"/>
    </row>
    <row r="645" spans="2:3" ht="15.75" customHeight="1">
      <c r="B645" s="9"/>
      <c r="C645" s="10"/>
    </row>
    <row r="646" spans="2:3" ht="15.75" customHeight="1">
      <c r="B646" s="9"/>
      <c r="C646" s="10"/>
    </row>
    <row r="647" spans="2:3" ht="15.75" customHeight="1">
      <c r="B647" s="9"/>
      <c r="C647" s="10"/>
    </row>
    <row r="648" spans="2:3" ht="15.75" customHeight="1">
      <c r="B648" s="9"/>
      <c r="C648" s="10"/>
    </row>
    <row r="649" spans="2:3" ht="15.75" customHeight="1">
      <c r="B649" s="9"/>
      <c r="C649" s="10"/>
    </row>
    <row r="650" spans="2:3" ht="15.75" customHeight="1">
      <c r="B650" s="9"/>
      <c r="C650" s="10"/>
    </row>
    <row r="651" spans="2:3" ht="15.75" customHeight="1">
      <c r="B651" s="9"/>
      <c r="C651" s="10"/>
    </row>
    <row r="652" spans="2:3" ht="15.75" customHeight="1">
      <c r="B652" s="9"/>
      <c r="C652" s="10"/>
    </row>
    <row r="653" spans="2:3" ht="15.75" customHeight="1">
      <c r="B653" s="9"/>
      <c r="C653" s="10"/>
    </row>
    <row r="654" spans="2:3" ht="15.75" customHeight="1">
      <c r="B654" s="9"/>
      <c r="C654" s="10"/>
    </row>
    <row r="655" spans="2:3" ht="15.75" customHeight="1">
      <c r="B655" s="9"/>
      <c r="C655" s="10"/>
    </row>
    <row r="656" spans="2:3" ht="15.75" customHeight="1">
      <c r="B656" s="9"/>
      <c r="C656" s="10"/>
    </row>
    <row r="657" spans="2:3" ht="15.75" customHeight="1">
      <c r="B657" s="9"/>
      <c r="C657" s="10"/>
    </row>
    <row r="658" spans="2:3" ht="15.75" customHeight="1">
      <c r="B658" s="9"/>
      <c r="C658" s="10"/>
    </row>
    <row r="659" spans="2:3" ht="15.75" customHeight="1">
      <c r="B659" s="9"/>
      <c r="C659" s="10"/>
    </row>
    <row r="660" spans="2:3" ht="15.75" customHeight="1">
      <c r="B660" s="9"/>
      <c r="C660" s="10"/>
    </row>
    <row r="661" spans="2:3" ht="15.75" customHeight="1">
      <c r="B661" s="9"/>
      <c r="C661" s="10"/>
    </row>
    <row r="662" spans="2:3" ht="15.75" customHeight="1">
      <c r="B662" s="9"/>
      <c r="C662" s="10"/>
    </row>
    <row r="663" spans="2:3" ht="15.75" customHeight="1">
      <c r="B663" s="9"/>
      <c r="C663" s="10"/>
    </row>
    <row r="664" spans="2:3" ht="15.75" customHeight="1">
      <c r="B664" s="9"/>
      <c r="C664" s="10"/>
    </row>
    <row r="665" spans="2:3" ht="15.75" customHeight="1">
      <c r="B665" s="9"/>
      <c r="C665" s="10"/>
    </row>
    <row r="666" spans="2:3" ht="15.75" customHeight="1">
      <c r="B666" s="9"/>
      <c r="C666" s="10"/>
    </row>
    <row r="667" spans="2:3" ht="15.75" customHeight="1">
      <c r="B667" s="9"/>
      <c r="C667" s="10"/>
    </row>
    <row r="668" spans="2:3" ht="15.75" customHeight="1">
      <c r="B668" s="9"/>
      <c r="C668" s="10"/>
    </row>
    <row r="669" spans="2:3" ht="15.75" customHeight="1">
      <c r="B669" s="9"/>
      <c r="C669" s="10"/>
    </row>
    <row r="670" spans="2:3" ht="15.75" customHeight="1">
      <c r="B670" s="9"/>
      <c r="C670" s="10"/>
    </row>
    <row r="671" spans="2:3" ht="15.75" customHeight="1">
      <c r="B671" s="9"/>
      <c r="C671" s="10"/>
    </row>
    <row r="672" spans="2:3" ht="15.75" customHeight="1">
      <c r="B672" s="9"/>
      <c r="C672" s="10"/>
    </row>
    <row r="673" spans="2:3" ht="15.75" customHeight="1">
      <c r="B673" s="9"/>
      <c r="C673" s="10"/>
    </row>
    <row r="674" spans="2:3" ht="15.75" customHeight="1">
      <c r="B674" s="9"/>
      <c r="C674" s="10"/>
    </row>
    <row r="675" spans="2:3" ht="15.75" customHeight="1">
      <c r="B675" s="9"/>
      <c r="C675" s="10"/>
    </row>
    <row r="676" spans="2:3" ht="15.75" customHeight="1">
      <c r="B676" s="9"/>
      <c r="C676" s="10"/>
    </row>
    <row r="677" spans="2:3" ht="15.75" customHeight="1">
      <c r="B677" s="9"/>
      <c r="C677" s="10"/>
    </row>
    <row r="678" spans="2:3" ht="15.75" customHeight="1">
      <c r="B678" s="9"/>
      <c r="C678" s="10"/>
    </row>
    <row r="679" spans="2:3" ht="15.75" customHeight="1">
      <c r="B679" s="9"/>
      <c r="C679" s="10"/>
    </row>
    <row r="680" spans="2:3" ht="15.75" customHeight="1">
      <c r="B680" s="9"/>
      <c r="C680" s="10"/>
    </row>
    <row r="681" spans="2:3" ht="15.75" customHeight="1">
      <c r="B681" s="9"/>
      <c r="C681" s="10"/>
    </row>
    <row r="682" spans="2:3" ht="15.75" customHeight="1">
      <c r="B682" s="9"/>
      <c r="C682" s="10"/>
    </row>
    <row r="683" spans="2:3" ht="15.75" customHeight="1">
      <c r="B683" s="9"/>
      <c r="C683" s="10"/>
    </row>
    <row r="684" spans="2:3" ht="15.75" customHeight="1">
      <c r="B684" s="9"/>
      <c r="C684" s="10"/>
    </row>
    <row r="685" spans="2:3" ht="15.75" customHeight="1">
      <c r="B685" s="9"/>
      <c r="C685" s="10"/>
    </row>
    <row r="686" spans="2:3" ht="15.75" customHeight="1">
      <c r="B686" s="9"/>
      <c r="C686" s="10"/>
    </row>
    <row r="687" spans="2:3" ht="15.75" customHeight="1">
      <c r="B687" s="9"/>
      <c r="C687" s="10"/>
    </row>
    <row r="688" spans="2:3" ht="15.75" customHeight="1">
      <c r="B688" s="9"/>
      <c r="C688" s="10"/>
    </row>
    <row r="689" spans="2:3" ht="15.75" customHeight="1">
      <c r="B689" s="9"/>
      <c r="C689" s="10"/>
    </row>
    <row r="690" spans="2:3" ht="15.75" customHeight="1">
      <c r="B690" s="9"/>
      <c r="C690" s="10"/>
    </row>
    <row r="691" spans="2:3" ht="15.75" customHeight="1">
      <c r="B691" s="9"/>
      <c r="C691" s="10"/>
    </row>
    <row r="692" spans="2:3" ht="15.75" customHeight="1">
      <c r="B692" s="9"/>
      <c r="C692" s="10"/>
    </row>
    <row r="693" spans="2:3" ht="15.75" customHeight="1">
      <c r="B693" s="9"/>
      <c r="C693" s="10"/>
    </row>
    <row r="694" spans="2:3" ht="15.75" customHeight="1">
      <c r="B694" s="9"/>
      <c r="C694" s="10"/>
    </row>
    <row r="695" spans="2:3" ht="15.75" customHeight="1">
      <c r="B695" s="9"/>
      <c r="C695" s="10"/>
    </row>
    <row r="696" spans="2:3" ht="15.75" customHeight="1">
      <c r="B696" s="9"/>
      <c r="C696" s="10"/>
    </row>
    <row r="697" spans="2:3" ht="15.75" customHeight="1">
      <c r="B697" s="9"/>
      <c r="C697" s="10"/>
    </row>
    <row r="698" spans="2:3" ht="15.75" customHeight="1">
      <c r="B698" s="9"/>
      <c r="C698" s="10"/>
    </row>
    <row r="699" spans="2:3" ht="15.75" customHeight="1">
      <c r="B699" s="9"/>
      <c r="C699" s="10"/>
    </row>
    <row r="700" spans="2:3" ht="15.75" customHeight="1">
      <c r="B700" s="9"/>
      <c r="C700" s="10"/>
    </row>
    <row r="701" spans="2:3" ht="15.75" customHeight="1">
      <c r="B701" s="9"/>
      <c r="C701" s="10"/>
    </row>
    <row r="702" spans="2:3" ht="15.75" customHeight="1">
      <c r="B702" s="9"/>
      <c r="C702" s="10"/>
    </row>
    <row r="703" spans="2:3" ht="15.75" customHeight="1">
      <c r="B703" s="9"/>
      <c r="C703" s="10"/>
    </row>
    <row r="704" spans="2:3" ht="15.75" customHeight="1">
      <c r="B704" s="9"/>
      <c r="C704" s="10"/>
    </row>
    <row r="705" spans="2:3" ht="15.75" customHeight="1">
      <c r="B705" s="9"/>
      <c r="C705" s="10"/>
    </row>
    <row r="706" spans="2:3" ht="15.75" customHeight="1">
      <c r="B706" s="9"/>
      <c r="C706" s="10"/>
    </row>
    <row r="707" spans="2:3" ht="15.75" customHeight="1">
      <c r="B707" s="9"/>
      <c r="C707" s="10"/>
    </row>
    <row r="708" spans="2:3" ht="15.75" customHeight="1">
      <c r="B708" s="9"/>
      <c r="C708" s="10"/>
    </row>
    <row r="709" spans="2:3" ht="15.75" customHeight="1">
      <c r="B709" s="9"/>
      <c r="C709" s="10"/>
    </row>
    <row r="710" spans="2:3" ht="15.75" customHeight="1">
      <c r="B710" s="9"/>
      <c r="C710" s="10"/>
    </row>
    <row r="711" spans="2:3" ht="15.75" customHeight="1">
      <c r="B711" s="9"/>
      <c r="C711" s="10"/>
    </row>
    <row r="712" spans="2:3" ht="15.75" customHeight="1">
      <c r="B712" s="9"/>
      <c r="C712" s="10"/>
    </row>
    <row r="713" spans="2:3" ht="15.75" customHeight="1">
      <c r="B713" s="9"/>
      <c r="C713" s="10"/>
    </row>
    <row r="714" spans="2:3" ht="15.75" customHeight="1">
      <c r="B714" s="9"/>
      <c r="C714" s="10"/>
    </row>
    <row r="715" spans="2:3" ht="15.75" customHeight="1">
      <c r="B715" s="9"/>
      <c r="C715" s="10"/>
    </row>
    <row r="716" spans="2:3" ht="15.75" customHeight="1">
      <c r="B716" s="9"/>
      <c r="C716" s="10"/>
    </row>
    <row r="717" spans="2:3" ht="15.75" customHeight="1">
      <c r="B717" s="9"/>
      <c r="C717" s="10"/>
    </row>
    <row r="718" spans="2:3" ht="15.75" customHeight="1">
      <c r="B718" s="9"/>
      <c r="C718" s="10"/>
    </row>
    <row r="719" spans="2:3" ht="15.75" customHeight="1">
      <c r="B719" s="9"/>
      <c r="C719" s="10"/>
    </row>
    <row r="720" spans="2:3" ht="15.75" customHeight="1">
      <c r="B720" s="9"/>
      <c r="C720" s="10"/>
    </row>
    <row r="721" spans="2:3" ht="15.75" customHeight="1">
      <c r="B721" s="9"/>
      <c r="C721" s="10"/>
    </row>
    <row r="722" spans="2:3" ht="15.75" customHeight="1">
      <c r="B722" s="9"/>
      <c r="C722" s="10"/>
    </row>
    <row r="723" spans="2:3" ht="15.75" customHeight="1">
      <c r="B723" s="9"/>
      <c r="C723" s="10"/>
    </row>
    <row r="724" spans="2:3" ht="15.75" customHeight="1">
      <c r="B724" s="9"/>
      <c r="C724" s="10"/>
    </row>
    <row r="725" spans="2:3" ht="15.75" customHeight="1">
      <c r="B725" s="9"/>
      <c r="C725" s="10"/>
    </row>
    <row r="726" spans="2:3" ht="15.75" customHeight="1">
      <c r="B726" s="9"/>
      <c r="C726" s="10"/>
    </row>
    <row r="727" spans="2:3" ht="15.75" customHeight="1">
      <c r="B727" s="9"/>
      <c r="C727" s="10"/>
    </row>
    <row r="728" spans="2:3" ht="15.75" customHeight="1">
      <c r="B728" s="9"/>
      <c r="C728" s="10"/>
    </row>
    <row r="729" spans="2:3" ht="15.75" customHeight="1">
      <c r="B729" s="9"/>
      <c r="C729" s="10"/>
    </row>
    <row r="730" spans="2:3" ht="15.75" customHeight="1">
      <c r="B730" s="9"/>
      <c r="C730" s="10"/>
    </row>
    <row r="731" spans="2:3" ht="15.75" customHeight="1">
      <c r="B731" s="9"/>
      <c r="C731" s="10"/>
    </row>
    <row r="732" spans="2:3" ht="15.75" customHeight="1">
      <c r="B732" s="9"/>
      <c r="C732" s="10"/>
    </row>
    <row r="733" spans="2:3" ht="15.75" customHeight="1">
      <c r="B733" s="9"/>
      <c r="C733" s="10"/>
    </row>
    <row r="734" spans="2:3" ht="15.75" customHeight="1">
      <c r="B734" s="9"/>
      <c r="C734" s="10"/>
    </row>
    <row r="735" spans="2:3" ht="15.75" customHeight="1">
      <c r="B735" s="9"/>
      <c r="C735" s="10"/>
    </row>
    <row r="736" spans="2:3" ht="15.75" customHeight="1">
      <c r="B736" s="9"/>
      <c r="C736" s="10"/>
    </row>
    <row r="737" spans="2:3" ht="15.75" customHeight="1">
      <c r="B737" s="9"/>
      <c r="C737" s="10"/>
    </row>
    <row r="738" spans="2:3" ht="15.75" customHeight="1">
      <c r="B738" s="9"/>
      <c r="C738" s="10"/>
    </row>
    <row r="739" spans="2:3" ht="15.75" customHeight="1">
      <c r="B739" s="9"/>
      <c r="C739" s="10"/>
    </row>
    <row r="740" spans="2:3" ht="15.75" customHeight="1">
      <c r="B740" s="9"/>
      <c r="C740" s="10"/>
    </row>
    <row r="741" spans="2:3" ht="15.75" customHeight="1">
      <c r="B741" s="9"/>
      <c r="C741" s="10"/>
    </row>
    <row r="742" spans="2:3" ht="15.75" customHeight="1">
      <c r="B742" s="9"/>
      <c r="C742" s="10"/>
    </row>
    <row r="743" spans="2:3" ht="15.75" customHeight="1">
      <c r="B743" s="9"/>
      <c r="C743" s="10"/>
    </row>
    <row r="744" spans="2:3" ht="15.75" customHeight="1">
      <c r="B744" s="9"/>
      <c r="C744" s="10"/>
    </row>
    <row r="745" spans="2:3" ht="15.75" customHeight="1">
      <c r="B745" s="9"/>
      <c r="C745" s="10"/>
    </row>
    <row r="746" spans="2:3" ht="15.75" customHeight="1">
      <c r="B746" s="9"/>
      <c r="C746" s="10"/>
    </row>
    <row r="747" spans="2:3" ht="15.75" customHeight="1">
      <c r="B747" s="9"/>
      <c r="C747" s="10"/>
    </row>
    <row r="748" spans="2:3" ht="15.75" customHeight="1">
      <c r="B748" s="9"/>
      <c r="C748" s="10"/>
    </row>
    <row r="749" spans="2:3" ht="15.75" customHeight="1">
      <c r="B749" s="9"/>
      <c r="C749" s="10"/>
    </row>
    <row r="750" spans="2:3" ht="15.75" customHeight="1">
      <c r="B750" s="9"/>
      <c r="C750" s="10"/>
    </row>
    <row r="751" spans="2:3" ht="15.75" customHeight="1">
      <c r="B751" s="9"/>
      <c r="C751" s="10"/>
    </row>
    <row r="752" spans="2:3" ht="15.75" customHeight="1">
      <c r="B752" s="9"/>
      <c r="C752" s="10"/>
    </row>
    <row r="753" spans="2:3" ht="15.75" customHeight="1">
      <c r="B753" s="9"/>
      <c r="C753" s="10"/>
    </row>
    <row r="754" spans="2:3" ht="15.75" customHeight="1">
      <c r="B754" s="9"/>
      <c r="C754" s="10"/>
    </row>
    <row r="755" spans="2:3" ht="15.75" customHeight="1">
      <c r="B755" s="9"/>
      <c r="C755" s="10"/>
    </row>
    <row r="756" spans="2:3" ht="15.75" customHeight="1">
      <c r="B756" s="9"/>
      <c r="C756" s="10"/>
    </row>
    <row r="757" spans="2:3" ht="15.75" customHeight="1">
      <c r="B757" s="9"/>
      <c r="C757" s="10"/>
    </row>
    <row r="758" spans="2:3" ht="15.75" customHeight="1">
      <c r="B758" s="9"/>
      <c r="C758" s="10"/>
    </row>
    <row r="759" spans="2:3" ht="15.75" customHeight="1">
      <c r="B759" s="9"/>
      <c r="C759" s="10"/>
    </row>
    <row r="760" spans="2:3" ht="15.75" customHeight="1">
      <c r="B760" s="9"/>
      <c r="C760" s="10"/>
    </row>
    <row r="761" spans="2:3" ht="15.75" customHeight="1">
      <c r="B761" s="9"/>
      <c r="C761" s="10"/>
    </row>
    <row r="762" spans="2:3" ht="15.75" customHeight="1">
      <c r="B762" s="9"/>
      <c r="C762" s="10"/>
    </row>
    <row r="763" spans="2:3" ht="15.75" customHeight="1">
      <c r="B763" s="9"/>
      <c r="C763" s="10"/>
    </row>
    <row r="764" spans="2:3" ht="15.75" customHeight="1">
      <c r="B764" s="9"/>
      <c r="C764" s="10"/>
    </row>
    <row r="765" spans="2:3" ht="15.75" customHeight="1">
      <c r="B765" s="9"/>
      <c r="C765" s="10"/>
    </row>
    <row r="766" spans="2:3" ht="15.75" customHeight="1">
      <c r="B766" s="9"/>
      <c r="C766" s="10"/>
    </row>
    <row r="767" spans="2:3" ht="15.75" customHeight="1">
      <c r="B767" s="9"/>
      <c r="C767" s="10"/>
    </row>
    <row r="768" spans="2:3" ht="15.75" customHeight="1">
      <c r="B768" s="9"/>
      <c r="C768" s="10"/>
    </row>
    <row r="769" spans="2:3" ht="15.75" customHeight="1">
      <c r="B769" s="9"/>
      <c r="C769" s="10"/>
    </row>
    <row r="770" spans="2:3" ht="15.75" customHeight="1">
      <c r="B770" s="9"/>
      <c r="C770" s="10"/>
    </row>
    <row r="771" spans="2:3" ht="15.75" customHeight="1">
      <c r="B771" s="9"/>
      <c r="C771" s="10"/>
    </row>
    <row r="772" spans="2:3" ht="15.75" customHeight="1">
      <c r="B772" s="9"/>
      <c r="C772" s="10"/>
    </row>
    <row r="773" spans="2:3" ht="15.75" customHeight="1">
      <c r="B773" s="9"/>
      <c r="C773" s="10"/>
    </row>
    <row r="774" spans="2:3" ht="15.75" customHeight="1">
      <c r="B774" s="9"/>
      <c r="C774" s="10"/>
    </row>
    <row r="775" spans="2:3" ht="15.75" customHeight="1">
      <c r="B775" s="9"/>
      <c r="C775" s="10"/>
    </row>
    <row r="776" spans="2:3" ht="15.75" customHeight="1">
      <c r="B776" s="9"/>
      <c r="C776" s="10"/>
    </row>
    <row r="777" spans="2:3" ht="15.75" customHeight="1">
      <c r="B777" s="9"/>
      <c r="C777" s="10"/>
    </row>
    <row r="778" spans="2:3" ht="15.75" customHeight="1">
      <c r="B778" s="9"/>
      <c r="C778" s="10"/>
    </row>
    <row r="779" spans="2:3" ht="15.75" customHeight="1">
      <c r="B779" s="9"/>
      <c r="C779" s="10"/>
    </row>
    <row r="780" spans="2:3" ht="15.75" customHeight="1">
      <c r="B780" s="9"/>
      <c r="C780" s="10"/>
    </row>
    <row r="781" spans="2:3" ht="15.75" customHeight="1">
      <c r="B781" s="9"/>
      <c r="C781" s="10"/>
    </row>
    <row r="782" spans="2:3" ht="15.75" customHeight="1">
      <c r="B782" s="9"/>
      <c r="C782" s="10"/>
    </row>
    <row r="783" spans="2:3" ht="15.75" customHeight="1">
      <c r="B783" s="9"/>
      <c r="C783" s="10"/>
    </row>
    <row r="784" spans="2:3" ht="15.75" customHeight="1">
      <c r="B784" s="9"/>
      <c r="C784" s="10"/>
    </row>
    <row r="785" spans="2:3" ht="15.75" customHeight="1">
      <c r="B785" s="9"/>
      <c r="C785" s="10"/>
    </row>
    <row r="786" spans="2:3" ht="15.75" customHeight="1">
      <c r="B786" s="9"/>
      <c r="C786" s="10"/>
    </row>
    <row r="787" spans="2:3" ht="15.75" customHeight="1">
      <c r="B787" s="9"/>
      <c r="C787" s="10"/>
    </row>
    <row r="788" spans="2:3" ht="15.75" customHeight="1">
      <c r="B788" s="9"/>
      <c r="C788" s="10"/>
    </row>
    <row r="789" spans="2:3" ht="15.75" customHeight="1">
      <c r="B789" s="9"/>
      <c r="C789" s="10"/>
    </row>
    <row r="790" spans="2:3" ht="15.75" customHeight="1">
      <c r="B790" s="9"/>
      <c r="C790" s="10"/>
    </row>
    <row r="791" spans="2:3" ht="15.75" customHeight="1">
      <c r="B791" s="9"/>
      <c r="C791" s="10"/>
    </row>
    <row r="792" spans="2:3" ht="15.75" customHeight="1">
      <c r="B792" s="9"/>
      <c r="C792" s="10"/>
    </row>
    <row r="793" spans="2:3" ht="15.75" customHeight="1">
      <c r="B793" s="9"/>
      <c r="C793" s="10"/>
    </row>
    <row r="794" spans="2:3" ht="15.75" customHeight="1">
      <c r="B794" s="9"/>
      <c r="C794" s="10"/>
    </row>
    <row r="795" spans="2:3" ht="15.75" customHeight="1">
      <c r="B795" s="9"/>
      <c r="C795" s="10"/>
    </row>
    <row r="796" spans="2:3" ht="15.75" customHeight="1">
      <c r="B796" s="9"/>
      <c r="C796" s="10"/>
    </row>
    <row r="797" spans="2:3" ht="15.75" customHeight="1">
      <c r="B797" s="9"/>
      <c r="C797" s="10"/>
    </row>
    <row r="798" spans="2:3" ht="15.75" customHeight="1">
      <c r="B798" s="9"/>
      <c r="C798" s="10"/>
    </row>
    <row r="799" spans="2:3" ht="15.75" customHeight="1">
      <c r="B799" s="9"/>
      <c r="C799" s="10"/>
    </row>
    <row r="800" spans="2:3" ht="15.75" customHeight="1">
      <c r="B800" s="9"/>
      <c r="C800" s="10"/>
    </row>
    <row r="801" spans="2:3" ht="15.75" customHeight="1">
      <c r="B801" s="9"/>
      <c r="C801" s="10"/>
    </row>
    <row r="802" spans="2:3" ht="15.75" customHeight="1">
      <c r="B802" s="9"/>
      <c r="C802" s="10"/>
    </row>
    <row r="803" spans="2:3" ht="15.75" customHeight="1">
      <c r="B803" s="9"/>
      <c r="C803" s="10"/>
    </row>
    <row r="804" spans="2:3" ht="15.75" customHeight="1">
      <c r="B804" s="9"/>
      <c r="C804" s="10"/>
    </row>
    <row r="805" spans="2:3" ht="15.75" customHeight="1">
      <c r="B805" s="9"/>
      <c r="C805" s="10"/>
    </row>
    <row r="806" spans="2:3" ht="15.75" customHeight="1">
      <c r="B806" s="9"/>
      <c r="C806" s="10"/>
    </row>
    <row r="807" spans="2:3" ht="15.75" customHeight="1">
      <c r="B807" s="9"/>
      <c r="C807" s="10"/>
    </row>
    <row r="808" spans="2:3" ht="15.75" customHeight="1">
      <c r="B808" s="9"/>
      <c r="C808" s="10"/>
    </row>
    <row r="809" spans="2:3" ht="15.75" customHeight="1">
      <c r="B809" s="9"/>
      <c r="C809" s="10"/>
    </row>
    <row r="810" spans="2:3" ht="15.75" customHeight="1">
      <c r="B810" s="9"/>
      <c r="C810" s="10"/>
    </row>
    <row r="811" spans="2:3" ht="15.75" customHeight="1">
      <c r="B811" s="9"/>
      <c r="C811" s="10"/>
    </row>
    <row r="812" spans="2:3" ht="15.75" customHeight="1">
      <c r="B812" s="9"/>
      <c r="C812" s="10"/>
    </row>
    <row r="813" spans="2:3" ht="15.75" customHeight="1">
      <c r="B813" s="9"/>
      <c r="C813" s="10"/>
    </row>
    <row r="814" spans="2:3" ht="15.75" customHeight="1">
      <c r="B814" s="9"/>
      <c r="C814" s="10"/>
    </row>
    <row r="815" spans="2:3" ht="15.75" customHeight="1">
      <c r="B815" s="9"/>
      <c r="C815" s="10"/>
    </row>
    <row r="816" spans="2:3" ht="15.75" customHeight="1">
      <c r="B816" s="9"/>
      <c r="C816" s="10"/>
    </row>
    <row r="817" spans="2:3" ht="15.75" customHeight="1">
      <c r="B817" s="9"/>
      <c r="C817" s="10"/>
    </row>
    <row r="818" spans="2:3" ht="15.75" customHeight="1">
      <c r="B818" s="9"/>
      <c r="C818" s="10"/>
    </row>
    <row r="819" spans="2:3" ht="15.75" customHeight="1">
      <c r="B819" s="9"/>
      <c r="C819" s="10"/>
    </row>
    <row r="820" spans="2:3" ht="15.75" customHeight="1">
      <c r="B820" s="9"/>
      <c r="C820" s="10"/>
    </row>
    <row r="821" spans="2:3" ht="15.75" customHeight="1">
      <c r="B821" s="9"/>
      <c r="C821" s="10"/>
    </row>
    <row r="822" spans="2:3" ht="15.75" customHeight="1">
      <c r="B822" s="9"/>
      <c r="C822" s="10"/>
    </row>
    <row r="823" spans="2:3" ht="15.75" customHeight="1">
      <c r="B823" s="9"/>
      <c r="C823" s="10"/>
    </row>
    <row r="824" spans="2:3" ht="15.75" customHeight="1">
      <c r="B824" s="9"/>
      <c r="C824" s="10"/>
    </row>
    <row r="825" spans="2:3" ht="15.75" customHeight="1">
      <c r="B825" s="9"/>
      <c r="C825" s="10"/>
    </row>
    <row r="826" spans="2:3" ht="15.75" customHeight="1">
      <c r="B826" s="9"/>
      <c r="C826" s="10"/>
    </row>
    <row r="827" spans="2:3" ht="15.75" customHeight="1">
      <c r="B827" s="9"/>
      <c r="C827" s="10"/>
    </row>
    <row r="828" spans="2:3" ht="15.75" customHeight="1">
      <c r="B828" s="9"/>
      <c r="C828" s="10"/>
    </row>
    <row r="829" spans="2:3" ht="15.75" customHeight="1">
      <c r="B829" s="9"/>
      <c r="C829" s="10"/>
    </row>
    <row r="830" spans="2:3" ht="15.75" customHeight="1">
      <c r="B830" s="9"/>
      <c r="C830" s="10"/>
    </row>
    <row r="831" spans="2:3" ht="15.75" customHeight="1">
      <c r="B831" s="9"/>
      <c r="C831" s="10"/>
    </row>
    <row r="832" spans="2:3" ht="15.75" customHeight="1">
      <c r="B832" s="9"/>
      <c r="C832" s="10"/>
    </row>
    <row r="833" spans="2:3" ht="15.75" customHeight="1">
      <c r="B833" s="9"/>
      <c r="C833" s="10"/>
    </row>
    <row r="834" spans="2:3" ht="15.75" customHeight="1">
      <c r="B834" s="9"/>
      <c r="C834" s="10"/>
    </row>
    <row r="835" spans="2:3" ht="15.75" customHeight="1">
      <c r="B835" s="9"/>
      <c r="C835" s="10"/>
    </row>
    <row r="836" spans="2:3" ht="15.75" customHeight="1">
      <c r="B836" s="9"/>
      <c r="C836" s="10"/>
    </row>
    <row r="837" spans="2:3" ht="15.75" customHeight="1">
      <c r="B837" s="9"/>
      <c r="C837" s="10"/>
    </row>
    <row r="838" spans="2:3" ht="15.75" customHeight="1">
      <c r="B838" s="9"/>
      <c r="C838" s="10"/>
    </row>
    <row r="839" spans="2:3" ht="15.75" customHeight="1">
      <c r="B839" s="9"/>
      <c r="C839" s="10"/>
    </row>
    <row r="840" spans="2:3" ht="15.75" customHeight="1">
      <c r="B840" s="9"/>
      <c r="C840" s="10"/>
    </row>
    <row r="841" spans="2:3" ht="15.75" customHeight="1">
      <c r="B841" s="9"/>
      <c r="C841" s="10"/>
    </row>
    <row r="842" spans="2:3" ht="15.75" customHeight="1">
      <c r="B842" s="9"/>
      <c r="C842" s="10"/>
    </row>
    <row r="843" spans="2:3" ht="15.75" customHeight="1">
      <c r="B843" s="9"/>
      <c r="C843" s="10"/>
    </row>
    <row r="844" spans="2:3" ht="15.75" customHeight="1">
      <c r="B844" s="9"/>
      <c r="C844" s="10"/>
    </row>
    <row r="845" spans="2:3" ht="15.75" customHeight="1">
      <c r="B845" s="9"/>
      <c r="C845" s="10"/>
    </row>
    <row r="846" spans="2:3" ht="15.75" customHeight="1">
      <c r="B846" s="9"/>
      <c r="C846" s="10"/>
    </row>
    <row r="847" spans="2:3" ht="15.75" customHeight="1">
      <c r="B847" s="9"/>
      <c r="C847" s="10"/>
    </row>
    <row r="848" spans="2:3" ht="15.75" customHeight="1">
      <c r="B848" s="9"/>
      <c r="C848" s="10"/>
    </row>
    <row r="849" spans="2:3" ht="15.75" customHeight="1">
      <c r="B849" s="9"/>
      <c r="C849" s="10"/>
    </row>
    <row r="850" spans="2:3" ht="15.75" customHeight="1">
      <c r="B850" s="9"/>
      <c r="C850" s="10"/>
    </row>
    <row r="851" spans="2:3" ht="15.75" customHeight="1">
      <c r="B851" s="9"/>
      <c r="C851" s="10"/>
    </row>
    <row r="852" spans="2:3" ht="15.75" customHeight="1">
      <c r="B852" s="9"/>
      <c r="C852" s="10"/>
    </row>
    <row r="853" spans="2:3" ht="15.75" customHeight="1">
      <c r="B853" s="9"/>
      <c r="C853" s="10"/>
    </row>
    <row r="854" spans="2:3" ht="15.75" customHeight="1">
      <c r="B854" s="9"/>
      <c r="C854" s="10"/>
    </row>
    <row r="855" spans="2:3" ht="15.75" customHeight="1">
      <c r="B855" s="9"/>
      <c r="C855" s="10"/>
    </row>
    <row r="856" spans="2:3" ht="15.75" customHeight="1">
      <c r="B856" s="9"/>
      <c r="C856" s="10"/>
    </row>
    <row r="857" spans="2:3" ht="15.75" customHeight="1">
      <c r="B857" s="9"/>
      <c r="C857" s="10"/>
    </row>
    <row r="858" spans="2:3" ht="15.75" customHeight="1">
      <c r="B858" s="9"/>
      <c r="C858" s="10"/>
    </row>
    <row r="859" spans="2:3" ht="15.75" customHeight="1">
      <c r="B859" s="9"/>
      <c r="C859" s="10"/>
    </row>
    <row r="860" spans="2:3" ht="15.75" customHeight="1">
      <c r="B860" s="9"/>
      <c r="C860" s="10"/>
    </row>
    <row r="861" spans="2:3" ht="15.75" customHeight="1">
      <c r="B861" s="9"/>
      <c r="C861" s="10"/>
    </row>
    <row r="862" spans="2:3" ht="15.75" customHeight="1">
      <c r="B862" s="9"/>
      <c r="C862" s="10"/>
    </row>
    <row r="863" spans="2:3" ht="15.75" customHeight="1">
      <c r="B863" s="9"/>
      <c r="C863" s="10"/>
    </row>
    <row r="864" spans="2:3" ht="15.75" customHeight="1">
      <c r="B864" s="9"/>
      <c r="C864" s="10"/>
    </row>
    <row r="865" spans="2:3" ht="15.75" customHeight="1">
      <c r="B865" s="9"/>
      <c r="C865" s="10"/>
    </row>
    <row r="866" spans="2:3" ht="15.75" customHeight="1">
      <c r="B866" s="9"/>
      <c r="C866" s="10"/>
    </row>
    <row r="867" spans="2:3" ht="15.75" customHeight="1">
      <c r="B867" s="9"/>
      <c r="C867" s="10"/>
    </row>
    <row r="868" spans="2:3" ht="15.75" customHeight="1">
      <c r="B868" s="9"/>
      <c r="C868" s="10"/>
    </row>
    <row r="869" spans="2:3" ht="15.75" customHeight="1">
      <c r="B869" s="9"/>
      <c r="C869" s="10"/>
    </row>
    <row r="870" spans="2:3" ht="15.75" customHeight="1">
      <c r="B870" s="9"/>
      <c r="C870" s="10"/>
    </row>
    <row r="871" spans="2:3" ht="15.75" customHeight="1">
      <c r="B871" s="9"/>
      <c r="C871" s="10"/>
    </row>
    <row r="872" spans="2:3" ht="15.75" customHeight="1">
      <c r="B872" s="9"/>
      <c r="C872" s="10"/>
    </row>
    <row r="873" spans="2:3" ht="15.75" customHeight="1">
      <c r="B873" s="9"/>
      <c r="C873" s="10"/>
    </row>
    <row r="874" spans="2:3" ht="15.75" customHeight="1">
      <c r="B874" s="9"/>
      <c r="C874" s="10"/>
    </row>
    <row r="875" spans="2:3" ht="15.75" customHeight="1">
      <c r="B875" s="9"/>
      <c r="C875" s="10"/>
    </row>
    <row r="876" spans="2:3" ht="15.75" customHeight="1">
      <c r="B876" s="9"/>
      <c r="C876" s="10"/>
    </row>
    <row r="877" spans="2:3" ht="15.75" customHeight="1">
      <c r="B877" s="9"/>
      <c r="C877" s="10"/>
    </row>
    <row r="878" spans="2:3" ht="15.75" customHeight="1">
      <c r="B878" s="9"/>
      <c r="C878" s="10"/>
    </row>
    <row r="879" spans="2:3" ht="15.75" customHeight="1">
      <c r="B879" s="9"/>
      <c r="C879" s="10"/>
    </row>
    <row r="880" spans="2:3" ht="15.75" customHeight="1">
      <c r="B880" s="9"/>
      <c r="C880" s="10"/>
    </row>
    <row r="881" spans="2:3" ht="15.75" customHeight="1">
      <c r="B881" s="9"/>
      <c r="C881" s="10"/>
    </row>
    <row r="882" spans="2:3" ht="15.75" customHeight="1">
      <c r="B882" s="9"/>
      <c r="C882" s="10"/>
    </row>
    <row r="883" spans="2:3" ht="15.75" customHeight="1">
      <c r="B883" s="9"/>
      <c r="C883" s="10"/>
    </row>
    <row r="884" spans="2:3" ht="15.75" customHeight="1">
      <c r="B884" s="9"/>
      <c r="C884" s="10"/>
    </row>
    <row r="885" spans="2:3" ht="15.75" customHeight="1">
      <c r="B885" s="9"/>
      <c r="C885" s="10"/>
    </row>
    <row r="886" spans="2:3" ht="15.75" customHeight="1">
      <c r="B886" s="9"/>
      <c r="C886" s="10"/>
    </row>
    <row r="887" spans="2:3" ht="15.75" customHeight="1">
      <c r="B887" s="9"/>
      <c r="C887" s="10"/>
    </row>
    <row r="888" spans="2:3" ht="15.75" customHeight="1">
      <c r="B888" s="9"/>
      <c r="C888" s="10"/>
    </row>
    <row r="889" spans="2:3" ht="15.75" customHeight="1">
      <c r="B889" s="9"/>
      <c r="C889" s="10"/>
    </row>
    <row r="890" spans="2:3" ht="15.75" customHeight="1">
      <c r="B890" s="9"/>
      <c r="C890" s="10"/>
    </row>
    <row r="891" spans="2:3" ht="15.75" customHeight="1">
      <c r="B891" s="9"/>
      <c r="C891" s="10"/>
    </row>
    <row r="892" spans="2:3" ht="15.75" customHeight="1">
      <c r="B892" s="9"/>
      <c r="C892" s="10"/>
    </row>
    <row r="893" spans="2:3" ht="15.75" customHeight="1">
      <c r="B893" s="9"/>
      <c r="C893" s="10"/>
    </row>
    <row r="894" spans="2:3" ht="15.75" customHeight="1">
      <c r="B894" s="9"/>
      <c r="C894" s="10"/>
    </row>
    <row r="895" spans="2:3" ht="15.75" customHeight="1">
      <c r="B895" s="9"/>
      <c r="C895" s="10"/>
    </row>
    <row r="896" spans="2:3" ht="15.75" customHeight="1">
      <c r="B896" s="9"/>
      <c r="C896" s="10"/>
    </row>
    <row r="897" spans="2:3" ht="15.75" customHeight="1">
      <c r="B897" s="9"/>
      <c r="C897" s="10"/>
    </row>
    <row r="898" spans="2:3" ht="15.75" customHeight="1">
      <c r="B898" s="9"/>
      <c r="C898" s="10"/>
    </row>
    <row r="899" spans="2:3" ht="15.75" customHeight="1">
      <c r="B899" s="9"/>
      <c r="C899" s="10"/>
    </row>
    <row r="900" spans="2:3" ht="15.75" customHeight="1">
      <c r="B900" s="9"/>
      <c r="C900" s="10"/>
    </row>
    <row r="901" spans="2:3" ht="15.75" customHeight="1">
      <c r="B901" s="9"/>
      <c r="C901" s="10"/>
    </row>
    <row r="902" spans="2:3" ht="15.75" customHeight="1">
      <c r="B902" s="9"/>
      <c r="C902" s="10"/>
    </row>
    <row r="903" spans="2:3" ht="15.75" customHeight="1">
      <c r="B903" s="9"/>
      <c r="C903" s="10"/>
    </row>
    <row r="904" spans="2:3" ht="15.75" customHeight="1">
      <c r="B904" s="9"/>
      <c r="C904" s="10"/>
    </row>
    <row r="905" spans="2:3" ht="15.75" customHeight="1">
      <c r="B905" s="9"/>
      <c r="C905" s="10"/>
    </row>
    <row r="906" spans="2:3" ht="15.75" customHeight="1">
      <c r="B906" s="9"/>
      <c r="C906" s="10"/>
    </row>
    <row r="907" spans="2:3" ht="15.75" customHeight="1">
      <c r="B907" s="9"/>
      <c r="C907" s="10"/>
    </row>
    <row r="908" spans="2:3" ht="15.75" customHeight="1">
      <c r="B908" s="9"/>
      <c r="C908" s="10"/>
    </row>
    <row r="909" spans="2:3" ht="15.75" customHeight="1">
      <c r="B909" s="9"/>
      <c r="C909" s="10"/>
    </row>
    <row r="910" spans="2:3" ht="15.75" customHeight="1">
      <c r="B910" s="9"/>
      <c r="C910" s="10"/>
    </row>
    <row r="911" spans="2:3" ht="15.75" customHeight="1">
      <c r="B911" s="9"/>
      <c r="C911" s="10"/>
    </row>
    <row r="912" spans="2:3" ht="15.75" customHeight="1">
      <c r="B912" s="9"/>
      <c r="C912" s="10"/>
    </row>
    <row r="913" spans="2:3" ht="15.75" customHeight="1">
      <c r="B913" s="9"/>
      <c r="C913" s="10"/>
    </row>
    <row r="914" spans="2:3" ht="15.75" customHeight="1">
      <c r="B914" s="9"/>
      <c r="C914" s="10"/>
    </row>
    <row r="915" spans="2:3" ht="15.75" customHeight="1">
      <c r="B915" s="9"/>
      <c r="C915" s="10"/>
    </row>
    <row r="916" spans="2:3" ht="15.75" customHeight="1">
      <c r="B916" s="9"/>
      <c r="C916" s="10"/>
    </row>
    <row r="917" spans="2:3" ht="15.75" customHeight="1">
      <c r="B917" s="9"/>
      <c r="C917" s="10"/>
    </row>
    <row r="918" spans="2:3" ht="15.75" customHeight="1">
      <c r="B918" s="9"/>
      <c r="C918" s="10"/>
    </row>
    <row r="919" spans="2:3" ht="15.75" customHeight="1">
      <c r="B919" s="9"/>
      <c r="C919" s="10"/>
    </row>
    <row r="920" spans="2:3" ht="15.75" customHeight="1">
      <c r="B920" s="9"/>
      <c r="C920" s="10"/>
    </row>
    <row r="921" spans="2:3" ht="15.75" customHeight="1">
      <c r="B921" s="9"/>
      <c r="C921" s="10"/>
    </row>
    <row r="922" spans="2:3" ht="15.75" customHeight="1">
      <c r="B922" s="9"/>
      <c r="C922" s="10"/>
    </row>
    <row r="923" spans="2:3" ht="15.75" customHeight="1">
      <c r="B923" s="9"/>
      <c r="C923" s="10"/>
    </row>
    <row r="924" spans="2:3" ht="15.75" customHeight="1">
      <c r="B924" s="9"/>
      <c r="C924" s="10"/>
    </row>
    <row r="925" spans="2:3" ht="15.75" customHeight="1">
      <c r="B925" s="9"/>
      <c r="C925" s="10"/>
    </row>
    <row r="926" spans="2:3" ht="15.75" customHeight="1">
      <c r="B926" s="9"/>
      <c r="C926" s="10"/>
    </row>
    <row r="927" spans="2:3" ht="15.75" customHeight="1">
      <c r="B927" s="9"/>
      <c r="C927" s="10"/>
    </row>
    <row r="928" spans="2:3" ht="15.75" customHeight="1">
      <c r="B928" s="9"/>
      <c r="C928" s="10"/>
    </row>
    <row r="929" spans="2:3" ht="15.75" customHeight="1">
      <c r="B929" s="9"/>
      <c r="C929" s="10"/>
    </row>
    <row r="930" spans="2:3" ht="15.75" customHeight="1">
      <c r="B930" s="9"/>
      <c r="C930" s="10"/>
    </row>
    <row r="931" spans="2:3" ht="15.75" customHeight="1">
      <c r="B931" s="9"/>
      <c r="C931" s="10"/>
    </row>
    <row r="932" spans="2:3" ht="15.75" customHeight="1">
      <c r="B932" s="9"/>
      <c r="C932" s="10"/>
    </row>
    <row r="933" spans="2:3" ht="15.75" customHeight="1">
      <c r="B933" s="9"/>
      <c r="C933" s="10"/>
    </row>
    <row r="934" spans="2:3" ht="15.75" customHeight="1">
      <c r="B934" s="9"/>
      <c r="C934" s="10"/>
    </row>
    <row r="935" spans="2:3" ht="15.75" customHeight="1">
      <c r="B935" s="9"/>
      <c r="C935" s="10"/>
    </row>
    <row r="936" spans="2:3" ht="15.75" customHeight="1">
      <c r="B936" s="9"/>
      <c r="C936" s="10"/>
    </row>
    <row r="937" spans="2:3" ht="15.75" customHeight="1">
      <c r="B937" s="9"/>
      <c r="C937" s="10"/>
    </row>
    <row r="938" spans="2:3" ht="15.75" customHeight="1">
      <c r="B938" s="9"/>
      <c r="C938" s="10"/>
    </row>
    <row r="939" spans="2:3" ht="15.75" customHeight="1">
      <c r="B939" s="9"/>
      <c r="C939" s="10"/>
    </row>
    <row r="940" spans="2:3" ht="15.75" customHeight="1">
      <c r="B940" s="9"/>
      <c r="C940" s="10"/>
    </row>
    <row r="941" spans="2:3" ht="15.75" customHeight="1">
      <c r="B941" s="9"/>
      <c r="C941" s="10"/>
    </row>
    <row r="942" spans="2:3" ht="15.75" customHeight="1">
      <c r="B942" s="9"/>
      <c r="C942" s="10"/>
    </row>
    <row r="943" spans="2:3" ht="15.75" customHeight="1">
      <c r="B943" s="9"/>
      <c r="C943" s="10"/>
    </row>
    <row r="944" spans="2:3" ht="15.75" customHeight="1">
      <c r="B944" s="9"/>
      <c r="C944" s="10"/>
    </row>
    <row r="945" spans="2:3" ht="15.75" customHeight="1">
      <c r="B945" s="9"/>
      <c r="C945" s="10"/>
    </row>
    <row r="946" spans="2:3" ht="15.75" customHeight="1">
      <c r="B946" s="9"/>
      <c r="C946" s="10"/>
    </row>
    <row r="947" spans="2:3" ht="15.75" customHeight="1">
      <c r="B947" s="9"/>
      <c r="C947" s="10"/>
    </row>
    <row r="948" spans="2:3" ht="15.75" customHeight="1">
      <c r="B948" s="9"/>
      <c r="C948" s="10"/>
    </row>
    <row r="949" spans="2:3" ht="15.75" customHeight="1">
      <c r="B949" s="9"/>
      <c r="C949" s="10"/>
    </row>
    <row r="950" spans="2:3" ht="15.75" customHeight="1">
      <c r="B950" s="9"/>
      <c r="C950" s="10"/>
    </row>
    <row r="951" spans="2:3" ht="15.75" customHeight="1">
      <c r="B951" s="9"/>
      <c r="C951" s="10"/>
    </row>
    <row r="952" spans="2:3" ht="15.75" customHeight="1">
      <c r="B952" s="9"/>
      <c r="C952" s="10"/>
    </row>
    <row r="953" spans="2:3" ht="15.75" customHeight="1">
      <c r="B953" s="9"/>
      <c r="C953" s="10"/>
    </row>
    <row r="954" spans="2:3" ht="15.75" customHeight="1">
      <c r="B954" s="9"/>
      <c r="C954" s="10"/>
    </row>
    <row r="955" spans="2:3" ht="15.75" customHeight="1">
      <c r="B955" s="9"/>
      <c r="C955" s="10"/>
    </row>
    <row r="956" spans="2:3" ht="15.75" customHeight="1">
      <c r="B956" s="9"/>
      <c r="C956" s="10"/>
    </row>
    <row r="957" spans="2:3" ht="15.75" customHeight="1">
      <c r="B957" s="9"/>
      <c r="C957" s="10"/>
    </row>
    <row r="958" spans="2:3" ht="15.75" customHeight="1">
      <c r="B958" s="9"/>
      <c r="C958" s="10"/>
    </row>
    <row r="959" spans="2:3" ht="15.75" customHeight="1">
      <c r="B959" s="9"/>
      <c r="C959" s="10"/>
    </row>
    <row r="960" spans="2:3" ht="15.75" customHeight="1">
      <c r="B960" s="9"/>
      <c r="C960" s="10"/>
    </row>
    <row r="961" spans="2:3" ht="15.75" customHeight="1">
      <c r="B961" s="9"/>
      <c r="C961" s="10"/>
    </row>
    <row r="962" spans="2:3" ht="15.75" customHeight="1">
      <c r="B962" s="9"/>
      <c r="C962" s="10"/>
    </row>
    <row r="963" spans="2:3" ht="15.75" customHeight="1">
      <c r="B963" s="9"/>
      <c r="C963" s="10"/>
    </row>
    <row r="964" spans="2:3" ht="15.75" customHeight="1">
      <c r="B964" s="9"/>
      <c r="C964" s="10"/>
    </row>
    <row r="965" spans="2:3" ht="15.75" customHeight="1">
      <c r="B965" s="9"/>
      <c r="C965" s="10"/>
    </row>
    <row r="966" spans="2:3" ht="15.75" customHeight="1">
      <c r="B966" s="9"/>
      <c r="C966" s="10"/>
    </row>
    <row r="967" spans="2:3" ht="15.75" customHeight="1">
      <c r="B967" s="9"/>
      <c r="C967" s="10"/>
    </row>
    <row r="968" spans="2:3" ht="15.75" customHeight="1">
      <c r="B968" s="9"/>
      <c r="C968" s="10"/>
    </row>
    <row r="969" spans="2:3" ht="15.75" customHeight="1">
      <c r="B969" s="9"/>
      <c r="C969" s="10"/>
    </row>
    <row r="970" spans="2:3" ht="15.75" customHeight="1">
      <c r="B970" s="9"/>
      <c r="C970" s="10"/>
    </row>
    <row r="971" spans="2:3" ht="15.75" customHeight="1">
      <c r="B971" s="9"/>
      <c r="C971" s="10"/>
    </row>
    <row r="972" spans="2:3" ht="15.75" customHeight="1">
      <c r="B972" s="9"/>
      <c r="C972" s="10"/>
    </row>
    <row r="973" spans="2:3" ht="15.75" customHeight="1">
      <c r="B973" s="9"/>
      <c r="C973" s="10"/>
    </row>
    <row r="974" spans="2:3" ht="15.75" customHeight="1">
      <c r="B974" s="9"/>
      <c r="C974" s="10"/>
    </row>
    <row r="975" spans="2:3" ht="15.75" customHeight="1">
      <c r="B975" s="9"/>
      <c r="C975" s="10"/>
    </row>
    <row r="976" spans="2:3" ht="15.75" customHeight="1">
      <c r="B976" s="9"/>
      <c r="C976" s="10"/>
    </row>
    <row r="977" spans="2:3" ht="15.75" customHeight="1">
      <c r="B977" s="9"/>
      <c r="C977" s="10"/>
    </row>
    <row r="978" spans="2:3" ht="15.75" customHeight="1">
      <c r="B978" s="9"/>
      <c r="C978" s="10"/>
    </row>
    <row r="979" spans="2:3" ht="15.75" customHeight="1">
      <c r="B979" s="9"/>
      <c r="C979" s="10"/>
    </row>
    <row r="980" spans="2:3" ht="15.75" customHeight="1">
      <c r="B980" s="9"/>
      <c r="C980" s="10"/>
    </row>
    <row r="981" spans="2:3" ht="15.75" customHeight="1">
      <c r="B981" s="9"/>
      <c r="C981" s="10"/>
    </row>
    <row r="982" spans="2:3" ht="15.75" customHeight="1">
      <c r="B982" s="9"/>
      <c r="C982" s="10"/>
    </row>
    <row r="983" spans="2:3" ht="15.75" customHeight="1">
      <c r="B983" s="9"/>
      <c r="C983" s="10"/>
    </row>
    <row r="984" spans="2:3" ht="15.75" customHeight="1">
      <c r="B984" s="9"/>
      <c r="C984" s="10"/>
    </row>
    <row r="985" spans="2:3" ht="15.75" customHeight="1">
      <c r="B985" s="9"/>
      <c r="C985" s="10"/>
    </row>
    <row r="986" spans="2:3" ht="15.75" customHeight="1">
      <c r="B986" s="9"/>
      <c r="C986" s="10"/>
    </row>
    <row r="987" spans="2:3" ht="15.75" customHeight="1">
      <c r="B987" s="9"/>
      <c r="C987" s="10"/>
    </row>
    <row r="988" spans="2:3" ht="15.75" customHeight="1">
      <c r="B988" s="9"/>
      <c r="C988" s="10"/>
    </row>
    <row r="989" spans="2:3" ht="15.75" customHeight="1">
      <c r="B989" s="9"/>
      <c r="C989" s="10"/>
    </row>
    <row r="990" spans="2:3" ht="15.75" customHeight="1">
      <c r="B990" s="9"/>
      <c r="C990" s="10"/>
    </row>
    <row r="991" spans="2:3" ht="15.75" customHeight="1">
      <c r="B991" s="9"/>
      <c r="C991" s="10"/>
    </row>
    <row r="992" spans="2:3" ht="15.75" customHeight="1">
      <c r="B992" s="9"/>
      <c r="C992" s="10"/>
    </row>
    <row r="993" spans="2:3" ht="15.75" customHeight="1">
      <c r="B993" s="9"/>
      <c r="C993" s="10"/>
    </row>
    <row r="994" spans="2:3" ht="15.75" customHeight="1">
      <c r="B994" s="9"/>
      <c r="C994" s="10"/>
    </row>
    <row r="995" spans="2:3" ht="15.75" customHeight="1">
      <c r="B995" s="9"/>
      <c r="C995" s="10"/>
    </row>
    <row r="996" spans="2:3" ht="15.75" customHeight="1">
      <c r="B996" s="9"/>
      <c r="C996" s="10"/>
    </row>
    <row r="997" spans="2:3" ht="15.75" customHeight="1">
      <c r="B997" s="9"/>
      <c r="C997" s="10"/>
    </row>
    <row r="998" spans="2:3" ht="15.75" customHeight="1">
      <c r="B998" s="9"/>
      <c r="C998" s="10"/>
    </row>
    <row r="999" spans="2:3" ht="15.75" customHeight="1">
      <c r="B999" s="9"/>
      <c r="C999" s="10"/>
    </row>
    <row r="1000" spans="2:3" ht="15.75" customHeight="1">
      <c r="B1000" s="9"/>
      <c r="C1000" s="10"/>
    </row>
    <row r="1001" spans="2:3" ht="15.75" customHeight="1">
      <c r="B1001" s="9"/>
      <c r="C1001" s="10"/>
    </row>
    <row r="1002" spans="2:3" ht="15.75" customHeight="1">
      <c r="B1002" s="9"/>
      <c r="C1002" s="10"/>
    </row>
  </sheetData>
  <mergeCells count="8">
    <mergeCell ref="B75:C75"/>
    <mergeCell ref="B76:C76"/>
    <mergeCell ref="B77:C77"/>
    <mergeCell ref="H2:J2"/>
    <mergeCell ref="H3:J3"/>
    <mergeCell ref="H4:J4"/>
    <mergeCell ref="H5:J5"/>
    <mergeCell ref="A7:M7"/>
  </mergeCells>
  <phoneticPr fontId="26" type="noConversion"/>
  <pageMargins left="0.60938967136150235" right="0.85727699530516432" top="1" bottom="1" header="0" footer="0"/>
  <pageSetup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>
      <selection activeCell="D26" sqref="D26"/>
    </sheetView>
  </sheetViews>
  <sheetFormatPr defaultColWidth="14.42578125" defaultRowHeight="15" customHeight="1"/>
  <cols>
    <col min="1" max="1" width="18.7109375" customWidth="1"/>
    <col min="2" max="2" width="16.42578125" customWidth="1"/>
    <col min="3" max="3" width="16.7109375" customWidth="1"/>
    <col min="4" max="23" width="9.140625" customWidth="1"/>
  </cols>
  <sheetData>
    <row r="1" spans="1:23" ht="15.75" customHeight="1">
      <c r="A1" s="47" t="s">
        <v>22</v>
      </c>
      <c r="B1" s="48" t="s">
        <v>58</v>
      </c>
      <c r="C1" s="47" t="s">
        <v>23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>
      <c r="A2" s="49" t="s">
        <v>49</v>
      </c>
      <c r="B2" s="50">
        <v>0</v>
      </c>
      <c r="C2" s="50" t="s">
        <v>59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>
      <c r="A3" s="51" t="s">
        <v>163</v>
      </c>
      <c r="B3" s="52">
        <v>50</v>
      </c>
      <c r="C3" s="52" t="s">
        <v>60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>
      <c r="A4" s="51" t="s">
        <v>44</v>
      </c>
      <c r="B4" s="52">
        <v>60</v>
      </c>
      <c r="C4" s="52" t="s">
        <v>61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>
      <c r="A5" s="51" t="s">
        <v>41</v>
      </c>
      <c r="B5" s="52">
        <v>65</v>
      </c>
      <c r="C5" s="52" t="s">
        <v>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>
      <c r="A6" s="51" t="s">
        <v>38</v>
      </c>
      <c r="B6" s="52">
        <v>70</v>
      </c>
      <c r="C6" s="52" t="s">
        <v>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>
      <c r="A7" s="51" t="s">
        <v>35</v>
      </c>
      <c r="B7" s="52">
        <v>75</v>
      </c>
      <c r="C7" s="52" t="s">
        <v>64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51" t="s">
        <v>32</v>
      </c>
      <c r="B8" s="52">
        <v>80</v>
      </c>
      <c r="C8" s="52" t="s">
        <v>65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51" t="s">
        <v>162</v>
      </c>
      <c r="B9" s="52">
        <v>85</v>
      </c>
      <c r="C9" s="52" t="s">
        <v>66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53" t="s">
        <v>161</v>
      </c>
      <c r="B10" s="52">
        <v>90</v>
      </c>
      <c r="C10" s="52" t="s">
        <v>67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thickBot="1">
      <c r="A11" s="54" t="s">
        <v>26</v>
      </c>
      <c r="B11" s="55">
        <v>95</v>
      </c>
      <c r="C11" s="56" t="s">
        <v>68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A3:A11">
    <sortCondition ref="A3:A11"/>
  </sortState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R1000"/>
  <sheetViews>
    <sheetView showGridLines="0" zoomScale="25" zoomScaleNormal="25" workbookViewId="0">
      <selection activeCell="A2" sqref="A2:AQ74"/>
    </sheetView>
  </sheetViews>
  <sheetFormatPr defaultColWidth="14.42578125" defaultRowHeight="15" customHeight="1"/>
  <cols>
    <col min="1" max="1" width="2.85546875" customWidth="1"/>
    <col min="2" max="2" width="4.7109375" customWidth="1"/>
    <col min="3" max="3" width="5.85546875" customWidth="1"/>
    <col min="4" max="4" width="6.140625" customWidth="1"/>
    <col min="5" max="5" width="6.28515625" customWidth="1"/>
    <col min="6" max="6" width="7.140625" customWidth="1"/>
    <col min="7" max="7" width="6.28515625" customWidth="1"/>
    <col min="8" max="8" width="11.140625" customWidth="1"/>
    <col min="9" max="12" width="6.85546875" customWidth="1"/>
    <col min="13" max="13" width="6" customWidth="1"/>
    <col min="14" max="14" width="3.85546875" customWidth="1"/>
    <col min="15" max="15" width="3" customWidth="1"/>
    <col min="16" max="16" width="4.7109375" customWidth="1"/>
    <col min="17" max="17" width="9.28515625" customWidth="1"/>
    <col min="18" max="18" width="7.7109375" customWidth="1"/>
    <col min="19" max="22" width="4.28515625" customWidth="1"/>
    <col min="23" max="31" width="3.5703125" customWidth="1"/>
    <col min="32" max="32" width="1" customWidth="1"/>
    <col min="33" max="36" width="3.5703125" customWidth="1"/>
    <col min="37" max="37" width="6.7109375" customWidth="1"/>
    <col min="38" max="44" width="3.5703125" customWidth="1"/>
  </cols>
  <sheetData>
    <row r="1" spans="1:44" ht="16.5" customHeight="1">
      <c r="A1" s="57"/>
      <c r="B1" s="57"/>
      <c r="C1" s="57"/>
      <c r="D1" s="57"/>
      <c r="E1" s="57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</row>
    <row r="2" spans="1:44" ht="16.5" customHeight="1">
      <c r="A2" s="58"/>
      <c r="B2" s="192" t="s">
        <v>0</v>
      </c>
      <c r="C2" s="188"/>
      <c r="D2" s="189"/>
      <c r="E2" s="193" t="str">
        <f>GradeSheet!$H$2</f>
        <v>CSE</v>
      </c>
      <c r="F2" s="188"/>
      <c r="G2" s="188"/>
      <c r="H2" s="188"/>
      <c r="I2" s="188"/>
      <c r="J2" s="188"/>
      <c r="K2" s="188"/>
      <c r="L2" s="188"/>
      <c r="M2" s="188"/>
      <c r="N2" s="189"/>
      <c r="O2" s="192" t="str">
        <f>CONCATENATE("Section ", GradeSheet!$L$2,)</f>
        <v>Section 1</v>
      </c>
      <c r="P2" s="188"/>
      <c r="Q2" s="189"/>
      <c r="R2" s="59"/>
      <c r="S2" s="58"/>
      <c r="T2" s="194" t="s">
        <v>69</v>
      </c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9"/>
      <c r="AO2" s="60"/>
      <c r="AP2" s="60"/>
      <c r="AQ2" s="60"/>
      <c r="AR2" s="58"/>
    </row>
    <row r="3" spans="1:44" ht="16.5" customHeight="1">
      <c r="A3" s="58"/>
      <c r="B3" s="195" t="s">
        <v>3</v>
      </c>
      <c r="C3" s="188"/>
      <c r="D3" s="189"/>
      <c r="E3" s="196" t="str">
        <f>GradeSheet!$H$3</f>
        <v>Operating Systems</v>
      </c>
      <c r="F3" s="188"/>
      <c r="G3" s="188"/>
      <c r="H3" s="188"/>
      <c r="I3" s="188"/>
      <c r="J3" s="188"/>
      <c r="K3" s="188"/>
      <c r="L3" s="188"/>
      <c r="M3" s="188"/>
      <c r="N3" s="189"/>
      <c r="O3" s="195" t="str">
        <f>CONCATENATE(GradeSheet!$H$76," students")</f>
        <v>0 students</v>
      </c>
      <c r="P3" s="188"/>
      <c r="Q3" s="189"/>
      <c r="R3" s="59"/>
      <c r="S3" s="58"/>
      <c r="T3" s="191" t="s">
        <v>70</v>
      </c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9"/>
      <c r="AG3" s="191" t="s">
        <v>71</v>
      </c>
      <c r="AH3" s="188"/>
      <c r="AI3" s="188"/>
      <c r="AJ3" s="188"/>
      <c r="AK3" s="188"/>
      <c r="AL3" s="188"/>
      <c r="AM3" s="188"/>
      <c r="AN3" s="189"/>
      <c r="AO3" s="60"/>
      <c r="AP3" s="60"/>
      <c r="AQ3" s="60"/>
      <c r="AR3" s="58"/>
    </row>
    <row r="4" spans="1:44" ht="16.5" customHeight="1">
      <c r="A4" s="58"/>
      <c r="B4" s="197" t="s">
        <v>7</v>
      </c>
      <c r="C4" s="188"/>
      <c r="D4" s="189"/>
      <c r="E4" s="198">
        <f>GradeSheet!$H$4</f>
        <v>3</v>
      </c>
      <c r="F4" s="188"/>
      <c r="G4" s="188"/>
      <c r="H4" s="188"/>
      <c r="I4" s="188"/>
      <c r="J4" s="188"/>
      <c r="K4" s="188"/>
      <c r="L4" s="188"/>
      <c r="M4" s="188"/>
      <c r="N4" s="189"/>
      <c r="O4" s="198" t="str">
        <f>GradeSheet!$L$3</f>
        <v>Spring 2025</v>
      </c>
      <c r="P4" s="188"/>
      <c r="Q4" s="189"/>
      <c r="R4" s="59"/>
      <c r="S4" s="58"/>
      <c r="T4" s="199">
        <v>1</v>
      </c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9"/>
      <c r="AG4" s="200">
        <v>4</v>
      </c>
      <c r="AH4" s="188"/>
      <c r="AI4" s="188"/>
      <c r="AJ4" s="188"/>
      <c r="AK4" s="188"/>
      <c r="AL4" s="188"/>
      <c r="AM4" s="188"/>
      <c r="AN4" s="189"/>
      <c r="AO4" s="60"/>
      <c r="AP4" s="60"/>
      <c r="AQ4" s="60"/>
      <c r="AR4" s="58"/>
    </row>
    <row r="5" spans="1:44" ht="16.5" customHeight="1">
      <c r="A5" s="58"/>
      <c r="B5" s="57"/>
      <c r="C5" s="57"/>
      <c r="D5" s="57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59"/>
      <c r="S5" s="58"/>
      <c r="T5" s="199">
        <v>2</v>
      </c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9"/>
      <c r="AG5" s="200">
        <v>4</v>
      </c>
      <c r="AH5" s="188"/>
      <c r="AI5" s="188"/>
      <c r="AJ5" s="188"/>
      <c r="AK5" s="188"/>
      <c r="AL5" s="188"/>
      <c r="AM5" s="188"/>
      <c r="AN5" s="189"/>
      <c r="AO5" s="60"/>
      <c r="AP5" s="60"/>
      <c r="AQ5" s="60"/>
      <c r="AR5" s="58"/>
    </row>
    <row r="6" spans="1:44" ht="16.5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200">
        <v>3</v>
      </c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9"/>
      <c r="AG6" s="200">
        <v>5</v>
      </c>
      <c r="AH6" s="188"/>
      <c r="AI6" s="188"/>
      <c r="AJ6" s="188"/>
      <c r="AK6" s="188"/>
      <c r="AL6" s="188"/>
      <c r="AM6" s="188"/>
      <c r="AN6" s="189"/>
      <c r="AO6" s="63"/>
      <c r="AP6" s="63"/>
      <c r="AQ6" s="63"/>
      <c r="AR6" s="62"/>
    </row>
    <row r="7" spans="1:44" ht="12.75" customHeight="1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00">
        <v>4</v>
      </c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9"/>
      <c r="AG7" s="200">
        <v>5</v>
      </c>
      <c r="AH7" s="188"/>
      <c r="AI7" s="188"/>
      <c r="AJ7" s="188"/>
      <c r="AK7" s="188"/>
      <c r="AL7" s="188"/>
      <c r="AM7" s="188"/>
      <c r="AN7" s="189"/>
      <c r="AO7" s="64"/>
      <c r="AP7" s="64"/>
      <c r="AQ7" s="64"/>
      <c r="AR7" s="62"/>
    </row>
    <row r="8" spans="1:44" ht="16.5" customHeigh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200">
        <v>5</v>
      </c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9"/>
      <c r="AG8" s="200">
        <v>6</v>
      </c>
      <c r="AH8" s="188"/>
      <c r="AI8" s="188"/>
      <c r="AJ8" s="188"/>
      <c r="AK8" s="188"/>
      <c r="AL8" s="188"/>
      <c r="AM8" s="188"/>
      <c r="AN8" s="189"/>
      <c r="AO8" s="64"/>
      <c r="AP8" s="64"/>
      <c r="AQ8" s="64"/>
      <c r="AR8" s="62"/>
    </row>
    <row r="9" spans="1:44" ht="16.5" customHeight="1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200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9"/>
      <c r="AG9" s="200"/>
      <c r="AH9" s="188"/>
      <c r="AI9" s="188"/>
      <c r="AJ9" s="188"/>
      <c r="AK9" s="188"/>
      <c r="AL9" s="188"/>
      <c r="AM9" s="188"/>
      <c r="AN9" s="189"/>
      <c r="AO9" s="64"/>
      <c r="AP9" s="64"/>
      <c r="AQ9" s="64"/>
      <c r="AR9" s="62"/>
    </row>
    <row r="10" spans="1:44" ht="16.5" customHeight="1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200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9"/>
      <c r="AG10" s="200"/>
      <c r="AH10" s="188"/>
      <c r="AI10" s="188"/>
      <c r="AJ10" s="188"/>
      <c r="AK10" s="188"/>
      <c r="AL10" s="188"/>
      <c r="AM10" s="188"/>
      <c r="AN10" s="189"/>
      <c r="AO10" s="64"/>
      <c r="AP10" s="64"/>
      <c r="AQ10" s="64"/>
      <c r="AR10" s="62"/>
    </row>
    <row r="11" spans="1:44" ht="16.5" customHeight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200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9"/>
      <c r="AG11" s="200"/>
      <c r="AH11" s="188"/>
      <c r="AI11" s="188"/>
      <c r="AJ11" s="188"/>
      <c r="AK11" s="188"/>
      <c r="AL11" s="188"/>
      <c r="AM11" s="188"/>
      <c r="AN11" s="189"/>
      <c r="AO11" s="64"/>
      <c r="AP11" s="64"/>
      <c r="AQ11" s="64"/>
      <c r="AR11" s="62"/>
    </row>
    <row r="12" spans="1:44" ht="16.5" customHeight="1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200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9"/>
      <c r="AG12" s="200"/>
      <c r="AH12" s="188"/>
      <c r="AI12" s="188"/>
      <c r="AJ12" s="188"/>
      <c r="AK12" s="188"/>
      <c r="AL12" s="188"/>
      <c r="AM12" s="188"/>
      <c r="AN12" s="189"/>
      <c r="AO12" s="64"/>
      <c r="AP12" s="64"/>
      <c r="AQ12" s="64"/>
      <c r="AR12" s="62"/>
    </row>
    <row r="13" spans="1:44" ht="16.5" customHeight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4"/>
      <c r="AP13" s="64"/>
      <c r="AQ13" s="64"/>
      <c r="AR13" s="62"/>
    </row>
    <row r="14" spans="1:44" ht="16.5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201" t="s">
        <v>72</v>
      </c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64"/>
      <c r="AP14" s="64"/>
      <c r="AQ14" s="64"/>
      <c r="AR14" s="62"/>
    </row>
    <row r="15" spans="1:44" ht="16.5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4"/>
      <c r="U15" s="64" t="s">
        <v>73</v>
      </c>
      <c r="V15" s="201" t="s">
        <v>74</v>
      </c>
      <c r="W15" s="184"/>
      <c r="X15" s="184"/>
      <c r="Y15" s="202" t="s">
        <v>75</v>
      </c>
      <c r="Z15" s="189"/>
      <c r="AA15" s="64"/>
      <c r="AB15" s="64" t="s">
        <v>76</v>
      </c>
      <c r="AC15" s="201" t="s">
        <v>77</v>
      </c>
      <c r="AD15" s="184"/>
      <c r="AE15" s="184"/>
      <c r="AF15" s="191"/>
      <c r="AG15" s="188"/>
      <c r="AH15" s="189"/>
      <c r="AI15" s="62"/>
      <c r="AJ15" s="64" t="s">
        <v>78</v>
      </c>
      <c r="AK15" s="65" t="s">
        <v>79</v>
      </c>
      <c r="AL15" s="191"/>
      <c r="AM15" s="189"/>
      <c r="AN15" s="63"/>
      <c r="AO15" s="64"/>
      <c r="AP15" s="64"/>
      <c r="AQ15" s="64"/>
      <c r="AR15" s="62"/>
    </row>
    <row r="16" spans="1:44" ht="16.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201" t="s">
        <v>80</v>
      </c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64"/>
      <c r="AP16" s="64"/>
      <c r="AQ16" s="64"/>
      <c r="AR16" s="62"/>
    </row>
    <row r="17" spans="1:44" ht="16.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203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5"/>
      <c r="AR17" s="62"/>
    </row>
    <row r="18" spans="1:44" ht="16.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206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207"/>
      <c r="AR18" s="62"/>
    </row>
    <row r="19" spans="1:44" ht="16.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208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10"/>
      <c r="AR19" s="62"/>
    </row>
    <row r="20" spans="1:44" ht="16.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2"/>
    </row>
    <row r="21" spans="1:44" ht="16.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194" t="s">
        <v>81</v>
      </c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9"/>
      <c r="AR21" s="62"/>
    </row>
    <row r="22" spans="1:44" ht="16.5" customHeight="1">
      <c r="A22" s="62"/>
      <c r="B22" s="211" t="s">
        <v>82</v>
      </c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9"/>
      <c r="P22" s="62"/>
      <c r="Q22" s="62"/>
      <c r="R22" s="62"/>
      <c r="S22" s="62"/>
      <c r="T22" s="191" t="s">
        <v>83</v>
      </c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9"/>
      <c r="AG22" s="191" t="s">
        <v>71</v>
      </c>
      <c r="AH22" s="188"/>
      <c r="AI22" s="188"/>
      <c r="AJ22" s="188"/>
      <c r="AK22" s="189"/>
      <c r="AL22" s="191" t="s">
        <v>84</v>
      </c>
      <c r="AM22" s="188"/>
      <c r="AN22" s="188"/>
      <c r="AO22" s="188"/>
      <c r="AP22" s="188"/>
      <c r="AQ22" s="189"/>
      <c r="AR22" s="62"/>
    </row>
    <row r="23" spans="1:44" ht="16.5" customHeight="1">
      <c r="A23" s="62"/>
      <c r="B23" s="66" t="s">
        <v>27</v>
      </c>
      <c r="C23" s="66" t="s">
        <v>29</v>
      </c>
      <c r="D23" s="66" t="s">
        <v>33</v>
      </c>
      <c r="E23" s="66" t="s">
        <v>36</v>
      </c>
      <c r="F23" s="66" t="s">
        <v>39</v>
      </c>
      <c r="G23" s="66" t="s">
        <v>42</v>
      </c>
      <c r="H23" s="66" t="s">
        <v>45</v>
      </c>
      <c r="I23" s="66" t="s">
        <v>47</v>
      </c>
      <c r="J23" s="66" t="s">
        <v>48</v>
      </c>
      <c r="K23" s="66" t="s">
        <v>50</v>
      </c>
      <c r="L23" s="66" t="s">
        <v>52</v>
      </c>
      <c r="M23" s="66" t="s">
        <v>54</v>
      </c>
      <c r="N23" s="212" t="s">
        <v>46</v>
      </c>
      <c r="O23" s="189"/>
      <c r="P23" s="62"/>
      <c r="Q23" s="62"/>
      <c r="R23" s="62"/>
      <c r="S23" s="62"/>
      <c r="T23" s="200" t="s">
        <v>85</v>
      </c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9"/>
      <c r="AG23" s="200">
        <v>20</v>
      </c>
      <c r="AH23" s="188"/>
      <c r="AI23" s="188"/>
      <c r="AJ23" s="188"/>
      <c r="AK23" s="189"/>
      <c r="AL23" s="213">
        <f>AG23/P33</f>
        <v>1.0526315789473684</v>
      </c>
      <c r="AM23" s="188"/>
      <c r="AN23" s="188"/>
      <c r="AO23" s="188"/>
      <c r="AP23" s="188"/>
      <c r="AQ23" s="189"/>
      <c r="AR23" s="59"/>
    </row>
    <row r="24" spans="1:44" ht="16.5" customHeight="1">
      <c r="A24" s="62"/>
      <c r="B24" s="67">
        <f>GradeSheet!$H$64</f>
        <v>0</v>
      </c>
      <c r="C24" s="67">
        <f>GradeSheet!$H$65</f>
        <v>0</v>
      </c>
      <c r="D24" s="67">
        <f>GradeSheet!$H$66</f>
        <v>0</v>
      </c>
      <c r="E24" s="67">
        <f>GradeSheet!$H$67</f>
        <v>0</v>
      </c>
      <c r="F24" s="67">
        <f>GradeSheet!$H$68</f>
        <v>0</v>
      </c>
      <c r="G24" s="67">
        <f>GradeSheet!$H$69</f>
        <v>0</v>
      </c>
      <c r="H24" s="67">
        <f>GradeSheet!$H$70</f>
        <v>0</v>
      </c>
      <c r="I24" s="67">
        <f>GradeSheet!$H$71</f>
        <v>0</v>
      </c>
      <c r="J24" s="67">
        <f>GradeSheet!$H$72</f>
        <v>0</v>
      </c>
      <c r="K24" s="67">
        <f>GradeSheet!$H$73</f>
        <v>0</v>
      </c>
      <c r="L24" s="67">
        <f>GradeSheet!$H$74</f>
        <v>0</v>
      </c>
      <c r="M24" s="67">
        <f>GradeSheet!$H$75</f>
        <v>0</v>
      </c>
      <c r="N24" s="218">
        <f t="shared" ref="N24:N25" si="0">SUM(B24:M24)</f>
        <v>0</v>
      </c>
      <c r="O24" s="189"/>
      <c r="P24" s="62"/>
      <c r="Q24" s="62"/>
      <c r="R24" s="62"/>
      <c r="S24" s="62"/>
      <c r="T24" s="200" t="s">
        <v>86</v>
      </c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9"/>
      <c r="AG24" s="200">
        <v>10</v>
      </c>
      <c r="AH24" s="188"/>
      <c r="AI24" s="188"/>
      <c r="AJ24" s="188"/>
      <c r="AK24" s="189"/>
      <c r="AL24" s="213">
        <f>AG24/P33</f>
        <v>0.52631578947368418</v>
      </c>
      <c r="AM24" s="188"/>
      <c r="AN24" s="188"/>
      <c r="AO24" s="188"/>
      <c r="AP24" s="188"/>
      <c r="AQ24" s="189"/>
      <c r="AR24" s="62"/>
    </row>
    <row r="25" spans="1:44" ht="16.5" customHeight="1">
      <c r="A25" s="62"/>
      <c r="B25" s="68" t="e">
        <f>B24/GradeSheet!$H$76</f>
        <v>#DIV/0!</v>
      </c>
      <c r="C25" s="68" t="e">
        <f>C24/GradeSheet!$H$76</f>
        <v>#DIV/0!</v>
      </c>
      <c r="D25" s="68" t="e">
        <f>D24/GradeSheet!$H$76</f>
        <v>#DIV/0!</v>
      </c>
      <c r="E25" s="68" t="e">
        <f>E24/GradeSheet!$H$76</f>
        <v>#DIV/0!</v>
      </c>
      <c r="F25" s="68" t="e">
        <f>F24/GradeSheet!$H$76</f>
        <v>#DIV/0!</v>
      </c>
      <c r="G25" s="68" t="e">
        <f>G24/GradeSheet!$H$76</f>
        <v>#DIV/0!</v>
      </c>
      <c r="H25" s="68" t="e">
        <f>H24/GradeSheet!$H$76</f>
        <v>#DIV/0!</v>
      </c>
      <c r="I25" s="68" t="e">
        <f>I24/GradeSheet!$H$76</f>
        <v>#DIV/0!</v>
      </c>
      <c r="J25" s="68" t="e">
        <f>J24/GradeSheet!$H$76</f>
        <v>#DIV/0!</v>
      </c>
      <c r="K25" s="68" t="e">
        <f>K24/GradeSheet!$H$76</f>
        <v>#DIV/0!</v>
      </c>
      <c r="L25" s="68" t="e">
        <f>L24/GradeSheet!$H$76</f>
        <v>#DIV/0!</v>
      </c>
      <c r="M25" s="68" t="e">
        <f>M24/GradeSheet!$H$76</f>
        <v>#DIV/0!</v>
      </c>
      <c r="N25" s="224" t="e">
        <f t="shared" si="0"/>
        <v>#DIV/0!</v>
      </c>
      <c r="O25" s="189"/>
      <c r="P25" s="62"/>
      <c r="Q25" s="62"/>
      <c r="R25" s="62"/>
      <c r="S25" s="62"/>
      <c r="T25" s="200" t="s">
        <v>87</v>
      </c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9"/>
      <c r="AG25" s="200">
        <v>0</v>
      </c>
      <c r="AH25" s="188"/>
      <c r="AI25" s="188"/>
      <c r="AJ25" s="188"/>
      <c r="AK25" s="189"/>
      <c r="AL25" s="213">
        <f>AG25/P33</f>
        <v>0</v>
      </c>
      <c r="AM25" s="188"/>
      <c r="AN25" s="188"/>
      <c r="AO25" s="188"/>
      <c r="AP25" s="188"/>
      <c r="AQ25" s="189"/>
      <c r="AR25" s="62"/>
    </row>
    <row r="26" spans="1:44" ht="16.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200" t="s">
        <v>88</v>
      </c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9"/>
      <c r="AG26" s="200">
        <v>8</v>
      </c>
      <c r="AH26" s="188"/>
      <c r="AI26" s="188"/>
      <c r="AJ26" s="188"/>
      <c r="AK26" s="189"/>
      <c r="AL26" s="213">
        <f>AG26/P33</f>
        <v>0.42105263157894735</v>
      </c>
      <c r="AM26" s="188"/>
      <c r="AN26" s="188"/>
      <c r="AO26" s="188"/>
      <c r="AP26" s="188"/>
      <c r="AQ26" s="189"/>
      <c r="AR26" s="62"/>
    </row>
    <row r="27" spans="1:44" ht="16.5" customHeight="1">
      <c r="A27" s="62"/>
      <c r="B27" s="69" t="s">
        <v>89</v>
      </c>
      <c r="C27" s="69"/>
      <c r="D27" s="69"/>
      <c r="E27" s="69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200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9"/>
      <c r="AG27" s="200"/>
      <c r="AH27" s="188"/>
      <c r="AI27" s="188"/>
      <c r="AJ27" s="188"/>
      <c r="AK27" s="189"/>
      <c r="AL27" s="213"/>
      <c r="AM27" s="188"/>
      <c r="AN27" s="188"/>
      <c r="AO27" s="188"/>
      <c r="AP27" s="188"/>
      <c r="AQ27" s="189"/>
      <c r="AR27" s="62"/>
    </row>
    <row r="28" spans="1:44" ht="16.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225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225"/>
      <c r="AH28" s="184"/>
      <c r="AI28" s="184"/>
      <c r="AJ28" s="184"/>
      <c r="AK28" s="184"/>
      <c r="AL28" s="225"/>
      <c r="AM28" s="184"/>
      <c r="AN28" s="184"/>
      <c r="AO28" s="184"/>
      <c r="AP28" s="184"/>
      <c r="AQ28" s="184"/>
      <c r="AR28" s="62"/>
    </row>
    <row r="29" spans="1:44" ht="16.5" customHeight="1">
      <c r="A29" s="62"/>
      <c r="B29" s="191"/>
      <c r="C29" s="188"/>
      <c r="D29" s="188"/>
      <c r="E29" s="188"/>
      <c r="F29" s="189"/>
      <c r="G29" s="70" t="s">
        <v>14</v>
      </c>
      <c r="H29" s="70" t="s">
        <v>90</v>
      </c>
      <c r="I29" s="62"/>
      <c r="J29" s="191"/>
      <c r="K29" s="188"/>
      <c r="L29" s="188"/>
      <c r="M29" s="188"/>
      <c r="N29" s="188"/>
      <c r="O29" s="189"/>
      <c r="P29" s="70" t="s">
        <v>91</v>
      </c>
      <c r="Q29" s="70" t="s">
        <v>90</v>
      </c>
      <c r="R29" s="62"/>
      <c r="S29" s="62"/>
      <c r="T29" s="225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225"/>
      <c r="AH29" s="184"/>
      <c r="AI29" s="184"/>
      <c r="AJ29" s="184"/>
      <c r="AK29" s="184"/>
      <c r="AL29" s="225"/>
      <c r="AM29" s="184"/>
      <c r="AN29" s="184"/>
      <c r="AO29" s="184"/>
      <c r="AP29" s="184"/>
      <c r="AQ29" s="184"/>
      <c r="AR29" s="62"/>
    </row>
    <row r="30" spans="1:44" ht="16.5" customHeight="1">
      <c r="A30" s="62"/>
      <c r="B30" s="191" t="s">
        <v>92</v>
      </c>
      <c r="C30" s="188"/>
      <c r="D30" s="188"/>
      <c r="E30" s="188"/>
      <c r="F30" s="189"/>
      <c r="G30" s="71">
        <f>GradeSheet!$H$76</f>
        <v>0</v>
      </c>
      <c r="H30" s="72" t="e">
        <f>G30/G30</f>
        <v>#DIV/0!</v>
      </c>
      <c r="I30" s="62"/>
      <c r="J30" s="191" t="s">
        <v>93</v>
      </c>
      <c r="K30" s="188"/>
      <c r="L30" s="188"/>
      <c r="M30" s="188"/>
      <c r="N30" s="188"/>
      <c r="O30" s="189"/>
      <c r="P30" s="73">
        <v>20</v>
      </c>
      <c r="Q30" s="72">
        <f>P30/P30</f>
        <v>1</v>
      </c>
      <c r="R30" s="62"/>
      <c r="S30" s="62"/>
      <c r="T30" s="194" t="s">
        <v>94</v>
      </c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9"/>
      <c r="AG30" s="191" t="s">
        <v>71</v>
      </c>
      <c r="AH30" s="188"/>
      <c r="AI30" s="188"/>
      <c r="AJ30" s="188"/>
      <c r="AK30" s="189"/>
      <c r="AL30" s="191" t="s">
        <v>84</v>
      </c>
      <c r="AM30" s="188"/>
      <c r="AN30" s="188"/>
      <c r="AO30" s="188"/>
      <c r="AP30" s="188"/>
      <c r="AQ30" s="189"/>
      <c r="AR30" s="62"/>
    </row>
    <row r="31" spans="1:44" ht="16.5" customHeight="1">
      <c r="A31" s="62"/>
      <c r="B31" s="191" t="s">
        <v>95</v>
      </c>
      <c r="C31" s="188"/>
      <c r="D31" s="188"/>
      <c r="E31" s="188"/>
      <c r="F31" s="189"/>
      <c r="G31" s="71">
        <f>GradeSheet!$H$75</f>
        <v>0</v>
      </c>
      <c r="H31" s="72" t="e">
        <f>G31/G30</f>
        <v>#DIV/0!</v>
      </c>
      <c r="I31" s="62"/>
      <c r="J31" s="191" t="s">
        <v>96</v>
      </c>
      <c r="K31" s="188"/>
      <c r="L31" s="188"/>
      <c r="M31" s="188"/>
      <c r="N31" s="188"/>
      <c r="O31" s="189"/>
      <c r="P31" s="73">
        <v>0</v>
      </c>
      <c r="Q31" s="72">
        <f>P31/P30</f>
        <v>0</v>
      </c>
      <c r="R31" s="62"/>
      <c r="S31" s="62"/>
      <c r="T31" s="200" t="s">
        <v>88</v>
      </c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9"/>
      <c r="AG31" s="200">
        <v>8</v>
      </c>
      <c r="AH31" s="188"/>
      <c r="AI31" s="188"/>
      <c r="AJ31" s="188"/>
      <c r="AK31" s="189"/>
      <c r="AL31" s="213">
        <f>AG31/P33</f>
        <v>0.42105263157894735</v>
      </c>
      <c r="AM31" s="188"/>
      <c r="AN31" s="188"/>
      <c r="AO31" s="188"/>
      <c r="AP31" s="188"/>
      <c r="AQ31" s="189"/>
      <c r="AR31" s="62"/>
    </row>
    <row r="32" spans="1:44" ht="16.5" customHeight="1">
      <c r="A32" s="74"/>
      <c r="B32" s="191" t="s">
        <v>97</v>
      </c>
      <c r="C32" s="188"/>
      <c r="D32" s="188"/>
      <c r="E32" s="188"/>
      <c r="F32" s="189"/>
      <c r="G32" s="73">
        <v>41</v>
      </c>
      <c r="H32" s="72" t="e">
        <f>G32/G30</f>
        <v>#DIV/0!</v>
      </c>
      <c r="I32" s="62"/>
      <c r="J32" s="191" t="s">
        <v>98</v>
      </c>
      <c r="K32" s="188"/>
      <c r="L32" s="188"/>
      <c r="M32" s="188"/>
      <c r="N32" s="188"/>
      <c r="O32" s="189"/>
      <c r="P32" s="73">
        <v>0</v>
      </c>
      <c r="Q32" s="72">
        <f>P32/P30</f>
        <v>0</v>
      </c>
      <c r="R32" s="62"/>
      <c r="S32" s="62"/>
      <c r="T32" s="200" t="s">
        <v>86</v>
      </c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9"/>
      <c r="AG32" s="200">
        <v>10</v>
      </c>
      <c r="AH32" s="188"/>
      <c r="AI32" s="188"/>
      <c r="AJ32" s="188"/>
      <c r="AK32" s="189"/>
      <c r="AL32" s="213">
        <f>AG32/P33</f>
        <v>0.52631578947368418</v>
      </c>
      <c r="AM32" s="188"/>
      <c r="AN32" s="188"/>
      <c r="AO32" s="188"/>
      <c r="AP32" s="188"/>
      <c r="AQ32" s="189"/>
      <c r="AR32" s="62"/>
    </row>
    <row r="33" spans="1:44" ht="17.25" customHeight="1">
      <c r="A33" s="62"/>
      <c r="B33" s="191" t="s">
        <v>99</v>
      </c>
      <c r="C33" s="188"/>
      <c r="D33" s="188"/>
      <c r="E33" s="188"/>
      <c r="F33" s="189"/>
      <c r="G33" s="71">
        <f>GradeSheet!$H$76-(GradeSheet!$H$73+GradeSheet!$H$74+GradeSheet!$H$75)</f>
        <v>0</v>
      </c>
      <c r="H33" s="72" t="e">
        <f>G33/G30</f>
        <v>#DIV/0!</v>
      </c>
      <c r="I33" s="62"/>
      <c r="J33" s="203" t="s">
        <v>100</v>
      </c>
      <c r="K33" s="204"/>
      <c r="L33" s="204"/>
      <c r="M33" s="204"/>
      <c r="N33" s="204"/>
      <c r="O33" s="205"/>
      <c r="P33" s="214">
        <v>19</v>
      </c>
      <c r="Q33" s="217">
        <f>P33/P30</f>
        <v>0.95</v>
      </c>
      <c r="R33" s="62"/>
      <c r="S33" s="62"/>
      <c r="T33" s="191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9"/>
      <c r="AG33" s="191"/>
      <c r="AH33" s="188"/>
      <c r="AI33" s="188"/>
      <c r="AJ33" s="188"/>
      <c r="AK33" s="189"/>
      <c r="AL33" s="191"/>
      <c r="AM33" s="188"/>
      <c r="AN33" s="188"/>
      <c r="AO33" s="188"/>
      <c r="AP33" s="188"/>
      <c r="AQ33" s="189"/>
      <c r="AR33" s="62"/>
    </row>
    <row r="34" spans="1:44" ht="16.5" customHeight="1">
      <c r="A34" s="62"/>
      <c r="B34" s="64"/>
      <c r="C34" s="64"/>
      <c r="D34" s="64"/>
      <c r="E34" s="64"/>
      <c r="F34" s="64"/>
      <c r="G34" s="64"/>
      <c r="H34" s="64"/>
      <c r="I34" s="62"/>
      <c r="J34" s="206"/>
      <c r="K34" s="184"/>
      <c r="L34" s="184"/>
      <c r="M34" s="184"/>
      <c r="N34" s="184"/>
      <c r="O34" s="207"/>
      <c r="P34" s="215"/>
      <c r="Q34" s="215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</row>
    <row r="35" spans="1:44" ht="16.5" customHeight="1">
      <c r="A35" s="62"/>
      <c r="B35" s="64"/>
      <c r="C35" s="64"/>
      <c r="D35" s="64"/>
      <c r="E35" s="64"/>
      <c r="F35" s="64"/>
      <c r="G35" s="64"/>
      <c r="H35" s="64"/>
      <c r="I35" s="62"/>
      <c r="J35" s="208"/>
      <c r="K35" s="209"/>
      <c r="L35" s="209"/>
      <c r="M35" s="209"/>
      <c r="N35" s="209"/>
      <c r="O35" s="210"/>
      <c r="P35" s="216"/>
      <c r="Q35" s="216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</row>
    <row r="36" spans="1:44" ht="16.5" customHeight="1">
      <c r="A36" s="62"/>
      <c r="B36" s="62"/>
      <c r="C36" s="62"/>
      <c r="D36" s="62"/>
      <c r="E36" s="62"/>
      <c r="F36" s="62"/>
      <c r="G36" s="62"/>
      <c r="H36" s="62"/>
      <c r="I36" s="62"/>
      <c r="J36" s="64"/>
      <c r="K36" s="64"/>
      <c r="L36" s="64"/>
      <c r="M36" s="64"/>
      <c r="N36" s="64"/>
      <c r="O36" s="64"/>
      <c r="P36" s="64"/>
      <c r="Q36" s="64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</row>
    <row r="37" spans="1:44" ht="16.5" customHeight="1">
      <c r="A37" s="62"/>
      <c r="B37" s="191" t="s">
        <v>101</v>
      </c>
      <c r="C37" s="188"/>
      <c r="D37" s="188"/>
      <c r="E37" s="188"/>
      <c r="F37" s="188"/>
      <c r="G37" s="189"/>
      <c r="H37" s="62"/>
      <c r="I37" s="62"/>
      <c r="J37" s="191"/>
      <c r="K37" s="188"/>
      <c r="L37" s="188"/>
      <c r="M37" s="188"/>
      <c r="N37" s="188"/>
      <c r="O37" s="189"/>
      <c r="P37" s="226" t="s">
        <v>91</v>
      </c>
      <c r="Q37" s="189"/>
      <c r="R37" s="62"/>
      <c r="S37" s="62"/>
      <c r="T37" s="194" t="s">
        <v>102</v>
      </c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9"/>
      <c r="AG37" s="191" t="s">
        <v>71</v>
      </c>
      <c r="AH37" s="188"/>
      <c r="AI37" s="188"/>
      <c r="AJ37" s="188"/>
      <c r="AK37" s="189"/>
      <c r="AL37" s="191" t="s">
        <v>84</v>
      </c>
      <c r="AM37" s="188"/>
      <c r="AN37" s="188"/>
      <c r="AO37" s="188"/>
      <c r="AP37" s="188"/>
      <c r="AQ37" s="189"/>
      <c r="AR37" s="62"/>
    </row>
    <row r="38" spans="1:44" ht="16.5" customHeight="1">
      <c r="A38" s="62"/>
      <c r="B38" s="191" t="s">
        <v>103</v>
      </c>
      <c r="C38" s="188"/>
      <c r="D38" s="188"/>
      <c r="E38" s="188"/>
      <c r="F38" s="189"/>
      <c r="G38" s="73">
        <v>2</v>
      </c>
      <c r="H38" s="62"/>
      <c r="I38" s="62"/>
      <c r="J38" s="191" t="s">
        <v>104</v>
      </c>
      <c r="K38" s="188"/>
      <c r="L38" s="188"/>
      <c r="M38" s="188"/>
      <c r="N38" s="188"/>
      <c r="O38" s="189"/>
      <c r="P38" s="200" t="s">
        <v>105</v>
      </c>
      <c r="Q38" s="189"/>
      <c r="R38" s="62"/>
      <c r="S38" s="62"/>
      <c r="T38" s="200" t="s">
        <v>106</v>
      </c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9"/>
      <c r="AG38" s="200">
        <v>0</v>
      </c>
      <c r="AH38" s="188"/>
      <c r="AI38" s="188"/>
      <c r="AJ38" s="188"/>
      <c r="AK38" s="189"/>
      <c r="AL38" s="213">
        <f>AG38/P33</f>
        <v>0</v>
      </c>
      <c r="AM38" s="188"/>
      <c r="AN38" s="188"/>
      <c r="AO38" s="188"/>
      <c r="AP38" s="188"/>
      <c r="AQ38" s="189"/>
      <c r="AR38" s="62"/>
    </row>
    <row r="39" spans="1:44" ht="16.5" customHeight="1">
      <c r="A39" s="62"/>
      <c r="B39" s="191" t="s">
        <v>107</v>
      </c>
      <c r="C39" s="188"/>
      <c r="D39" s="188"/>
      <c r="E39" s="188"/>
      <c r="F39" s="189"/>
      <c r="G39" s="73">
        <v>3</v>
      </c>
      <c r="H39" s="62"/>
      <c r="I39" s="62"/>
      <c r="J39" s="191" t="s">
        <v>108</v>
      </c>
      <c r="K39" s="188"/>
      <c r="L39" s="188"/>
      <c r="M39" s="188"/>
      <c r="N39" s="188"/>
      <c r="O39" s="189"/>
      <c r="P39" s="200" t="s">
        <v>105</v>
      </c>
      <c r="Q39" s="189"/>
      <c r="R39" s="62"/>
      <c r="S39" s="62"/>
      <c r="T39" s="200" t="s">
        <v>109</v>
      </c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9"/>
      <c r="AG39" s="200">
        <v>20</v>
      </c>
      <c r="AH39" s="188"/>
      <c r="AI39" s="188"/>
      <c r="AJ39" s="188"/>
      <c r="AK39" s="189"/>
      <c r="AL39" s="213">
        <f>AG39/P33</f>
        <v>1.0526315789473684</v>
      </c>
      <c r="AM39" s="188"/>
      <c r="AN39" s="188"/>
      <c r="AO39" s="188"/>
      <c r="AP39" s="188"/>
      <c r="AQ39" s="189"/>
      <c r="AR39" s="62"/>
    </row>
    <row r="40" spans="1:44" ht="16.5" customHeight="1">
      <c r="A40" s="62"/>
      <c r="B40" s="64"/>
      <c r="C40" s="64"/>
      <c r="D40" s="64"/>
      <c r="E40" s="64"/>
      <c r="F40" s="64"/>
      <c r="G40" s="64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200" t="s">
        <v>110</v>
      </c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9"/>
      <c r="AG40" s="200">
        <v>12</v>
      </c>
      <c r="AH40" s="188"/>
      <c r="AI40" s="188"/>
      <c r="AJ40" s="188"/>
      <c r="AK40" s="189"/>
      <c r="AL40" s="213">
        <f>AG40/P33</f>
        <v>0.63157894736842102</v>
      </c>
      <c r="AM40" s="188"/>
      <c r="AN40" s="188"/>
      <c r="AO40" s="188"/>
      <c r="AP40" s="188"/>
      <c r="AQ40" s="189"/>
      <c r="AR40" s="62"/>
    </row>
    <row r="41" spans="1:44" ht="16.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200" t="s">
        <v>111</v>
      </c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9"/>
      <c r="AG41" s="200">
        <v>0</v>
      </c>
      <c r="AH41" s="188"/>
      <c r="AI41" s="188"/>
      <c r="AJ41" s="188"/>
      <c r="AK41" s="189"/>
      <c r="AL41" s="213">
        <f>AG41/P33</f>
        <v>0</v>
      </c>
      <c r="AM41" s="188"/>
      <c r="AN41" s="188"/>
      <c r="AO41" s="188"/>
      <c r="AP41" s="188"/>
      <c r="AQ41" s="189"/>
      <c r="AR41" s="62"/>
    </row>
    <row r="42" spans="1:44" ht="16.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200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9"/>
      <c r="AG42" s="200"/>
      <c r="AH42" s="188"/>
      <c r="AI42" s="188"/>
      <c r="AJ42" s="188"/>
      <c r="AK42" s="189"/>
      <c r="AL42" s="213"/>
      <c r="AM42" s="188"/>
      <c r="AN42" s="188"/>
      <c r="AO42" s="188"/>
      <c r="AP42" s="188"/>
      <c r="AQ42" s="189"/>
      <c r="AR42" s="62"/>
    </row>
    <row r="43" spans="1:44" ht="16.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</row>
    <row r="44" spans="1:44" ht="16.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</row>
    <row r="45" spans="1:44" ht="16.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</row>
    <row r="46" spans="1:44" ht="16.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75"/>
      <c r="U46" s="75"/>
      <c r="V46" s="75"/>
      <c r="W46" s="75"/>
      <c r="X46" s="180" t="str">
        <f>GradeSheet!$H$5</f>
        <v>Rubaiya Hafiz</v>
      </c>
      <c r="Y46" s="75"/>
      <c r="Z46" s="75"/>
      <c r="AA46" s="75"/>
      <c r="AB46" s="75"/>
      <c r="AC46" s="75"/>
      <c r="AD46" s="75"/>
      <c r="AE46" s="75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</row>
    <row r="47" spans="1:44" ht="16.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76" t="s">
        <v>112</v>
      </c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</row>
    <row r="48" spans="1:44" ht="16.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</row>
    <row r="49" spans="1:44" ht="16.5" customHeight="1">
      <c r="A49" s="62"/>
      <c r="B49" s="62"/>
      <c r="C49" s="76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</row>
    <row r="50" spans="1:44" ht="16.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</row>
    <row r="51" spans="1:44" ht="16.5" customHeight="1">
      <c r="A51" s="62"/>
      <c r="B51" s="192" t="s">
        <v>0</v>
      </c>
      <c r="C51" s="188"/>
      <c r="D51" s="189"/>
      <c r="E51" s="193" t="str">
        <f>GradeSheet!$H$2</f>
        <v>CSE</v>
      </c>
      <c r="F51" s="188"/>
      <c r="G51" s="188"/>
      <c r="H51" s="188"/>
      <c r="I51" s="188"/>
      <c r="J51" s="188"/>
      <c r="K51" s="188"/>
      <c r="L51" s="188"/>
      <c r="M51" s="188"/>
      <c r="N51" s="189"/>
      <c r="O51" s="192" t="str">
        <f>CONCATENATE("Section ", GradeSheet!$L$2,)</f>
        <v>Section 1</v>
      </c>
      <c r="P51" s="188"/>
      <c r="Q51" s="189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</row>
    <row r="52" spans="1:44" ht="16.5" customHeight="1">
      <c r="A52" s="62"/>
      <c r="B52" s="195" t="s">
        <v>3</v>
      </c>
      <c r="C52" s="188"/>
      <c r="D52" s="189"/>
      <c r="E52" s="196" t="str">
        <f>GradeSheet!$H$3</f>
        <v>Operating Systems</v>
      </c>
      <c r="F52" s="188"/>
      <c r="G52" s="188"/>
      <c r="H52" s="188"/>
      <c r="I52" s="188"/>
      <c r="J52" s="188"/>
      <c r="K52" s="188"/>
      <c r="L52" s="188"/>
      <c r="M52" s="188"/>
      <c r="N52" s="189"/>
      <c r="O52" s="195" t="str">
        <f>CONCATENATE(GradeSheet!$H$76," students")</f>
        <v>0 students</v>
      </c>
      <c r="P52" s="188"/>
      <c r="Q52" s="189"/>
      <c r="R52" s="59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</row>
    <row r="53" spans="1:44" ht="16.5" customHeight="1">
      <c r="A53" s="62"/>
      <c r="B53" s="197" t="s">
        <v>7</v>
      </c>
      <c r="C53" s="188"/>
      <c r="D53" s="189"/>
      <c r="E53" s="198">
        <f>GradeSheet!$H$4</f>
        <v>3</v>
      </c>
      <c r="F53" s="188"/>
      <c r="G53" s="188"/>
      <c r="H53" s="188"/>
      <c r="I53" s="188"/>
      <c r="J53" s="188"/>
      <c r="K53" s="188"/>
      <c r="L53" s="188"/>
      <c r="M53" s="188"/>
      <c r="N53" s="189"/>
      <c r="O53" s="198" t="str">
        <f>GradeSheet!$L$3</f>
        <v>Spring 2025</v>
      </c>
      <c r="P53" s="188"/>
      <c r="Q53" s="189"/>
      <c r="R53" s="59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</row>
    <row r="54" spans="1:44" ht="16.5" customHeight="1">
      <c r="A54" s="62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</row>
    <row r="55" spans="1:44" ht="16.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</row>
    <row r="56" spans="1:44" ht="16.5" customHeight="1">
      <c r="A56" s="62"/>
      <c r="B56" s="62"/>
      <c r="C56" s="62"/>
      <c r="D56" s="62"/>
      <c r="E56" s="62"/>
      <c r="F56" s="62"/>
      <c r="G56" s="62"/>
      <c r="H56" s="62"/>
      <c r="I56" s="62"/>
      <c r="J56" s="77"/>
      <c r="K56" s="77"/>
      <c r="L56" s="77"/>
      <c r="M56" s="77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</row>
    <row r="57" spans="1:44" ht="16.5" customHeight="1">
      <c r="A57" s="62"/>
      <c r="B57" s="62"/>
      <c r="C57" s="62"/>
      <c r="D57" s="62"/>
      <c r="E57" s="219" t="s">
        <v>113</v>
      </c>
      <c r="F57" s="220"/>
      <c r="G57" s="220"/>
      <c r="H57" s="220"/>
      <c r="I57" s="220"/>
      <c r="J57" s="220"/>
      <c r="K57" s="220"/>
      <c r="L57" s="220"/>
      <c r="M57" s="22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</row>
    <row r="58" spans="1:44" ht="16.5" customHeight="1">
      <c r="A58" s="62"/>
      <c r="B58" s="62"/>
      <c r="C58" s="62"/>
      <c r="D58" s="62"/>
      <c r="E58" s="222"/>
      <c r="F58" s="188"/>
      <c r="G58" s="189"/>
      <c r="H58" s="66" t="s">
        <v>114</v>
      </c>
      <c r="I58" s="66" t="s">
        <v>115</v>
      </c>
      <c r="J58" s="66" t="s">
        <v>116</v>
      </c>
      <c r="K58" s="66" t="s">
        <v>117</v>
      </c>
      <c r="L58" s="66" t="s">
        <v>118</v>
      </c>
      <c r="M58" s="66" t="s">
        <v>119</v>
      </c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</row>
    <row r="59" spans="1:44" ht="16.5" customHeight="1">
      <c r="A59" s="62"/>
      <c r="B59" s="62"/>
      <c r="C59" s="62"/>
      <c r="D59" s="62"/>
      <c r="E59" s="223" t="s">
        <v>120</v>
      </c>
      <c r="F59" s="188"/>
      <c r="G59" s="189"/>
      <c r="H59" s="67">
        <f ca="1">CO_PO_AttainmentAnalysis!AN67</f>
        <v>0</v>
      </c>
      <c r="I59" s="67">
        <f ca="1">CO_PO_AttainmentAnalysis!AO67</f>
        <v>0</v>
      </c>
      <c r="J59" s="67">
        <f ca="1">CO_PO_AttainmentAnalysis!AP67</f>
        <v>0</v>
      </c>
      <c r="K59" s="67">
        <f ca="1">CO_PO_AttainmentAnalysis!AQ67</f>
        <v>0</v>
      </c>
      <c r="L59" s="67">
        <f ca="1">CO_PO_AttainmentAnalysis!AR67</f>
        <v>0</v>
      </c>
      <c r="M59" s="67">
        <f ca="1">CO_PO_AttainmentAnalysis!AS67</f>
        <v>0</v>
      </c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</row>
    <row r="60" spans="1:44" ht="16.5" customHeight="1">
      <c r="A60" s="62"/>
      <c r="B60" s="62"/>
      <c r="C60" s="62"/>
      <c r="D60" s="62"/>
      <c r="E60" s="223" t="s">
        <v>121</v>
      </c>
      <c r="F60" s="188"/>
      <c r="G60" s="189"/>
      <c r="H60" s="68">
        <f ca="1">CO_PO_AttainmentAnalysis!AH67</f>
        <v>0.5</v>
      </c>
      <c r="I60" s="68">
        <f ca="1">CO_PO_AttainmentAnalysis!AI67</f>
        <v>0.5</v>
      </c>
      <c r="J60" s="68">
        <f ca="1">CO_PO_AttainmentAnalysis!AJ67</f>
        <v>0.5</v>
      </c>
      <c r="K60" s="68">
        <f ca="1">CO_PO_AttainmentAnalysis!AK67</f>
        <v>0.5</v>
      </c>
      <c r="L60" s="68">
        <f ca="1">CO_PO_AttainmentAnalysis!AL67</f>
        <v>0.5</v>
      </c>
      <c r="M60" s="68">
        <f ca="1">CO_PO_AttainmentAnalysis!AM67</f>
        <v>0.5</v>
      </c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</row>
    <row r="61" spans="1:44" ht="16.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</row>
    <row r="62" spans="1:44" ht="16.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</row>
    <row r="63" spans="1:44" ht="16.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</row>
    <row r="64" spans="1:44" ht="16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</row>
    <row r="65" spans="1:44" ht="16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</row>
    <row r="66" spans="1:44" ht="16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</row>
    <row r="67" spans="1:44" ht="16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</row>
    <row r="68" spans="1:44" ht="16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</row>
    <row r="69" spans="1:44" ht="16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</row>
    <row r="70" spans="1:44" ht="16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</row>
    <row r="71" spans="1:44" ht="16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</row>
    <row r="72" spans="1:44" ht="16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</row>
    <row r="73" spans="1:44" ht="16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</row>
    <row r="74" spans="1:44" ht="16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</row>
    <row r="75" spans="1:44" ht="16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</row>
    <row r="76" spans="1:44" ht="16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</row>
    <row r="77" spans="1:44" ht="16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</row>
    <row r="78" spans="1:44" ht="16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</row>
    <row r="79" spans="1:44" ht="16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</row>
    <row r="80" spans="1:44" ht="16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</row>
    <row r="81" spans="1:44" ht="16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</row>
    <row r="82" spans="1:44" ht="16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</row>
    <row r="83" spans="1:44" ht="16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</row>
    <row r="84" spans="1:44" ht="16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</row>
    <row r="85" spans="1:44" ht="16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</row>
    <row r="86" spans="1:44" ht="16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</row>
    <row r="87" spans="1:44" ht="16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</row>
    <row r="88" spans="1:44" ht="16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</row>
    <row r="89" spans="1:44" ht="16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</row>
    <row r="90" spans="1:44" ht="16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</row>
    <row r="91" spans="1:44" ht="16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</row>
    <row r="92" spans="1:44" ht="16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</row>
    <row r="93" spans="1:44" ht="16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</row>
    <row r="94" spans="1:44" ht="16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</row>
    <row r="95" spans="1:44" ht="16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</row>
    <row r="96" spans="1:44" ht="16.5" customHeight="1">
      <c r="A96" s="62"/>
      <c r="B96" s="62"/>
      <c r="C96" s="76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</row>
    <row r="97" spans="1:44" ht="16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</row>
    <row r="98" spans="1:44" ht="16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</row>
    <row r="99" spans="1:44" ht="16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</row>
    <row r="100" spans="1:44" ht="16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</row>
    <row r="101" spans="1:44" ht="16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</row>
    <row r="102" spans="1:44" ht="16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</row>
    <row r="103" spans="1:44" ht="16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</row>
    <row r="104" spans="1:44" ht="16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</row>
    <row r="105" spans="1:44" ht="16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</row>
    <row r="106" spans="1:44" ht="16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</row>
    <row r="107" spans="1:44" ht="16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</row>
    <row r="108" spans="1:44" ht="16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</row>
    <row r="109" spans="1:44" ht="16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</row>
    <row r="110" spans="1:44" ht="16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</row>
    <row r="111" spans="1:44" ht="16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</row>
    <row r="112" spans="1:44" ht="16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</row>
    <row r="113" spans="1:44" ht="16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</row>
    <row r="114" spans="1:44" ht="16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</row>
    <row r="115" spans="1:44" ht="16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</row>
    <row r="116" spans="1:44" ht="16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</row>
    <row r="117" spans="1:44" ht="16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</row>
    <row r="118" spans="1:44" ht="16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</row>
    <row r="119" spans="1:44" ht="16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</row>
    <row r="120" spans="1:44" ht="16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</row>
    <row r="121" spans="1:44" ht="16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</row>
    <row r="122" spans="1:44" ht="16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</row>
    <row r="123" spans="1:44" ht="16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</row>
    <row r="124" spans="1:44" ht="16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</row>
    <row r="125" spans="1:44" ht="16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</row>
    <row r="126" spans="1:44" ht="16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</row>
    <row r="127" spans="1:44" ht="16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</row>
    <row r="128" spans="1:44" ht="16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</row>
    <row r="129" spans="1:44" ht="16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</row>
    <row r="130" spans="1:44" ht="16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</row>
    <row r="131" spans="1:44" ht="16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</row>
    <row r="132" spans="1:44" ht="16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</row>
    <row r="133" spans="1:44" ht="16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</row>
    <row r="134" spans="1:44" ht="16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</row>
    <row r="135" spans="1:44" ht="16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</row>
    <row r="136" spans="1:44" ht="16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</row>
    <row r="137" spans="1:44" ht="16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</row>
    <row r="138" spans="1:44" ht="16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</row>
    <row r="139" spans="1:44" ht="16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</row>
    <row r="140" spans="1:44" ht="16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</row>
    <row r="141" spans="1:44" ht="16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</row>
    <row r="142" spans="1:44" ht="16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</row>
    <row r="143" spans="1:44" ht="16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</row>
    <row r="144" spans="1:44" ht="16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</row>
    <row r="145" spans="1:44" ht="16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</row>
    <row r="146" spans="1:44" ht="16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</row>
    <row r="147" spans="1:44" ht="16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</row>
    <row r="148" spans="1:44" ht="16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</row>
    <row r="149" spans="1:44" ht="16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</row>
    <row r="150" spans="1:44" ht="16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</row>
    <row r="151" spans="1:44" ht="16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</row>
    <row r="152" spans="1:44" ht="16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</row>
    <row r="153" spans="1:44" ht="16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</row>
    <row r="154" spans="1:44" ht="16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</row>
    <row r="155" spans="1:44" ht="16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</row>
    <row r="156" spans="1:44" ht="16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</row>
    <row r="157" spans="1:44" ht="16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</row>
    <row r="158" spans="1:44" ht="16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</row>
    <row r="159" spans="1:44" ht="16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</row>
    <row r="160" spans="1:44" ht="16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</row>
    <row r="161" spans="1:44" ht="16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</row>
    <row r="162" spans="1:44" ht="16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</row>
    <row r="163" spans="1:44" ht="16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</row>
    <row r="164" spans="1:44" ht="16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</row>
    <row r="165" spans="1:44" ht="16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</row>
    <row r="166" spans="1:44" ht="16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</row>
    <row r="167" spans="1:44" ht="16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</row>
    <row r="168" spans="1:44" ht="16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</row>
    <row r="169" spans="1:44" ht="16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</row>
    <row r="170" spans="1:44" ht="16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</row>
    <row r="171" spans="1:44" ht="16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</row>
    <row r="172" spans="1:44" ht="16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</row>
    <row r="173" spans="1:44" ht="16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</row>
    <row r="174" spans="1:44" ht="16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</row>
    <row r="175" spans="1:44" ht="16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</row>
    <row r="176" spans="1:44" ht="16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</row>
    <row r="177" spans="1:44" ht="16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</row>
    <row r="178" spans="1:44" ht="16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</row>
    <row r="179" spans="1:44" ht="16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</row>
    <row r="180" spans="1:44" ht="16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</row>
    <row r="181" spans="1:44" ht="16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</row>
    <row r="182" spans="1:44" ht="16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</row>
    <row r="183" spans="1:44" ht="16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</row>
    <row r="184" spans="1:44" ht="16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</row>
    <row r="185" spans="1:44" ht="16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</row>
    <row r="186" spans="1:44" ht="16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</row>
    <row r="187" spans="1:44" ht="16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</row>
    <row r="188" spans="1:44" ht="16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</row>
    <row r="189" spans="1:44" ht="16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</row>
    <row r="190" spans="1:44" ht="16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</row>
    <row r="191" spans="1:44" ht="16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</row>
    <row r="192" spans="1:44" ht="16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</row>
    <row r="193" spans="1:44" ht="16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</row>
    <row r="194" spans="1:44" ht="16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</row>
    <row r="195" spans="1:44" ht="16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</row>
    <row r="196" spans="1:44" ht="16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</row>
    <row r="197" spans="1:44" ht="16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</row>
    <row r="198" spans="1:44" ht="16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</row>
    <row r="199" spans="1:44" ht="16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</row>
    <row r="200" spans="1:44" ht="16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</row>
    <row r="201" spans="1:44" ht="16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</row>
    <row r="202" spans="1:44" ht="16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</row>
    <row r="203" spans="1:44" ht="16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</row>
    <row r="204" spans="1:44" ht="16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</row>
    <row r="205" spans="1:44" ht="16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</row>
    <row r="206" spans="1:44" ht="16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</row>
    <row r="207" spans="1:44" ht="16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</row>
    <row r="208" spans="1:44" ht="16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</row>
    <row r="209" spans="1:44" ht="16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</row>
    <row r="210" spans="1:44" ht="16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</row>
    <row r="211" spans="1:44" ht="16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</row>
    <row r="212" spans="1:44" ht="16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</row>
    <row r="213" spans="1:44" ht="16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</row>
    <row r="214" spans="1:44" ht="16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</row>
    <row r="215" spans="1:44" ht="16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</row>
    <row r="216" spans="1:44" ht="16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</row>
    <row r="217" spans="1:44" ht="16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</row>
    <row r="218" spans="1:44" ht="16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</row>
    <row r="219" spans="1:44" ht="16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</row>
    <row r="220" spans="1:44" ht="16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</row>
    <row r="221" spans="1:44" ht="16.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</row>
    <row r="222" spans="1:44" ht="16.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</row>
    <row r="223" spans="1:44" ht="16.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</row>
    <row r="224" spans="1:44" ht="16.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</row>
    <row r="225" spans="1:44" ht="16.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</row>
    <row r="226" spans="1:44" ht="16.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</row>
    <row r="227" spans="1:44" ht="16.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</row>
    <row r="228" spans="1:44" ht="16.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</row>
    <row r="229" spans="1:44" ht="16.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</row>
    <row r="230" spans="1:44" ht="16.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</row>
    <row r="231" spans="1:44" ht="16.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</row>
    <row r="232" spans="1:44" ht="16.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</row>
    <row r="233" spans="1:44" ht="16.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</row>
    <row r="234" spans="1:44" ht="16.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</row>
    <row r="235" spans="1:44" ht="16.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</row>
    <row r="236" spans="1:44" ht="16.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</row>
    <row r="237" spans="1:44" ht="16.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</row>
    <row r="238" spans="1:44" ht="16.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</row>
    <row r="239" spans="1:44" ht="16.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</row>
    <row r="240" spans="1:44" ht="16.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</row>
    <row r="241" spans="1:44" ht="16.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</row>
    <row r="242" spans="1:44" ht="16.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</row>
    <row r="243" spans="1:44" ht="16.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</row>
    <row r="244" spans="1:44" ht="16.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</row>
    <row r="245" spans="1:44" ht="16.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</row>
    <row r="246" spans="1:44" ht="16.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</row>
    <row r="247" spans="1:44" ht="16.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</row>
    <row r="248" spans="1:44" ht="16.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</row>
    <row r="249" spans="1:44" ht="16.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</row>
    <row r="250" spans="1:44" ht="16.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</row>
    <row r="251" spans="1:44" ht="16.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</row>
    <row r="252" spans="1:44" ht="16.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</row>
    <row r="253" spans="1:44" ht="16.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</row>
    <row r="254" spans="1:44" ht="16.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</row>
    <row r="255" spans="1:44" ht="16.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</row>
    <row r="256" spans="1:44" ht="16.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</row>
    <row r="257" spans="1:44" ht="16.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</row>
    <row r="258" spans="1:44" ht="16.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</row>
    <row r="259" spans="1:44" ht="16.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</row>
    <row r="260" spans="1:44" ht="16.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</row>
    <row r="261" spans="1:44" ht="15.75" customHeight="1"/>
    <row r="262" spans="1:44" ht="15.75" customHeight="1"/>
    <row r="263" spans="1:44" ht="15.75" customHeight="1"/>
    <row r="264" spans="1:44" ht="15.75" customHeight="1"/>
    <row r="265" spans="1:44" ht="15.75" customHeight="1"/>
    <row r="266" spans="1:44" ht="15.75" customHeight="1"/>
    <row r="267" spans="1:44" ht="15.75" customHeight="1"/>
    <row r="268" spans="1:44" ht="15.75" customHeight="1"/>
    <row r="269" spans="1:44" ht="15.75" customHeight="1"/>
    <row r="270" spans="1:44" ht="15.75" customHeight="1"/>
    <row r="271" spans="1:44" ht="15.75" customHeight="1"/>
    <row r="272" spans="1:4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AL37:AQ37"/>
    <mergeCell ref="B38:F38"/>
    <mergeCell ref="AL38:AQ38"/>
    <mergeCell ref="J38:O38"/>
    <mergeCell ref="P38:Q38"/>
    <mergeCell ref="B29:F29"/>
    <mergeCell ref="T29:AF29"/>
    <mergeCell ref="B30:F30"/>
    <mergeCell ref="AL30:AQ30"/>
    <mergeCell ref="T30:AF30"/>
    <mergeCell ref="AG30:AK30"/>
    <mergeCell ref="AG29:AK29"/>
    <mergeCell ref="AL29:AQ29"/>
    <mergeCell ref="B39:F39"/>
    <mergeCell ref="J39:O39"/>
    <mergeCell ref="P39:Q39"/>
    <mergeCell ref="AG39:AK39"/>
    <mergeCell ref="AL39:AQ39"/>
    <mergeCell ref="T32:AF32"/>
    <mergeCell ref="T33:AF33"/>
    <mergeCell ref="AG33:AK33"/>
    <mergeCell ref="AL33:AQ33"/>
    <mergeCell ref="T38:AF38"/>
    <mergeCell ref="AG38:AK38"/>
    <mergeCell ref="B37:G37"/>
    <mergeCell ref="J37:O37"/>
    <mergeCell ref="P37:Q37"/>
    <mergeCell ref="T37:AF37"/>
    <mergeCell ref="AG37:AK37"/>
    <mergeCell ref="T31:AF31"/>
    <mergeCell ref="AG31:AK31"/>
    <mergeCell ref="AL31:AQ31"/>
    <mergeCell ref="AG32:AK32"/>
    <mergeCell ref="AL32:AQ32"/>
    <mergeCell ref="N25:O25"/>
    <mergeCell ref="AL25:AQ25"/>
    <mergeCell ref="T25:AF25"/>
    <mergeCell ref="AG25:AK25"/>
    <mergeCell ref="T26:AF26"/>
    <mergeCell ref="AG26:AK26"/>
    <mergeCell ref="AL26:AQ26"/>
    <mergeCell ref="AG27:AK27"/>
    <mergeCell ref="AL27:AQ27"/>
    <mergeCell ref="T27:AF27"/>
    <mergeCell ref="T28:AF28"/>
    <mergeCell ref="AG28:AK28"/>
    <mergeCell ref="AL28:AQ28"/>
    <mergeCell ref="T42:AF42"/>
    <mergeCell ref="AG42:AK42"/>
    <mergeCell ref="AL42:AQ42"/>
    <mergeCell ref="T39:AF39"/>
    <mergeCell ref="T40:AF40"/>
    <mergeCell ref="AG40:AK40"/>
    <mergeCell ref="AL40:AQ40"/>
    <mergeCell ref="T41:AF41"/>
    <mergeCell ref="AG41:AK41"/>
    <mergeCell ref="AL41:AQ41"/>
    <mergeCell ref="E53:N53"/>
    <mergeCell ref="O53:Q53"/>
    <mergeCell ref="E57:M57"/>
    <mergeCell ref="E58:G58"/>
    <mergeCell ref="E59:G59"/>
    <mergeCell ref="E60:G60"/>
    <mergeCell ref="B51:D51"/>
    <mergeCell ref="E51:N51"/>
    <mergeCell ref="O51:Q51"/>
    <mergeCell ref="B52:D52"/>
    <mergeCell ref="E52:N52"/>
    <mergeCell ref="O52:Q52"/>
    <mergeCell ref="B53:D53"/>
    <mergeCell ref="T17:AQ19"/>
    <mergeCell ref="T21:AQ21"/>
    <mergeCell ref="B22:O22"/>
    <mergeCell ref="T22:AF22"/>
    <mergeCell ref="AG22:AK22"/>
    <mergeCell ref="AL22:AQ22"/>
    <mergeCell ref="N23:O23"/>
    <mergeCell ref="AL23:AQ23"/>
    <mergeCell ref="J33:O35"/>
    <mergeCell ref="P33:P35"/>
    <mergeCell ref="Q33:Q35"/>
    <mergeCell ref="J29:O29"/>
    <mergeCell ref="J30:O30"/>
    <mergeCell ref="B31:F31"/>
    <mergeCell ref="J31:O31"/>
    <mergeCell ref="B32:F32"/>
    <mergeCell ref="J32:O32"/>
    <mergeCell ref="B33:F33"/>
    <mergeCell ref="T23:AF23"/>
    <mergeCell ref="AG23:AK23"/>
    <mergeCell ref="N24:O24"/>
    <mergeCell ref="T24:AF24"/>
    <mergeCell ref="AG24:AK24"/>
    <mergeCell ref="AL24:AQ24"/>
    <mergeCell ref="T12:AF12"/>
    <mergeCell ref="AG12:AN12"/>
    <mergeCell ref="T14:AN14"/>
    <mergeCell ref="V15:X15"/>
    <mergeCell ref="Y15:Z15"/>
    <mergeCell ref="AC15:AE15"/>
    <mergeCell ref="AF15:AH15"/>
    <mergeCell ref="AL15:AM15"/>
    <mergeCell ref="T16:AN16"/>
    <mergeCell ref="T7:AF7"/>
    <mergeCell ref="AG7:AN7"/>
    <mergeCell ref="T8:AF8"/>
    <mergeCell ref="AG8:AN8"/>
    <mergeCell ref="AG9:AN9"/>
    <mergeCell ref="T9:AF9"/>
    <mergeCell ref="T10:AF10"/>
    <mergeCell ref="AG10:AN10"/>
    <mergeCell ref="T11:AF11"/>
    <mergeCell ref="AG11:AN11"/>
    <mergeCell ref="B4:D4"/>
    <mergeCell ref="E4:N4"/>
    <mergeCell ref="O4:Q4"/>
    <mergeCell ref="T4:AF4"/>
    <mergeCell ref="AG4:AN4"/>
    <mergeCell ref="T5:AF5"/>
    <mergeCell ref="AG5:AN5"/>
    <mergeCell ref="T6:AF6"/>
    <mergeCell ref="AG6:AN6"/>
    <mergeCell ref="T3:AF3"/>
    <mergeCell ref="AG3:AN3"/>
    <mergeCell ref="B2:D2"/>
    <mergeCell ref="E2:N2"/>
    <mergeCell ref="O2:Q2"/>
    <mergeCell ref="T2:AN2"/>
    <mergeCell ref="B3:D3"/>
    <mergeCell ref="E3:N3"/>
    <mergeCell ref="O3:Q3"/>
  </mergeCells>
  <pageMargins left="0.45" right="0.19302061950427407" top="0.75" bottom="0.75" header="0" footer="0"/>
  <pageSetup paperSize="9" scale="53" orientation="portrait" r:id="rId1"/>
  <headerFooter>
    <oddHeader>&amp;LDepartment of CSE, ULAB&amp;CCourse Summary&amp;RAC18(00) Page &amp;P of</oddHeader>
    <oddFooter>&amp;LGenerated on &amp;D &amp;T&amp;C &amp;RAC18(00) Page &amp;P of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002"/>
  <sheetViews>
    <sheetView zoomScale="25" zoomScaleNormal="25" workbookViewId="0">
      <selection sqref="A1:BR74"/>
    </sheetView>
  </sheetViews>
  <sheetFormatPr defaultColWidth="14.42578125" defaultRowHeight="15" customHeight="1"/>
  <cols>
    <col min="1" max="1" width="9.140625" customWidth="1"/>
    <col min="2" max="2" width="15.7109375" customWidth="1"/>
    <col min="3" max="3" width="37.42578125" customWidth="1"/>
    <col min="4" max="4" width="8.28515625" customWidth="1"/>
    <col min="5" max="8" width="7.42578125" customWidth="1"/>
    <col min="9" max="9" width="8.28515625" customWidth="1"/>
    <col min="10" max="22" width="7.42578125" customWidth="1"/>
    <col min="23" max="23" width="7.7109375" customWidth="1"/>
    <col min="24" max="27" width="7.42578125" customWidth="1"/>
    <col min="28" max="29" width="7.7109375" customWidth="1"/>
    <col min="30" max="33" width="7.42578125" customWidth="1"/>
    <col min="34" max="34" width="10.85546875" customWidth="1"/>
    <col min="35" max="35" width="7.85546875" customWidth="1"/>
    <col min="36" max="39" width="7.42578125" customWidth="1"/>
    <col min="40" max="42" width="9.140625" customWidth="1"/>
    <col min="43" max="45" width="10.42578125" customWidth="1"/>
    <col min="46" max="46" width="8.7109375" customWidth="1"/>
    <col min="47" max="47" width="10.140625" customWidth="1"/>
    <col min="48" max="58" width="9.140625" customWidth="1"/>
    <col min="59" max="59" width="9.7109375" customWidth="1"/>
    <col min="60" max="70" width="9.140625" customWidth="1"/>
  </cols>
  <sheetData>
    <row r="1" spans="1:70">
      <c r="A1" s="78"/>
      <c r="B1" s="78"/>
      <c r="C1" s="233"/>
      <c r="D1" s="184"/>
      <c r="E1" s="184"/>
      <c r="F1" s="184"/>
      <c r="G1" s="184"/>
      <c r="H1" s="184"/>
      <c r="I1" s="184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234" t="s">
        <v>122</v>
      </c>
      <c r="AV1" s="235"/>
      <c r="AW1" s="235"/>
      <c r="AX1" s="235"/>
      <c r="AY1" s="235"/>
      <c r="AZ1" s="235"/>
      <c r="BA1" s="235"/>
      <c r="BB1" s="235"/>
      <c r="BC1" s="235"/>
      <c r="BD1" s="235"/>
      <c r="BE1" s="235"/>
      <c r="BF1" s="235"/>
      <c r="BG1" s="236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</row>
    <row r="2" spans="1:70">
      <c r="A2" s="78"/>
      <c r="B2" s="78"/>
      <c r="C2" s="79" t="s">
        <v>123</v>
      </c>
      <c r="D2" s="80" t="s">
        <v>114</v>
      </c>
      <c r="E2" s="81" t="s">
        <v>115</v>
      </c>
      <c r="F2" s="81" t="s">
        <v>116</v>
      </c>
      <c r="G2" s="82" t="s">
        <v>117</v>
      </c>
      <c r="H2" s="82" t="s">
        <v>118</v>
      </c>
      <c r="I2" s="82" t="s">
        <v>119</v>
      </c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83"/>
      <c r="AT2" s="80" t="s">
        <v>124</v>
      </c>
      <c r="AU2" s="81" t="s">
        <v>125</v>
      </c>
      <c r="AV2" s="81" t="s">
        <v>126</v>
      </c>
      <c r="AW2" s="81" t="s">
        <v>127</v>
      </c>
      <c r="AX2" s="81" t="s">
        <v>128</v>
      </c>
      <c r="AY2" s="81" t="s">
        <v>129</v>
      </c>
      <c r="AZ2" s="81" t="s">
        <v>130</v>
      </c>
      <c r="BA2" s="81" t="s">
        <v>131</v>
      </c>
      <c r="BB2" s="81" t="s">
        <v>132</v>
      </c>
      <c r="BC2" s="81" t="s">
        <v>133</v>
      </c>
      <c r="BD2" s="81" t="s">
        <v>134</v>
      </c>
      <c r="BE2" s="82" t="s">
        <v>135</v>
      </c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84"/>
      <c r="BR2" s="84"/>
    </row>
    <row r="3" spans="1:70" ht="15.75" thickBot="1">
      <c r="A3" s="78"/>
      <c r="B3" s="78"/>
      <c r="C3" s="85" t="s">
        <v>37</v>
      </c>
      <c r="D3" s="86">
        <v>0</v>
      </c>
      <c r="E3" s="86">
        <v>0</v>
      </c>
      <c r="F3" s="86">
        <v>0</v>
      </c>
      <c r="G3" s="86">
        <v>0</v>
      </c>
      <c r="H3" s="86">
        <v>0</v>
      </c>
      <c r="I3" s="86">
        <v>0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87" t="s">
        <v>114</v>
      </c>
      <c r="AT3" s="88">
        <v>0</v>
      </c>
      <c r="AU3" s="88">
        <v>0</v>
      </c>
      <c r="AV3" s="88">
        <v>0</v>
      </c>
      <c r="AW3" s="88">
        <v>0</v>
      </c>
      <c r="AX3" s="88">
        <v>0</v>
      </c>
      <c r="AY3" s="88">
        <v>0</v>
      </c>
      <c r="AZ3" s="88">
        <v>0</v>
      </c>
      <c r="BA3" s="88">
        <v>0</v>
      </c>
      <c r="BB3" s="88">
        <v>0</v>
      </c>
      <c r="BC3" s="88">
        <v>0</v>
      </c>
      <c r="BD3" s="88">
        <v>0</v>
      </c>
      <c r="BE3" s="88">
        <v>0</v>
      </c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84"/>
      <c r="BR3" s="84"/>
    </row>
    <row r="4" spans="1:70" ht="15.75" thickBot="1">
      <c r="A4" s="78"/>
      <c r="B4" s="78"/>
      <c r="C4" s="89" t="s">
        <v>43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90" t="s">
        <v>115</v>
      </c>
      <c r="AT4" s="88">
        <v>0</v>
      </c>
      <c r="AU4" s="88">
        <v>0</v>
      </c>
      <c r="AV4" s="88">
        <v>0</v>
      </c>
      <c r="AW4" s="88">
        <v>0</v>
      </c>
      <c r="AX4" s="88">
        <v>0</v>
      </c>
      <c r="AY4" s="88">
        <v>0</v>
      </c>
      <c r="AZ4" s="88">
        <v>0</v>
      </c>
      <c r="BA4" s="88">
        <v>0</v>
      </c>
      <c r="BB4" s="88">
        <v>0</v>
      </c>
      <c r="BC4" s="88">
        <v>0</v>
      </c>
      <c r="BD4" s="88">
        <v>0</v>
      </c>
      <c r="BE4" s="88">
        <v>0</v>
      </c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84"/>
      <c r="BR4" s="84"/>
    </row>
    <row r="5" spans="1:70" ht="15.75" thickBot="1">
      <c r="A5" s="78"/>
      <c r="B5" s="78"/>
      <c r="C5" s="91" t="s">
        <v>40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90" t="s">
        <v>116</v>
      </c>
      <c r="AT5" s="88">
        <v>0</v>
      </c>
      <c r="AU5" s="88">
        <v>0</v>
      </c>
      <c r="AV5" s="88">
        <v>0</v>
      </c>
      <c r="AW5" s="88">
        <v>0</v>
      </c>
      <c r="AX5" s="88">
        <v>0</v>
      </c>
      <c r="AY5" s="88">
        <v>0</v>
      </c>
      <c r="AZ5" s="88">
        <v>0</v>
      </c>
      <c r="BA5" s="88">
        <v>0</v>
      </c>
      <c r="BB5" s="88">
        <v>0</v>
      </c>
      <c r="BC5" s="88">
        <v>0</v>
      </c>
      <c r="BD5" s="88">
        <v>0</v>
      </c>
      <c r="BE5" s="88">
        <v>0</v>
      </c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84"/>
      <c r="BR5" s="84"/>
    </row>
    <row r="6" spans="1:70" ht="15.75" thickBot="1">
      <c r="A6" s="78"/>
      <c r="B6" s="78"/>
      <c r="C6" s="91" t="s">
        <v>87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90" t="s">
        <v>117</v>
      </c>
      <c r="AT6" s="88">
        <v>0</v>
      </c>
      <c r="AU6" s="88">
        <v>0</v>
      </c>
      <c r="AV6" s="88">
        <v>0</v>
      </c>
      <c r="AW6" s="88">
        <v>0</v>
      </c>
      <c r="AX6" s="88">
        <v>0</v>
      </c>
      <c r="AY6" s="88">
        <v>0</v>
      </c>
      <c r="AZ6" s="88">
        <v>0</v>
      </c>
      <c r="BA6" s="88">
        <v>0</v>
      </c>
      <c r="BB6" s="88">
        <v>0</v>
      </c>
      <c r="BC6" s="88">
        <v>0</v>
      </c>
      <c r="BD6" s="88">
        <v>0</v>
      </c>
      <c r="BE6" s="88">
        <v>0</v>
      </c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84"/>
      <c r="BR6" s="84"/>
    </row>
    <row r="7" spans="1:70" ht="15.75" thickBot="1">
      <c r="A7" s="78"/>
      <c r="B7" s="78"/>
      <c r="C7" s="79" t="s">
        <v>46</v>
      </c>
      <c r="D7" s="80">
        <f t="shared" ref="D7:I7" si="0">SUM(D3:D6)</f>
        <v>0</v>
      </c>
      <c r="E7" s="92">
        <f t="shared" si="0"/>
        <v>0</v>
      </c>
      <c r="F7" s="92">
        <f t="shared" si="0"/>
        <v>0</v>
      </c>
      <c r="G7" s="93">
        <f t="shared" si="0"/>
        <v>0</v>
      </c>
      <c r="H7" s="93">
        <f t="shared" si="0"/>
        <v>0</v>
      </c>
      <c r="I7" s="93">
        <f t="shared" si="0"/>
        <v>0</v>
      </c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94" t="s">
        <v>118</v>
      </c>
      <c r="AT7" s="88">
        <v>0</v>
      </c>
      <c r="AU7" s="88">
        <v>0</v>
      </c>
      <c r="AV7" s="88">
        <v>0</v>
      </c>
      <c r="AW7" s="88">
        <v>0</v>
      </c>
      <c r="AX7" s="88">
        <v>0</v>
      </c>
      <c r="AY7" s="88">
        <v>0</v>
      </c>
      <c r="AZ7" s="88">
        <v>0</v>
      </c>
      <c r="BA7" s="88">
        <v>0</v>
      </c>
      <c r="BB7" s="88">
        <v>0</v>
      </c>
      <c r="BC7" s="88">
        <v>0</v>
      </c>
      <c r="BD7" s="88">
        <v>0</v>
      </c>
      <c r="BE7" s="88">
        <v>0</v>
      </c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84"/>
      <c r="BR7" s="84"/>
    </row>
    <row r="8" spans="1:70">
      <c r="A8" s="78"/>
      <c r="B8" s="78"/>
      <c r="C8" s="84"/>
      <c r="D8" s="84"/>
      <c r="E8" s="84"/>
      <c r="F8" s="84"/>
      <c r="G8" s="84"/>
      <c r="H8" s="84"/>
      <c r="I8" s="84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95" t="s">
        <v>119</v>
      </c>
      <c r="AT8" s="88">
        <v>0</v>
      </c>
      <c r="AU8" s="88">
        <v>0</v>
      </c>
      <c r="AV8" s="88">
        <v>0</v>
      </c>
      <c r="AW8" s="88">
        <v>0</v>
      </c>
      <c r="AX8" s="88">
        <v>0</v>
      </c>
      <c r="AY8" s="88">
        <v>0</v>
      </c>
      <c r="AZ8" s="88">
        <v>0</v>
      </c>
      <c r="BA8" s="88">
        <v>0</v>
      </c>
      <c r="BB8" s="88">
        <v>0</v>
      </c>
      <c r="BC8" s="88">
        <v>0</v>
      </c>
      <c r="BD8" s="88">
        <v>0</v>
      </c>
      <c r="BE8" s="88">
        <v>0</v>
      </c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84"/>
      <c r="BR8" s="84"/>
    </row>
    <row r="9" spans="1:70">
      <c r="A9" s="78"/>
      <c r="B9" s="78"/>
      <c r="C9" s="78"/>
      <c r="D9" s="96"/>
      <c r="E9" s="96"/>
      <c r="F9" s="96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83" t="s">
        <v>46</v>
      </c>
      <c r="AT9" s="80">
        <f t="shared" ref="AT9:BE9" si="1">SUM(AT3:AT8)</f>
        <v>0</v>
      </c>
      <c r="AU9" s="81">
        <f t="shared" si="1"/>
        <v>0</v>
      </c>
      <c r="AV9" s="81">
        <f t="shared" si="1"/>
        <v>0</v>
      </c>
      <c r="AW9" s="81">
        <f t="shared" si="1"/>
        <v>0</v>
      </c>
      <c r="AX9" s="81">
        <f t="shared" si="1"/>
        <v>0</v>
      </c>
      <c r="AY9" s="81">
        <f t="shared" si="1"/>
        <v>0</v>
      </c>
      <c r="AZ9" s="81">
        <f t="shared" si="1"/>
        <v>0</v>
      </c>
      <c r="BA9" s="81">
        <f t="shared" si="1"/>
        <v>0</v>
      </c>
      <c r="BB9" s="81">
        <f t="shared" si="1"/>
        <v>0</v>
      </c>
      <c r="BC9" s="81">
        <f t="shared" si="1"/>
        <v>0</v>
      </c>
      <c r="BD9" s="81">
        <f t="shared" si="1"/>
        <v>0</v>
      </c>
      <c r="BE9" s="82">
        <f t="shared" si="1"/>
        <v>0</v>
      </c>
      <c r="BF9" s="84"/>
      <c r="BG9" s="84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</row>
    <row r="10" spans="1:70">
      <c r="A10" s="78"/>
      <c r="B10" s="78"/>
      <c r="C10" s="78"/>
      <c r="D10" s="96"/>
      <c r="E10" s="96"/>
      <c r="F10" s="96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</row>
    <row r="11" spans="1:70" ht="14.25">
      <c r="A11" s="237" t="str">
        <f>CONCATENATE("Course Outcome (CO) Attainment Analysis of ",GradeSheet!$H$2, " [",GradeSheet!$H$3, "] ", "(Section ",GradeSheet!$L$2, ") ", "[Semester - ",GradeSheet!$L$3,"]" )</f>
        <v>Course Outcome (CO) Attainment Analysis of CSE [Operating Systems] (Section 1) [Semester - Spring 2025]</v>
      </c>
      <c r="B11" s="235"/>
      <c r="C11" s="236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8"/>
      <c r="AB11" s="241" t="s">
        <v>136</v>
      </c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3"/>
      <c r="AT11" s="96"/>
      <c r="AU11" s="244" t="s">
        <v>137</v>
      </c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3"/>
    </row>
    <row r="12" spans="1:70" ht="14.25">
      <c r="A12" s="238"/>
      <c r="B12" s="184"/>
      <c r="C12" s="239"/>
      <c r="D12" s="245" t="str">
        <f>C3</f>
        <v>Midterm Exam</v>
      </c>
      <c r="E12" s="228"/>
      <c r="F12" s="228"/>
      <c r="G12" s="228"/>
      <c r="H12" s="228"/>
      <c r="I12" s="229"/>
      <c r="J12" s="227" t="str">
        <f>C4</f>
        <v>Final Exam</v>
      </c>
      <c r="K12" s="228"/>
      <c r="L12" s="228"/>
      <c r="M12" s="228"/>
      <c r="N12" s="228"/>
      <c r="O12" s="229"/>
      <c r="P12" s="227" t="s">
        <v>40</v>
      </c>
      <c r="Q12" s="228"/>
      <c r="R12" s="228"/>
      <c r="S12" s="228"/>
      <c r="T12" s="228"/>
      <c r="U12" s="229"/>
      <c r="V12" s="227" t="str">
        <f>C6</f>
        <v>Presentation</v>
      </c>
      <c r="W12" s="228"/>
      <c r="X12" s="228"/>
      <c r="Y12" s="228"/>
      <c r="Z12" s="228"/>
      <c r="AA12" s="229"/>
      <c r="AB12" s="246" t="s">
        <v>138</v>
      </c>
      <c r="AC12" s="235"/>
      <c r="AD12" s="235"/>
      <c r="AE12" s="235"/>
      <c r="AF12" s="235"/>
      <c r="AG12" s="236"/>
      <c r="AH12" s="247" t="s">
        <v>139</v>
      </c>
      <c r="AI12" s="242"/>
      <c r="AJ12" s="242"/>
      <c r="AK12" s="242"/>
      <c r="AL12" s="242"/>
      <c r="AM12" s="243"/>
      <c r="AN12" s="247" t="s">
        <v>140</v>
      </c>
      <c r="AO12" s="242"/>
      <c r="AP12" s="242"/>
      <c r="AQ12" s="242"/>
      <c r="AR12" s="242"/>
      <c r="AS12" s="243"/>
      <c r="AT12" s="96"/>
      <c r="AU12" s="234" t="s">
        <v>139</v>
      </c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6"/>
      <c r="BG12" s="234" t="s">
        <v>141</v>
      </c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6"/>
    </row>
    <row r="13" spans="1:70" ht="15.75" thickBot="1">
      <c r="A13" s="240"/>
      <c r="B13" s="228"/>
      <c r="C13" s="229"/>
      <c r="D13" s="99" t="s">
        <v>114</v>
      </c>
      <c r="E13" s="100" t="s">
        <v>115</v>
      </c>
      <c r="F13" s="100" t="s">
        <v>116</v>
      </c>
      <c r="G13" s="101" t="s">
        <v>117</v>
      </c>
      <c r="H13" s="101" t="s">
        <v>118</v>
      </c>
      <c r="I13" s="102" t="s">
        <v>119</v>
      </c>
      <c r="J13" s="103" t="s">
        <v>114</v>
      </c>
      <c r="K13" s="104" t="s">
        <v>115</v>
      </c>
      <c r="L13" s="104" t="s">
        <v>116</v>
      </c>
      <c r="M13" s="105" t="s">
        <v>117</v>
      </c>
      <c r="N13" s="105" t="s">
        <v>118</v>
      </c>
      <c r="O13" s="106" t="s">
        <v>119</v>
      </c>
      <c r="P13" s="107" t="s">
        <v>114</v>
      </c>
      <c r="Q13" s="108" t="s">
        <v>115</v>
      </c>
      <c r="R13" s="108" t="s">
        <v>116</v>
      </c>
      <c r="S13" s="108" t="s">
        <v>117</v>
      </c>
      <c r="T13" s="108" t="s">
        <v>118</v>
      </c>
      <c r="U13" s="109" t="s">
        <v>119</v>
      </c>
      <c r="V13" s="107" t="s">
        <v>114</v>
      </c>
      <c r="W13" s="108" t="s">
        <v>115</v>
      </c>
      <c r="X13" s="108" t="s">
        <v>116</v>
      </c>
      <c r="Y13" s="108" t="s">
        <v>117</v>
      </c>
      <c r="Z13" s="108" t="s">
        <v>118</v>
      </c>
      <c r="AA13" s="109" t="s">
        <v>119</v>
      </c>
      <c r="AB13" s="80" t="s">
        <v>114</v>
      </c>
      <c r="AC13" s="80" t="s">
        <v>115</v>
      </c>
      <c r="AD13" s="80" t="s">
        <v>116</v>
      </c>
      <c r="AE13" s="80" t="s">
        <v>117</v>
      </c>
      <c r="AF13" s="80" t="s">
        <v>118</v>
      </c>
      <c r="AG13" s="80" t="s">
        <v>119</v>
      </c>
      <c r="AH13" s="110" t="s">
        <v>114</v>
      </c>
      <c r="AI13" s="111" t="s">
        <v>115</v>
      </c>
      <c r="AJ13" s="111" t="s">
        <v>116</v>
      </c>
      <c r="AK13" s="112" t="s">
        <v>117</v>
      </c>
      <c r="AL13" s="113" t="s">
        <v>118</v>
      </c>
      <c r="AM13" s="112" t="s">
        <v>119</v>
      </c>
      <c r="AN13" s="110" t="s">
        <v>114</v>
      </c>
      <c r="AO13" s="111" t="s">
        <v>115</v>
      </c>
      <c r="AP13" s="111" t="s">
        <v>116</v>
      </c>
      <c r="AQ13" s="113" t="s">
        <v>117</v>
      </c>
      <c r="AR13" s="113" t="s">
        <v>118</v>
      </c>
      <c r="AS13" s="112" t="s">
        <v>119</v>
      </c>
      <c r="AT13" s="114"/>
      <c r="AU13" s="110" t="s">
        <v>124</v>
      </c>
      <c r="AV13" s="111" t="s">
        <v>125</v>
      </c>
      <c r="AW13" s="111" t="s">
        <v>126</v>
      </c>
      <c r="AX13" s="111" t="s">
        <v>127</v>
      </c>
      <c r="AY13" s="111" t="s">
        <v>128</v>
      </c>
      <c r="AZ13" s="111" t="s">
        <v>129</v>
      </c>
      <c r="BA13" s="111" t="s">
        <v>130</v>
      </c>
      <c r="BB13" s="111" t="s">
        <v>131</v>
      </c>
      <c r="BC13" s="111" t="s">
        <v>132</v>
      </c>
      <c r="BD13" s="111" t="s">
        <v>133</v>
      </c>
      <c r="BE13" s="111" t="s">
        <v>134</v>
      </c>
      <c r="BF13" s="112" t="s">
        <v>135</v>
      </c>
      <c r="BG13" s="80" t="s">
        <v>124</v>
      </c>
      <c r="BH13" s="81" t="s">
        <v>125</v>
      </c>
      <c r="BI13" s="81" t="s">
        <v>126</v>
      </c>
      <c r="BJ13" s="81" t="s">
        <v>127</v>
      </c>
      <c r="BK13" s="81" t="s">
        <v>128</v>
      </c>
      <c r="BL13" s="81" t="s">
        <v>129</v>
      </c>
      <c r="BM13" s="81" t="s">
        <v>130</v>
      </c>
      <c r="BN13" s="81" t="s">
        <v>131</v>
      </c>
      <c r="BO13" s="81" t="s">
        <v>132</v>
      </c>
      <c r="BP13" s="81" t="s">
        <v>133</v>
      </c>
      <c r="BQ13" s="81" t="s">
        <v>134</v>
      </c>
      <c r="BR13" s="82" t="s">
        <v>135</v>
      </c>
    </row>
    <row r="14" spans="1:70" ht="15.75" thickBot="1">
      <c r="A14" s="115" t="s">
        <v>142</v>
      </c>
      <c r="B14" s="116" t="s">
        <v>15</v>
      </c>
      <c r="C14" s="117" t="s">
        <v>16</v>
      </c>
      <c r="D14" s="175">
        <f t="shared" ref="D14:I14" si="2">D3</f>
        <v>0</v>
      </c>
      <c r="E14" s="176">
        <f t="shared" si="2"/>
        <v>0</v>
      </c>
      <c r="F14" s="176">
        <f t="shared" si="2"/>
        <v>0</v>
      </c>
      <c r="G14" s="176">
        <f t="shared" si="2"/>
        <v>0</v>
      </c>
      <c r="H14" s="176">
        <f t="shared" si="2"/>
        <v>0</v>
      </c>
      <c r="I14" s="176">
        <f t="shared" si="2"/>
        <v>0</v>
      </c>
      <c r="J14" s="119">
        <f t="shared" ref="J14:O14" si="3">D4</f>
        <v>0</v>
      </c>
      <c r="K14" s="119">
        <f t="shared" si="3"/>
        <v>0</v>
      </c>
      <c r="L14" s="119">
        <f t="shared" si="3"/>
        <v>0</v>
      </c>
      <c r="M14" s="119">
        <f t="shared" si="3"/>
        <v>0</v>
      </c>
      <c r="N14" s="119">
        <f t="shared" si="3"/>
        <v>0</v>
      </c>
      <c r="O14" s="119">
        <f t="shared" si="3"/>
        <v>0</v>
      </c>
      <c r="P14" s="120">
        <f t="shared" ref="P14:U14" si="4">D5</f>
        <v>0</v>
      </c>
      <c r="Q14" s="120">
        <f t="shared" si="4"/>
        <v>0</v>
      </c>
      <c r="R14" s="120">
        <f t="shared" si="4"/>
        <v>0</v>
      </c>
      <c r="S14" s="120">
        <f t="shared" si="4"/>
        <v>0</v>
      </c>
      <c r="T14" s="120">
        <f t="shared" si="4"/>
        <v>0</v>
      </c>
      <c r="U14" s="120">
        <f t="shared" si="4"/>
        <v>0</v>
      </c>
      <c r="V14" s="120">
        <f t="shared" ref="V14:AA14" si="5">D6</f>
        <v>0</v>
      </c>
      <c r="W14" s="120">
        <f t="shared" si="5"/>
        <v>0</v>
      </c>
      <c r="X14" s="120">
        <f t="shared" si="5"/>
        <v>0</v>
      </c>
      <c r="Y14" s="120">
        <f t="shared" si="5"/>
        <v>0</v>
      </c>
      <c r="Z14" s="120">
        <f t="shared" si="5"/>
        <v>0</v>
      </c>
      <c r="AA14" s="120">
        <f t="shared" si="5"/>
        <v>0</v>
      </c>
      <c r="AB14" s="118">
        <f>SUM(P14,D14,J14)</f>
        <v>0</v>
      </c>
      <c r="AC14" s="119">
        <f t="shared" ref="AC14:AG14" si="6">SUM(K14,E14,Q14)</f>
        <v>0</v>
      </c>
      <c r="AD14" s="119">
        <f t="shared" si="6"/>
        <v>0</v>
      </c>
      <c r="AE14" s="119">
        <f t="shared" si="6"/>
        <v>0</v>
      </c>
      <c r="AF14" s="119">
        <f t="shared" si="6"/>
        <v>0</v>
      </c>
      <c r="AG14" s="119">
        <f t="shared" si="6"/>
        <v>0</v>
      </c>
      <c r="AH14" s="121">
        <v>1</v>
      </c>
      <c r="AI14" s="122">
        <v>1</v>
      </c>
      <c r="AJ14" s="122">
        <v>1</v>
      </c>
      <c r="AK14" s="123">
        <v>1</v>
      </c>
      <c r="AL14" s="124">
        <v>1</v>
      </c>
      <c r="AM14" s="123">
        <v>1</v>
      </c>
      <c r="AN14" s="248" t="s">
        <v>143</v>
      </c>
      <c r="AO14" s="242"/>
      <c r="AP14" s="242"/>
      <c r="AQ14" s="242"/>
      <c r="AR14" s="242"/>
      <c r="AS14" s="243"/>
      <c r="AT14" s="114"/>
      <c r="AU14" s="125">
        <v>1</v>
      </c>
      <c r="AV14" s="126">
        <v>1</v>
      </c>
      <c r="AW14" s="126">
        <v>1</v>
      </c>
      <c r="AX14" s="126">
        <v>1</v>
      </c>
      <c r="AY14" s="126">
        <v>1</v>
      </c>
      <c r="AZ14" s="126">
        <v>1</v>
      </c>
      <c r="BA14" s="126">
        <v>1</v>
      </c>
      <c r="BB14" s="126">
        <v>1</v>
      </c>
      <c r="BC14" s="126">
        <v>1</v>
      </c>
      <c r="BD14" s="126">
        <v>1</v>
      </c>
      <c r="BE14" s="126">
        <v>1</v>
      </c>
      <c r="BF14" s="127">
        <v>1</v>
      </c>
      <c r="BG14" s="230" t="s">
        <v>144</v>
      </c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2"/>
    </row>
    <row r="15" spans="1:70" ht="16.5" thickBot="1">
      <c r="A15" s="128">
        <v>1</v>
      </c>
      <c r="B15" s="178">
        <f>GradeSheet!X10</f>
        <v>0</v>
      </c>
      <c r="C15" s="178">
        <f>GradeSheet!W10</f>
        <v>0</v>
      </c>
      <c r="D15" s="177">
        <v>0</v>
      </c>
      <c r="E15" s="177">
        <v>0</v>
      </c>
      <c r="F15" s="177">
        <v>0</v>
      </c>
      <c r="G15" s="177">
        <v>0</v>
      </c>
      <c r="H15" s="177">
        <v>0</v>
      </c>
      <c r="I15" s="177">
        <v>0</v>
      </c>
      <c r="J15" s="177">
        <v>0</v>
      </c>
      <c r="K15" s="177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  <c r="U15" s="177">
        <v>0</v>
      </c>
      <c r="V15" s="177">
        <v>0</v>
      </c>
      <c r="W15" s="177">
        <v>0</v>
      </c>
      <c r="X15" s="177">
        <v>0</v>
      </c>
      <c r="Y15" s="177">
        <v>0</v>
      </c>
      <c r="Z15" s="177">
        <v>0</v>
      </c>
      <c r="AA15" s="177">
        <v>0</v>
      </c>
      <c r="AB15" s="129">
        <f>SUM(V15,D15,J15, P15)</f>
        <v>0</v>
      </c>
      <c r="AC15" s="130">
        <f>SUM(W15,E15,K15, Q15)</f>
        <v>0</v>
      </c>
      <c r="AD15" s="130">
        <f>SUM(X15,F15,L15, R15)</f>
        <v>0</v>
      </c>
      <c r="AE15" s="130">
        <f>SUM(Y15,G15,M15, S15)</f>
        <v>0</v>
      </c>
      <c r="AF15" s="130">
        <f>SUM(T15,H15,N15, Z15)</f>
        <v>0</v>
      </c>
      <c r="AG15" s="130">
        <f>SUM(AA15,I15,O15, U15)</f>
        <v>0</v>
      </c>
      <c r="AH15" s="131">
        <f t="shared" ref="AH15:AM15" si="7">IF(AB15 = 0, 0, AB15/AB$14)</f>
        <v>0</v>
      </c>
      <c r="AI15" s="131">
        <f t="shared" si="7"/>
        <v>0</v>
      </c>
      <c r="AJ15" s="131">
        <f t="shared" si="7"/>
        <v>0</v>
      </c>
      <c r="AK15" s="131">
        <f t="shared" si="7"/>
        <v>0</v>
      </c>
      <c r="AL15" s="131">
        <f t="shared" si="7"/>
        <v>0</v>
      </c>
      <c r="AM15" s="131">
        <f t="shared" si="7"/>
        <v>0</v>
      </c>
      <c r="AN15" s="132">
        <f>IF(OR(GradeSheet!$M10="W (Withdrawn)", GradeSheet!$M10="I (Incomplete)"), 0, IF(AH15&gt;=55%, 1, 0))</f>
        <v>0</v>
      </c>
      <c r="AO15" s="132">
        <f>IF(OR(GradeSheet!$M10="W (Withdrawn)", GradeSheet!$M10="I (Incomplete)"), 0, IF(AI15&gt;=55%, 1, 0))</f>
        <v>0</v>
      </c>
      <c r="AP15" s="132">
        <f>IF(OR(GradeSheet!$M10="W (Withdrawn)", GradeSheet!$M10="I (Incomplete)"), 0, IF(AJ15&gt;=55%, 1, 0))</f>
        <v>0</v>
      </c>
      <c r="AQ15" s="132">
        <f>IF(OR(GradeSheet!$M10="W (Withdrawn)", GradeSheet!$M10="I (Incomplete)"), 0, IF(AK15&gt;=55%, 1, 0))</f>
        <v>0</v>
      </c>
      <c r="AR15" s="132">
        <f>IF(OR(GradeSheet!$M10="W (Withdrawn)", GradeSheet!$M10="I (Incomplete)"), 0, IF(AL15&gt;=55%, 1, 0))</f>
        <v>0</v>
      </c>
      <c r="AS15" s="132">
        <f>IF(OR(GradeSheet!$M10="W (Withdrawn)", GradeSheet!$M10="I (Incomplete)"), 0, IF(AM15&gt;=55%, 1, 0))</f>
        <v>0</v>
      </c>
      <c r="AT15" s="114"/>
      <c r="AU15" s="133">
        <f t="shared" ref="AU15:AU55" si="8">IF($AT$9=0,0,MMULT($AH15:$AM15, AT$3:AT$8)/$AT$9)</f>
        <v>0</v>
      </c>
      <c r="AV15" s="133">
        <f t="shared" ref="AV15:AV55" si="9">IF($AU$9=0,0,MMULT($AH15:$AM15, AU$3:AU$8)/$AU$9)</f>
        <v>0</v>
      </c>
      <c r="AW15" s="133">
        <f t="array" ref="AW15">IF($AV$9=0,0,MMULT($AH15:$AM15, AV$3:AV$8)/$AV$9)</f>
        <v>0</v>
      </c>
      <c r="AX15" s="133">
        <f t="array" ref="AX15">IF($AW$9=0,0,MMULT($AH15:$AM15, AW$3:AW$8)/$AW$9)</f>
        <v>0</v>
      </c>
      <c r="AY15" s="133">
        <f t="shared" ref="AY15:AY55" si="10">IF($AX$9=0,0,MMULT($AH15:$AM15, AX$3:AX$8)/$AX$9)</f>
        <v>0</v>
      </c>
      <c r="AZ15" s="133">
        <f t="array" ref="AZ15">IF($AY$9=0,0,MMULT($AH15:$AM15, AY$3:AY$8)/$AY$9)</f>
        <v>0</v>
      </c>
      <c r="BA15" s="133">
        <f t="array" ref="BA15">IF($AZ$9=0,0,MMULT($AH15:$AM15, AZ$3:AZ$8)/$AZ$9)</f>
        <v>0</v>
      </c>
      <c r="BB15" s="133">
        <f t="array" ref="BB15">IF($BA$9=0,0,MMULT($AH15:$AM15, BA$3:BA$8)/$BA$9)</f>
        <v>0</v>
      </c>
      <c r="BC15" s="133">
        <f t="array" ref="BC15">IF($BB$9=0,0,MMULT($AH15:$AM15, BB$3:BB$8)/$BB$9)</f>
        <v>0</v>
      </c>
      <c r="BD15" s="133">
        <f t="array" ref="BD15">IF($BC$9=0,0,MMULT($AH15:$AM15, BC$3:BC$8)/$BC$9)</f>
        <v>0</v>
      </c>
      <c r="BE15" s="133">
        <f t="shared" ref="BE15:BE55" si="11">IF($BD$9=0,0,MMULT($AH15:$AM15, BD$3:BD$8)/$BD$9)</f>
        <v>0</v>
      </c>
      <c r="BF15" s="133">
        <f t="shared" ref="BF15:BF55" si="12">IF($BE$9=0,0,MMULT($AH15:$AM15, BE$3:BE$8)/$BE$9)</f>
        <v>0</v>
      </c>
      <c r="BG15" s="132">
        <f>IF(OR(GradeSheet!$M10="W (Withdrawn)", GradeSheet!$M10="I (Incomplete)"), 0, IF(AU15&gt;=65%, 1, 0))</f>
        <v>0</v>
      </c>
      <c r="BH15" s="132">
        <f>IF(OR(GradeSheet!$M10="W (Withdrawn)", GradeSheet!$M10="I (Incomplete)"), 0, IF(AV15&gt;=65%, 1, 0))</f>
        <v>0</v>
      </c>
      <c r="BI15" s="132">
        <f>IF(OR(GradeSheet!$M10="W (Withdrawn)", GradeSheet!$M10="I (Incomplete)"), 0, IF(AW15&gt;=65%, 1, 0))</f>
        <v>0</v>
      </c>
      <c r="BJ15" s="132">
        <f>IF(OR(GradeSheet!$M10="W (Withdrawn)", GradeSheet!$M10="I (Incomplete)"), 0, IF(AX15&gt;=65%, 1, 0))</f>
        <v>0</v>
      </c>
      <c r="BK15" s="132">
        <f>IF(OR(GradeSheet!$M10="W (Withdrawn)", GradeSheet!$M10="I (Incomplete)"), 0, IF(AY15&gt;=65%, 1, 0))</f>
        <v>0</v>
      </c>
      <c r="BL15" s="132">
        <f>IF(OR(GradeSheet!$M10="W (Withdrawn)", GradeSheet!$M10="I (Incomplete)"), 0, IF(AZ15&gt;=65%, 1, 0))</f>
        <v>0</v>
      </c>
      <c r="BM15" s="132">
        <f>IF(OR(GradeSheet!$M10="W (Withdrawn)", GradeSheet!$M10="I (Incomplete)"), 0, IF(BA15&gt;=65%, 1, 0))</f>
        <v>0</v>
      </c>
      <c r="BN15" s="132">
        <f>IF(OR(GradeSheet!$M10="W (Withdrawn)", GradeSheet!$M10="I (Incomplete)"), 0, IF(BB15&gt;=65%, 1, 0))</f>
        <v>0</v>
      </c>
      <c r="BO15" s="132">
        <f>IF(OR(GradeSheet!$M10="W (Withdrawn)", GradeSheet!$M10="I (Incomplete)"), 0, IF(BC15&gt;=65%, 1, 0))</f>
        <v>0</v>
      </c>
      <c r="BP15" s="132">
        <f>IF(OR(GradeSheet!$M10="W (Withdrawn)", GradeSheet!$M10="I (Incomplete)"), 0, IF(BD15&gt;=65%, 1, 0))</f>
        <v>0</v>
      </c>
      <c r="BQ15" s="132">
        <f>IF(OR(GradeSheet!$M10="W (Withdrawn)", GradeSheet!$M10="I (Incomplete)"), 0, IF(BE15&gt;=65%, 1, 0))</f>
        <v>0</v>
      </c>
      <c r="BR15" s="132">
        <f>IF(OR(GradeSheet!$M10="W (Withdrawn)", GradeSheet!$M10="I (Incomplete)"), 0, IF(BF15&gt;=65%, 1, 0))</f>
        <v>0</v>
      </c>
    </row>
    <row r="16" spans="1:70" ht="15.75">
      <c r="A16" s="134">
        <v>2</v>
      </c>
      <c r="B16" s="178">
        <f>GradeSheet!X11</f>
        <v>0</v>
      </c>
      <c r="C16" s="178">
        <f>GradeSheet!W11</f>
        <v>0</v>
      </c>
      <c r="D16" s="177">
        <v>0</v>
      </c>
      <c r="E16" s="177">
        <v>0</v>
      </c>
      <c r="F16" s="177">
        <v>0</v>
      </c>
      <c r="G16" s="177">
        <v>0</v>
      </c>
      <c r="H16" s="177">
        <v>0</v>
      </c>
      <c r="I16" s="177">
        <v>0</v>
      </c>
      <c r="J16" s="177">
        <v>0</v>
      </c>
      <c r="K16" s="177">
        <v>0</v>
      </c>
      <c r="L16" s="177">
        <v>0</v>
      </c>
      <c r="M16" s="177">
        <v>0</v>
      </c>
      <c r="N16" s="177">
        <v>0</v>
      </c>
      <c r="O16" s="177">
        <v>0</v>
      </c>
      <c r="P16" s="177">
        <v>0</v>
      </c>
      <c r="Q16" s="177">
        <v>0</v>
      </c>
      <c r="R16" s="177">
        <v>0</v>
      </c>
      <c r="S16" s="177">
        <v>0</v>
      </c>
      <c r="T16" s="177">
        <v>0</v>
      </c>
      <c r="U16" s="177">
        <v>0</v>
      </c>
      <c r="V16" s="177">
        <v>0</v>
      </c>
      <c r="W16" s="177">
        <v>0</v>
      </c>
      <c r="X16" s="177">
        <v>0</v>
      </c>
      <c r="Y16" s="177">
        <v>0</v>
      </c>
      <c r="Z16" s="177">
        <v>0</v>
      </c>
      <c r="AA16" s="177">
        <v>0</v>
      </c>
      <c r="AB16" s="129">
        <f t="shared" ref="AB16:AB64" si="13">SUM(V16,D16,J16, P16)</f>
        <v>0</v>
      </c>
      <c r="AC16" s="130">
        <f t="shared" ref="AC16:AC64" si="14">SUM(W16,E16,K16, Q16)</f>
        <v>0</v>
      </c>
      <c r="AD16" s="130">
        <f t="shared" ref="AD16:AD64" si="15">SUM(X16,F16,L16, R16)</f>
        <v>0</v>
      </c>
      <c r="AE16" s="130">
        <f t="shared" ref="AE16:AE64" si="16">SUM(Y16,G16,M16, S16)</f>
        <v>0</v>
      </c>
      <c r="AF16" s="130">
        <f t="shared" ref="AF16:AF56" si="17">SUM(T16,H16,N16)</f>
        <v>0</v>
      </c>
      <c r="AG16" s="135">
        <f t="shared" ref="AG16:AG56" si="18">SUM(AA16,I16,O16)</f>
        <v>0</v>
      </c>
      <c r="AH16" s="131">
        <f t="shared" ref="AH16:AM16" si="19">IF(AB16 = 0, 0, AB16/AB$14)</f>
        <v>0</v>
      </c>
      <c r="AI16" s="131">
        <f t="shared" si="19"/>
        <v>0</v>
      </c>
      <c r="AJ16" s="131">
        <f t="shared" si="19"/>
        <v>0</v>
      </c>
      <c r="AK16" s="131">
        <f t="shared" si="19"/>
        <v>0</v>
      </c>
      <c r="AL16" s="131">
        <f t="shared" si="19"/>
        <v>0</v>
      </c>
      <c r="AM16" s="131">
        <f t="shared" si="19"/>
        <v>0</v>
      </c>
      <c r="AN16" s="132">
        <f>IF(OR(GradeSheet!$M11="W (Withdrawn)", GradeSheet!$M11="I (Incomplete)"), 0, IF(AH16&gt;=55%, 1, 0))</f>
        <v>0</v>
      </c>
      <c r="AO16" s="132">
        <f>IF(OR(GradeSheet!$M11="W (Withdrawn)", GradeSheet!$M11="I (Incomplete)"), 0, IF(AI16&gt;=55%, 1, 0))</f>
        <v>0</v>
      </c>
      <c r="AP16" s="132">
        <f>IF(OR(GradeSheet!$M11="W (Withdrawn)", GradeSheet!$M11="I (Incomplete)"), 0, IF(AJ16&gt;=55%, 1, 0))</f>
        <v>0</v>
      </c>
      <c r="AQ16" s="132">
        <f>IF(OR(GradeSheet!$M11="W (Withdrawn)", GradeSheet!$M11="I (Incomplete)"), 0, IF(AK16&gt;=55%, 1, 0))</f>
        <v>0</v>
      </c>
      <c r="AR16" s="132">
        <f>IF(OR(GradeSheet!$M11="W (Withdrawn)", GradeSheet!$M11="I (Incomplete)"), 0, IF(AL16&gt;=55%, 1, 0))</f>
        <v>0</v>
      </c>
      <c r="AS16" s="132">
        <f>IF(OR(GradeSheet!$M11="W (Withdrawn)", GradeSheet!$M11="I (Incomplete)"), 0, IF(AM16&gt;=55%, 1, 0))</f>
        <v>0</v>
      </c>
      <c r="AT16" s="114"/>
      <c r="AU16" s="133">
        <f t="shared" si="8"/>
        <v>0</v>
      </c>
      <c r="AV16" s="133">
        <f t="shared" si="9"/>
        <v>0</v>
      </c>
      <c r="AW16" s="133">
        <f t="array" ref="AW16">IF($AV$9=0,0,MMULT($AH16:$AM16, AV$3:AV$8)/$AV$9)</f>
        <v>0</v>
      </c>
      <c r="AX16" s="133">
        <f t="array" ref="AX16">IF($AW$9=0,0,MMULT($AH16:$AM16, AW$3:AW$8)/$AW$9)</f>
        <v>0</v>
      </c>
      <c r="AY16" s="133">
        <f t="shared" si="10"/>
        <v>0</v>
      </c>
      <c r="AZ16" s="133">
        <f t="array" ref="AZ16">IF($AY$9=0,0,MMULT($AH16:$AM16, AY$3:AY$8)/$AY$9)</f>
        <v>0</v>
      </c>
      <c r="BA16" s="133">
        <f t="array" ref="BA16">IF($AZ$9=0,0,MMULT($AH16:$AM16, AZ$3:AZ$8)/$AZ$9)</f>
        <v>0</v>
      </c>
      <c r="BB16" s="133">
        <f t="array" ref="BB16">IF($BA$9=0,0,MMULT($AH16:$AM16, BA$3:BA$8)/$BA$9)</f>
        <v>0</v>
      </c>
      <c r="BC16" s="133">
        <f t="array" ref="BC16">IF($BB$9=0,0,MMULT($AH16:$AM16, BB$3:BB$8)/$BB$9)</f>
        <v>0</v>
      </c>
      <c r="BD16" s="133">
        <f t="array" ref="BD16">IF($BC$9=0,0,MMULT($AH16:$AM16, BC$3:BC$8)/$BC$9)</f>
        <v>0</v>
      </c>
      <c r="BE16" s="133">
        <f t="shared" si="11"/>
        <v>0</v>
      </c>
      <c r="BF16" s="133">
        <f t="shared" si="12"/>
        <v>0</v>
      </c>
      <c r="BG16" s="132">
        <f>IF(OR(GradeSheet!$M11="W (Withdrawn)", GradeSheet!$M11="I (Incomplete)"), 0, IF(AU16&gt;=65%, 1, 0))</f>
        <v>0</v>
      </c>
      <c r="BH16" s="132">
        <f>IF(OR(GradeSheet!$M11="W (Withdrawn)", GradeSheet!$M11="I (Incomplete)"), 0, IF(AV16&gt;=65%, 1, 0))</f>
        <v>0</v>
      </c>
      <c r="BI16" s="132">
        <f>IF(OR(GradeSheet!$M11="W (Withdrawn)", GradeSheet!$M11="I (Incomplete)"), 0, IF(AW16&gt;=65%, 1, 0))</f>
        <v>0</v>
      </c>
      <c r="BJ16" s="132">
        <f>IF(OR(GradeSheet!$M11="W (Withdrawn)", GradeSheet!$M11="I (Incomplete)"), 0, IF(AX16&gt;=65%, 1, 0))</f>
        <v>0</v>
      </c>
      <c r="BK16" s="132">
        <f>IF(OR(GradeSheet!$M11="W (Withdrawn)", GradeSheet!$M11="I (Incomplete)"), 0, IF(AY16&gt;=65%, 1, 0))</f>
        <v>0</v>
      </c>
      <c r="BL16" s="132">
        <f>IF(OR(GradeSheet!$M11="W (Withdrawn)", GradeSheet!$M11="I (Incomplete)"), 0, IF(AZ16&gt;=65%, 1, 0))</f>
        <v>0</v>
      </c>
      <c r="BM16" s="132">
        <f>IF(OR(GradeSheet!$M11="W (Withdrawn)", GradeSheet!$M11="I (Incomplete)"), 0, IF(BA16&gt;=65%, 1, 0))</f>
        <v>0</v>
      </c>
      <c r="BN16" s="132">
        <f>IF(OR(GradeSheet!$M11="W (Withdrawn)", GradeSheet!$M11="I (Incomplete)"), 0, IF(BB16&gt;=65%, 1, 0))</f>
        <v>0</v>
      </c>
      <c r="BO16" s="132">
        <f>IF(OR(GradeSheet!$M11="W (Withdrawn)", GradeSheet!$M11="I (Incomplete)"), 0, IF(BC16&gt;=65%, 1, 0))</f>
        <v>0</v>
      </c>
      <c r="BP16" s="132">
        <f>IF(OR(GradeSheet!$M11="W (Withdrawn)", GradeSheet!$M11="I (Incomplete)"), 0, IF(BD16&gt;=65%, 1, 0))</f>
        <v>0</v>
      </c>
      <c r="BQ16" s="132">
        <f>IF(OR(GradeSheet!$M11="W (Withdrawn)", GradeSheet!$M11="I (Incomplete)"), 0, IF(BE16&gt;=65%, 1, 0))</f>
        <v>0</v>
      </c>
      <c r="BR16" s="132">
        <f>IF(OR(GradeSheet!$M11="W (Withdrawn)", GradeSheet!$M11="I (Incomplete)"), 0, IF(BF16&gt;=65%, 1, 0))</f>
        <v>0</v>
      </c>
    </row>
    <row r="17" spans="1:70" ht="15.75">
      <c r="A17" s="128">
        <v>3</v>
      </c>
      <c r="B17" s="178">
        <f>GradeSheet!X12</f>
        <v>0</v>
      </c>
      <c r="C17" s="178">
        <f>GradeSheet!W12</f>
        <v>0</v>
      </c>
      <c r="D17" s="177">
        <v>0</v>
      </c>
      <c r="E17" s="177">
        <v>0</v>
      </c>
      <c r="F17" s="177">
        <v>0</v>
      </c>
      <c r="G17" s="177">
        <v>0</v>
      </c>
      <c r="H17" s="177">
        <v>0</v>
      </c>
      <c r="I17" s="177">
        <v>0</v>
      </c>
      <c r="J17" s="177">
        <v>0</v>
      </c>
      <c r="K17" s="177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  <c r="U17" s="177">
        <v>0</v>
      </c>
      <c r="V17" s="177">
        <v>0</v>
      </c>
      <c r="W17" s="177">
        <v>0</v>
      </c>
      <c r="X17" s="177">
        <v>0</v>
      </c>
      <c r="Y17" s="177">
        <v>0</v>
      </c>
      <c r="Z17" s="177">
        <v>0</v>
      </c>
      <c r="AA17" s="177">
        <v>0</v>
      </c>
      <c r="AB17" s="129">
        <f t="shared" si="13"/>
        <v>0</v>
      </c>
      <c r="AC17" s="130">
        <f t="shared" si="14"/>
        <v>0</v>
      </c>
      <c r="AD17" s="130">
        <f t="shared" si="15"/>
        <v>0</v>
      </c>
      <c r="AE17" s="130">
        <f t="shared" si="16"/>
        <v>0</v>
      </c>
      <c r="AF17" s="130">
        <f t="shared" si="17"/>
        <v>0</v>
      </c>
      <c r="AG17" s="135">
        <f t="shared" si="18"/>
        <v>0</v>
      </c>
      <c r="AH17" s="131">
        <f t="shared" ref="AH17:AM17" si="20">IF(AB17 = 0, 0, AB17/AB$14)</f>
        <v>0</v>
      </c>
      <c r="AI17" s="131">
        <f t="shared" si="20"/>
        <v>0</v>
      </c>
      <c r="AJ17" s="131">
        <f t="shared" si="20"/>
        <v>0</v>
      </c>
      <c r="AK17" s="131">
        <f t="shared" si="20"/>
        <v>0</v>
      </c>
      <c r="AL17" s="131">
        <f t="shared" si="20"/>
        <v>0</v>
      </c>
      <c r="AM17" s="131">
        <f t="shared" si="20"/>
        <v>0</v>
      </c>
      <c r="AN17" s="132">
        <f>IF(OR(GradeSheet!$M12="W (Withdrawn)", GradeSheet!$M12="I (Incomplete)"), 0, IF(AH17&gt;=55%, 1, 0))</f>
        <v>0</v>
      </c>
      <c r="AO17" s="132">
        <f>IF(OR(GradeSheet!$M12="W (Withdrawn)", GradeSheet!$M12="I (Incomplete)"), 0, IF(AI17&gt;=55%, 1, 0))</f>
        <v>0</v>
      </c>
      <c r="AP17" s="132">
        <f>IF(OR(GradeSheet!$M12="W (Withdrawn)", GradeSheet!$M12="I (Incomplete)"), 0, IF(AJ17&gt;=55%, 1, 0))</f>
        <v>0</v>
      </c>
      <c r="AQ17" s="132">
        <f>IF(OR(GradeSheet!$M12="W (Withdrawn)", GradeSheet!$M12="I (Incomplete)"), 0, IF(AK17&gt;=55%, 1, 0))</f>
        <v>0</v>
      </c>
      <c r="AR17" s="132">
        <f>IF(OR(GradeSheet!$M12="W (Withdrawn)", GradeSheet!$M12="I (Incomplete)"), 0, IF(AL17&gt;=55%, 1, 0))</f>
        <v>0</v>
      </c>
      <c r="AS17" s="132">
        <f>IF(OR(GradeSheet!$M12="W (Withdrawn)", GradeSheet!$M12="I (Incomplete)"), 0, IF(AM17&gt;=55%, 1, 0))</f>
        <v>0</v>
      </c>
      <c r="AT17" s="114"/>
      <c r="AU17" s="133">
        <f t="shared" si="8"/>
        <v>0</v>
      </c>
      <c r="AV17" s="133">
        <f t="shared" si="9"/>
        <v>0</v>
      </c>
      <c r="AW17" s="133">
        <f t="array" ref="AW17">IF($AV$9=0,0,MMULT($AH17:$AM17, AV$3:AV$8)/$AV$9)</f>
        <v>0</v>
      </c>
      <c r="AX17" s="133">
        <f t="array" ref="AX17">IF($AW$9=0,0,MMULT($AH17:$AM17, AW$3:AW$8)/$AW$9)</f>
        <v>0</v>
      </c>
      <c r="AY17" s="133">
        <f t="shared" si="10"/>
        <v>0</v>
      </c>
      <c r="AZ17" s="133">
        <f t="array" ref="AZ17">IF($AY$9=0,0,MMULT($AH17:$AM17, AY$3:AY$8)/$AY$9)</f>
        <v>0</v>
      </c>
      <c r="BA17" s="133">
        <f t="array" ref="BA17">IF($AZ$9=0,0,MMULT($AH17:$AM17, AZ$3:AZ$8)/$AZ$9)</f>
        <v>0</v>
      </c>
      <c r="BB17" s="133">
        <f t="array" ref="BB17">IF($BA$9=0,0,MMULT($AH17:$AM17, BA$3:BA$8)/$BA$9)</f>
        <v>0</v>
      </c>
      <c r="BC17" s="133">
        <f t="array" ref="BC17">IF($BB$9=0,0,MMULT($AH17:$AM17, BB$3:BB$8)/$BB$9)</f>
        <v>0</v>
      </c>
      <c r="BD17" s="133">
        <f t="array" ref="BD17">IF($BC$9=0,0,MMULT($AH17:$AM17, BC$3:BC$8)/$BC$9)</f>
        <v>0</v>
      </c>
      <c r="BE17" s="133">
        <f t="shared" si="11"/>
        <v>0</v>
      </c>
      <c r="BF17" s="133">
        <f t="shared" si="12"/>
        <v>0</v>
      </c>
      <c r="BG17" s="132">
        <f>IF(OR(GradeSheet!$M12="W (Withdrawn)", GradeSheet!$M12="I (Incomplete)"), 0, IF(AU17&gt;=65%, 1, 0))</f>
        <v>0</v>
      </c>
      <c r="BH17" s="132">
        <f>IF(OR(GradeSheet!$M12="W (Withdrawn)", GradeSheet!$M12="I (Incomplete)"), 0, IF(AV17&gt;=65%, 1, 0))</f>
        <v>0</v>
      </c>
      <c r="BI17" s="132">
        <f>IF(OR(GradeSheet!$M12="W (Withdrawn)", GradeSheet!$M12="I (Incomplete)"), 0, IF(AW17&gt;=65%, 1, 0))</f>
        <v>0</v>
      </c>
      <c r="BJ17" s="132">
        <f>IF(OR(GradeSheet!$M12="W (Withdrawn)", GradeSheet!$M12="I (Incomplete)"), 0, IF(AX17&gt;=65%, 1, 0))</f>
        <v>0</v>
      </c>
      <c r="BK17" s="132">
        <f>IF(OR(GradeSheet!$M12="W (Withdrawn)", GradeSheet!$M12="I (Incomplete)"), 0, IF(AY17&gt;=65%, 1, 0))</f>
        <v>0</v>
      </c>
      <c r="BL17" s="132">
        <f>IF(OR(GradeSheet!$M12="W (Withdrawn)", GradeSheet!$M12="I (Incomplete)"), 0, IF(AZ17&gt;=65%, 1, 0))</f>
        <v>0</v>
      </c>
      <c r="BM17" s="132">
        <f>IF(OR(GradeSheet!$M12="W (Withdrawn)", GradeSheet!$M12="I (Incomplete)"), 0, IF(BA17&gt;=65%, 1, 0))</f>
        <v>0</v>
      </c>
      <c r="BN17" s="132">
        <f>IF(OR(GradeSheet!$M12="W (Withdrawn)", GradeSheet!$M12="I (Incomplete)"), 0, IF(BB17&gt;=65%, 1, 0))</f>
        <v>0</v>
      </c>
      <c r="BO17" s="132">
        <f>IF(OR(GradeSheet!$M12="W (Withdrawn)", GradeSheet!$M12="I (Incomplete)"), 0, IF(BC17&gt;=65%, 1, 0))</f>
        <v>0</v>
      </c>
      <c r="BP17" s="132">
        <f>IF(OR(GradeSheet!$M12="W (Withdrawn)", GradeSheet!$M12="I (Incomplete)"), 0, IF(BD17&gt;=65%, 1, 0))</f>
        <v>0</v>
      </c>
      <c r="BQ17" s="132">
        <f>IF(OR(GradeSheet!$M12="W (Withdrawn)", GradeSheet!$M12="I (Incomplete)"), 0, IF(BE17&gt;=65%, 1, 0))</f>
        <v>0</v>
      </c>
      <c r="BR17" s="132">
        <f>IF(OR(GradeSheet!$M12="W (Withdrawn)", GradeSheet!$M12="I (Incomplete)"), 0, IF(BF17&gt;=65%, 1, 0))</f>
        <v>0</v>
      </c>
    </row>
    <row r="18" spans="1:70" ht="15.75">
      <c r="A18" s="134">
        <v>4</v>
      </c>
      <c r="B18" s="178">
        <f>GradeSheet!X13</f>
        <v>0</v>
      </c>
      <c r="C18" s="178">
        <f>GradeSheet!W13</f>
        <v>0</v>
      </c>
      <c r="D18" s="177">
        <v>0</v>
      </c>
      <c r="E18" s="177">
        <v>0</v>
      </c>
      <c r="F18" s="177">
        <v>0</v>
      </c>
      <c r="G18" s="177">
        <v>0</v>
      </c>
      <c r="H18" s="177">
        <v>0</v>
      </c>
      <c r="I18" s="177">
        <v>0</v>
      </c>
      <c r="J18" s="177">
        <v>0</v>
      </c>
      <c r="K18" s="177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  <c r="U18" s="177">
        <v>0</v>
      </c>
      <c r="V18" s="177">
        <v>0</v>
      </c>
      <c r="W18" s="177">
        <v>0</v>
      </c>
      <c r="X18" s="177">
        <v>0</v>
      </c>
      <c r="Y18" s="177">
        <v>0</v>
      </c>
      <c r="Z18" s="177">
        <v>0</v>
      </c>
      <c r="AA18" s="177">
        <v>0</v>
      </c>
      <c r="AB18" s="129">
        <f t="shared" si="13"/>
        <v>0</v>
      </c>
      <c r="AC18" s="130">
        <f t="shared" si="14"/>
        <v>0</v>
      </c>
      <c r="AD18" s="130">
        <f t="shared" si="15"/>
        <v>0</v>
      </c>
      <c r="AE18" s="130">
        <f t="shared" si="16"/>
        <v>0</v>
      </c>
      <c r="AF18" s="130">
        <f t="shared" si="17"/>
        <v>0</v>
      </c>
      <c r="AG18" s="135">
        <f t="shared" si="18"/>
        <v>0</v>
      </c>
      <c r="AH18" s="131">
        <f t="shared" ref="AH18:AM18" si="21">IF(AB18 = 0, 0, AB18/AB$14)</f>
        <v>0</v>
      </c>
      <c r="AI18" s="131">
        <f t="shared" si="21"/>
        <v>0</v>
      </c>
      <c r="AJ18" s="131">
        <f t="shared" si="21"/>
        <v>0</v>
      </c>
      <c r="AK18" s="131">
        <f t="shared" si="21"/>
        <v>0</v>
      </c>
      <c r="AL18" s="131">
        <f t="shared" si="21"/>
        <v>0</v>
      </c>
      <c r="AM18" s="131">
        <f t="shared" si="21"/>
        <v>0</v>
      </c>
      <c r="AN18" s="132">
        <f>IF(OR(GradeSheet!$M13="W (Withdrawn)", GradeSheet!$M13="I (Incomplete)"), 0, IF(AH18&gt;=55%, 1, 0))</f>
        <v>0</v>
      </c>
      <c r="AO18" s="132">
        <f>IF(OR(GradeSheet!$M13="W (Withdrawn)", GradeSheet!$M13="I (Incomplete)"), 0, IF(AI18&gt;=55%, 1, 0))</f>
        <v>0</v>
      </c>
      <c r="AP18" s="132">
        <f>IF(OR(GradeSheet!$M13="W (Withdrawn)", GradeSheet!$M13="I (Incomplete)"), 0, IF(AJ18&gt;=55%, 1, 0))</f>
        <v>0</v>
      </c>
      <c r="AQ18" s="132">
        <f>IF(OR(GradeSheet!$M13="W (Withdrawn)", GradeSheet!$M13="I (Incomplete)"), 0, IF(AK18&gt;=55%, 1, 0))</f>
        <v>0</v>
      </c>
      <c r="AR18" s="132">
        <f>IF(OR(GradeSheet!$M13="W (Withdrawn)", GradeSheet!$M13="I (Incomplete)"), 0, IF(AL18&gt;=55%, 1, 0))</f>
        <v>0</v>
      </c>
      <c r="AS18" s="132">
        <f>IF(OR(GradeSheet!$M13="W (Withdrawn)", GradeSheet!$M13="I (Incomplete)"), 0, IF(AM18&gt;=55%, 1, 0))</f>
        <v>0</v>
      </c>
      <c r="AT18" s="114"/>
      <c r="AU18" s="133">
        <f t="shared" si="8"/>
        <v>0</v>
      </c>
      <c r="AV18" s="133">
        <f t="shared" si="9"/>
        <v>0</v>
      </c>
      <c r="AW18" s="133">
        <f t="array" ref="AW18">IF($AV$9=0,0,MMULT($AH18:$AM18, AV$3:AV$8)/$AV$9)</f>
        <v>0</v>
      </c>
      <c r="AX18" s="133">
        <f t="array" ref="AX18">IF($AW$9=0,0,MMULT($AH18:$AM18, AW$3:AW$8)/$AW$9)</f>
        <v>0</v>
      </c>
      <c r="AY18" s="133">
        <f t="shared" si="10"/>
        <v>0</v>
      </c>
      <c r="AZ18" s="133">
        <f t="array" ref="AZ18">IF($AY$9=0,0,MMULT($AH18:$AM18, AY$3:AY$8)/$AY$9)</f>
        <v>0</v>
      </c>
      <c r="BA18" s="133">
        <f t="array" ref="BA18">IF($AZ$9=0,0,MMULT($AH18:$AM18, AZ$3:AZ$8)/$AZ$9)</f>
        <v>0</v>
      </c>
      <c r="BB18" s="133">
        <f t="array" ref="BB18">IF($BA$9=0,0,MMULT($AH18:$AM18, BA$3:BA$8)/$BA$9)</f>
        <v>0</v>
      </c>
      <c r="BC18" s="133">
        <f t="array" ref="BC18">IF($BB$9=0,0,MMULT($AH18:$AM18, BB$3:BB$8)/$BB$9)</f>
        <v>0</v>
      </c>
      <c r="BD18" s="133">
        <f t="array" ref="BD18">IF($BC$9=0,0,MMULT($AH18:$AM18, BC$3:BC$8)/$BC$9)</f>
        <v>0</v>
      </c>
      <c r="BE18" s="133">
        <f t="shared" si="11"/>
        <v>0</v>
      </c>
      <c r="BF18" s="133">
        <f t="shared" si="12"/>
        <v>0</v>
      </c>
      <c r="BG18" s="132">
        <f>IF(OR(GradeSheet!$M13="W (Withdrawn)", GradeSheet!$M13="I (Incomplete)"), 0, IF(AU18&gt;=65%, 1, 0))</f>
        <v>0</v>
      </c>
      <c r="BH18" s="132">
        <f>IF(OR(GradeSheet!$M13="W (Withdrawn)", GradeSheet!$M13="I (Incomplete)"), 0, IF(AV18&gt;=65%, 1, 0))</f>
        <v>0</v>
      </c>
      <c r="BI18" s="132">
        <f>IF(OR(GradeSheet!$M13="W (Withdrawn)", GradeSheet!$M13="I (Incomplete)"), 0, IF(AW18&gt;=65%, 1, 0))</f>
        <v>0</v>
      </c>
      <c r="BJ18" s="132">
        <f>IF(OR(GradeSheet!$M13="W (Withdrawn)", GradeSheet!$M13="I (Incomplete)"), 0, IF(AX18&gt;=65%, 1, 0))</f>
        <v>0</v>
      </c>
      <c r="BK18" s="132">
        <f>IF(OR(GradeSheet!$M13="W (Withdrawn)", GradeSheet!$M13="I (Incomplete)"), 0, IF(AY18&gt;=65%, 1, 0))</f>
        <v>0</v>
      </c>
      <c r="BL18" s="132">
        <f>IF(OR(GradeSheet!$M13="W (Withdrawn)", GradeSheet!$M13="I (Incomplete)"), 0, IF(AZ18&gt;=65%, 1, 0))</f>
        <v>0</v>
      </c>
      <c r="BM18" s="132">
        <f>IF(OR(GradeSheet!$M13="W (Withdrawn)", GradeSheet!$M13="I (Incomplete)"), 0, IF(BA18&gt;=65%, 1, 0))</f>
        <v>0</v>
      </c>
      <c r="BN18" s="132">
        <f>IF(OR(GradeSheet!$M13="W (Withdrawn)", GradeSheet!$M13="I (Incomplete)"), 0, IF(BB18&gt;=65%, 1, 0))</f>
        <v>0</v>
      </c>
      <c r="BO18" s="132">
        <f>IF(OR(GradeSheet!$M13="W (Withdrawn)", GradeSheet!$M13="I (Incomplete)"), 0, IF(BC18&gt;=65%, 1, 0))</f>
        <v>0</v>
      </c>
      <c r="BP18" s="132">
        <f>IF(OR(GradeSheet!$M13="W (Withdrawn)", GradeSheet!$M13="I (Incomplete)"), 0, IF(BD18&gt;=65%, 1, 0))</f>
        <v>0</v>
      </c>
      <c r="BQ18" s="132">
        <f>IF(OR(GradeSheet!$M13="W (Withdrawn)", GradeSheet!$M13="I (Incomplete)"), 0, IF(BE18&gt;=65%, 1, 0))</f>
        <v>0</v>
      </c>
      <c r="BR18" s="132">
        <f>IF(OR(GradeSheet!$M13="W (Withdrawn)", GradeSheet!$M13="I (Incomplete)"), 0, IF(BF18&gt;=65%, 1, 0))</f>
        <v>0</v>
      </c>
    </row>
    <row r="19" spans="1:70" ht="15.75">
      <c r="A19" s="128">
        <v>5</v>
      </c>
      <c r="B19" s="178">
        <f>GradeSheet!X14</f>
        <v>0</v>
      </c>
      <c r="C19" s="178">
        <f>GradeSheet!W14</f>
        <v>0</v>
      </c>
      <c r="D19" s="177">
        <v>0</v>
      </c>
      <c r="E19" s="177">
        <v>0</v>
      </c>
      <c r="F19" s="177">
        <v>0</v>
      </c>
      <c r="G19" s="177">
        <v>0</v>
      </c>
      <c r="H19" s="177">
        <v>0</v>
      </c>
      <c r="I19" s="177">
        <v>0</v>
      </c>
      <c r="J19" s="177">
        <v>0</v>
      </c>
      <c r="K19" s="177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  <c r="U19" s="177">
        <v>0</v>
      </c>
      <c r="V19" s="177">
        <v>0</v>
      </c>
      <c r="W19" s="177">
        <v>0</v>
      </c>
      <c r="X19" s="177">
        <v>0</v>
      </c>
      <c r="Y19" s="177">
        <v>0</v>
      </c>
      <c r="Z19" s="177">
        <v>0</v>
      </c>
      <c r="AA19" s="177">
        <v>0</v>
      </c>
      <c r="AB19" s="129">
        <f t="shared" si="13"/>
        <v>0</v>
      </c>
      <c r="AC19" s="130">
        <f t="shared" si="14"/>
        <v>0</v>
      </c>
      <c r="AD19" s="130">
        <f t="shared" si="15"/>
        <v>0</v>
      </c>
      <c r="AE19" s="130">
        <f t="shared" si="16"/>
        <v>0</v>
      </c>
      <c r="AF19" s="130">
        <f t="shared" si="17"/>
        <v>0</v>
      </c>
      <c r="AG19" s="135">
        <f t="shared" si="18"/>
        <v>0</v>
      </c>
      <c r="AH19" s="131">
        <f t="shared" ref="AH19:AM19" si="22">IF(AB19 = 0, 0, AB19/AB$14)</f>
        <v>0</v>
      </c>
      <c r="AI19" s="131">
        <f t="shared" si="22"/>
        <v>0</v>
      </c>
      <c r="AJ19" s="131">
        <f t="shared" si="22"/>
        <v>0</v>
      </c>
      <c r="AK19" s="131">
        <f t="shared" si="22"/>
        <v>0</v>
      </c>
      <c r="AL19" s="131">
        <f t="shared" si="22"/>
        <v>0</v>
      </c>
      <c r="AM19" s="131">
        <f t="shared" si="22"/>
        <v>0</v>
      </c>
      <c r="AN19" s="132">
        <f>IF(OR(GradeSheet!$M14="W (Withdrawn)", GradeSheet!$M14="I (Incomplete)"), 0, IF(AH19&gt;=55%, 1, 0))</f>
        <v>0</v>
      </c>
      <c r="AO19" s="132">
        <f>IF(OR(GradeSheet!$M14="W (Withdrawn)", GradeSheet!$M14="I (Incomplete)"), 0, IF(AI19&gt;=55%, 1, 0))</f>
        <v>0</v>
      </c>
      <c r="AP19" s="132">
        <f>IF(OR(GradeSheet!$M14="W (Withdrawn)", GradeSheet!$M14="I (Incomplete)"), 0, IF(AJ19&gt;=55%, 1, 0))</f>
        <v>0</v>
      </c>
      <c r="AQ19" s="132">
        <f>IF(OR(GradeSheet!$M14="W (Withdrawn)", GradeSheet!$M14="I (Incomplete)"), 0, IF(AK19&gt;=55%, 1, 0))</f>
        <v>0</v>
      </c>
      <c r="AR19" s="132">
        <f>IF(OR(GradeSheet!$M14="W (Withdrawn)", GradeSheet!$M14="I (Incomplete)"), 0, IF(AL19&gt;=55%, 1, 0))</f>
        <v>0</v>
      </c>
      <c r="AS19" s="132">
        <f>IF(OR(GradeSheet!$M14="W (Withdrawn)", GradeSheet!$M14="I (Incomplete)"), 0, IF(AM19&gt;=55%, 1, 0))</f>
        <v>0</v>
      </c>
      <c r="AT19" s="114"/>
      <c r="AU19" s="133">
        <f t="shared" si="8"/>
        <v>0</v>
      </c>
      <c r="AV19" s="133">
        <f t="shared" si="9"/>
        <v>0</v>
      </c>
      <c r="AW19" s="133">
        <f t="array" ref="AW19">IF($AV$9=0,0,MMULT($AH19:$AM19, AV$3:AV$8)/$AV$9)</f>
        <v>0</v>
      </c>
      <c r="AX19" s="133">
        <f t="array" ref="AX19">IF($AW$9=0,0,MMULT($AH19:$AM19, AW$3:AW$8)/$AW$9)</f>
        <v>0</v>
      </c>
      <c r="AY19" s="133">
        <f t="shared" si="10"/>
        <v>0</v>
      </c>
      <c r="AZ19" s="133">
        <f t="array" ref="AZ19">IF($AY$9=0,0,MMULT($AH19:$AM19, AY$3:AY$8)/$AY$9)</f>
        <v>0</v>
      </c>
      <c r="BA19" s="133">
        <f t="array" ref="BA19">IF($AZ$9=0,0,MMULT($AH19:$AM19, AZ$3:AZ$8)/$AZ$9)</f>
        <v>0</v>
      </c>
      <c r="BB19" s="133">
        <f t="array" ref="BB19">IF($BA$9=0,0,MMULT($AH19:$AM19, BA$3:BA$8)/$BA$9)</f>
        <v>0</v>
      </c>
      <c r="BC19" s="133">
        <f t="array" ref="BC19">IF($BB$9=0,0,MMULT($AH19:$AM19, BB$3:BB$8)/$BB$9)</f>
        <v>0</v>
      </c>
      <c r="BD19" s="133">
        <f t="array" ref="BD19">IF($BC$9=0,0,MMULT($AH19:$AM19, BC$3:BC$8)/$BC$9)</f>
        <v>0</v>
      </c>
      <c r="BE19" s="133">
        <f t="shared" si="11"/>
        <v>0</v>
      </c>
      <c r="BF19" s="133">
        <f t="shared" si="12"/>
        <v>0</v>
      </c>
      <c r="BG19" s="132">
        <f>IF(OR(GradeSheet!$M14="W (Withdrawn)", GradeSheet!$M14="I (Incomplete)"), 0, IF(AU19&gt;=65%, 1, 0))</f>
        <v>0</v>
      </c>
      <c r="BH19" s="132">
        <f>IF(OR(GradeSheet!$M14="W (Withdrawn)", GradeSheet!$M14="I (Incomplete)"), 0, IF(AV19&gt;=65%, 1, 0))</f>
        <v>0</v>
      </c>
      <c r="BI19" s="132">
        <f>IF(OR(GradeSheet!$M14="W (Withdrawn)", GradeSheet!$M14="I (Incomplete)"), 0, IF(AW19&gt;=65%, 1, 0))</f>
        <v>0</v>
      </c>
      <c r="BJ19" s="132">
        <f>IF(OR(GradeSheet!$M14="W (Withdrawn)", GradeSheet!$M14="I (Incomplete)"), 0, IF(AX19&gt;=65%, 1, 0))</f>
        <v>0</v>
      </c>
      <c r="BK19" s="132">
        <f>IF(OR(GradeSheet!$M14="W (Withdrawn)", GradeSheet!$M14="I (Incomplete)"), 0, IF(AY19&gt;=65%, 1, 0))</f>
        <v>0</v>
      </c>
      <c r="BL19" s="132">
        <f>IF(OR(GradeSheet!$M14="W (Withdrawn)", GradeSheet!$M14="I (Incomplete)"), 0, IF(AZ19&gt;=65%, 1, 0))</f>
        <v>0</v>
      </c>
      <c r="BM19" s="132">
        <f>IF(OR(GradeSheet!$M14="W (Withdrawn)", GradeSheet!$M14="I (Incomplete)"), 0, IF(BA19&gt;=65%, 1, 0))</f>
        <v>0</v>
      </c>
      <c r="BN19" s="132">
        <f>IF(OR(GradeSheet!$M14="W (Withdrawn)", GradeSheet!$M14="I (Incomplete)"), 0, IF(BB19&gt;=65%, 1, 0))</f>
        <v>0</v>
      </c>
      <c r="BO19" s="132">
        <f>IF(OR(GradeSheet!$M14="W (Withdrawn)", GradeSheet!$M14="I (Incomplete)"), 0, IF(BC19&gt;=65%, 1, 0))</f>
        <v>0</v>
      </c>
      <c r="BP19" s="132">
        <f>IF(OR(GradeSheet!$M14="W (Withdrawn)", GradeSheet!$M14="I (Incomplete)"), 0, IF(BD19&gt;=65%, 1, 0))</f>
        <v>0</v>
      </c>
      <c r="BQ19" s="132">
        <f>IF(OR(GradeSheet!$M14="W (Withdrawn)", GradeSheet!$M14="I (Incomplete)"), 0, IF(BE19&gt;=65%, 1, 0))</f>
        <v>0</v>
      </c>
      <c r="BR19" s="132">
        <f>IF(OR(GradeSheet!$M14="W (Withdrawn)", GradeSheet!$M14="I (Incomplete)"), 0, IF(BF19&gt;=65%, 1, 0))</f>
        <v>0</v>
      </c>
    </row>
    <row r="20" spans="1:70" ht="15.75">
      <c r="A20" s="134">
        <v>6</v>
      </c>
      <c r="B20" s="178">
        <f>GradeSheet!X15</f>
        <v>0</v>
      </c>
      <c r="C20" s="178">
        <f>GradeSheet!W15</f>
        <v>0</v>
      </c>
      <c r="D20" s="177">
        <v>0</v>
      </c>
      <c r="E20" s="177">
        <v>0</v>
      </c>
      <c r="F20" s="177">
        <v>0</v>
      </c>
      <c r="G20" s="177">
        <v>0</v>
      </c>
      <c r="H20" s="177">
        <v>0</v>
      </c>
      <c r="I20" s="177">
        <v>0</v>
      </c>
      <c r="J20" s="177">
        <v>0</v>
      </c>
      <c r="K20" s="177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  <c r="U20" s="177">
        <v>0</v>
      </c>
      <c r="V20" s="177">
        <v>0</v>
      </c>
      <c r="W20" s="177">
        <v>0</v>
      </c>
      <c r="X20" s="177">
        <v>0</v>
      </c>
      <c r="Y20" s="177">
        <v>0</v>
      </c>
      <c r="Z20" s="177">
        <v>0</v>
      </c>
      <c r="AA20" s="177">
        <v>0</v>
      </c>
      <c r="AB20" s="129">
        <f t="shared" si="13"/>
        <v>0</v>
      </c>
      <c r="AC20" s="130">
        <f t="shared" si="14"/>
        <v>0</v>
      </c>
      <c r="AD20" s="130">
        <f t="shared" si="15"/>
        <v>0</v>
      </c>
      <c r="AE20" s="130">
        <f t="shared" si="16"/>
        <v>0</v>
      </c>
      <c r="AF20" s="130">
        <f t="shared" si="17"/>
        <v>0</v>
      </c>
      <c r="AG20" s="135">
        <f t="shared" si="18"/>
        <v>0</v>
      </c>
      <c r="AH20" s="131">
        <f t="shared" ref="AH20:AM20" si="23">IF(AB20 = 0, 0, AB20/AB$14)</f>
        <v>0</v>
      </c>
      <c r="AI20" s="131">
        <f t="shared" si="23"/>
        <v>0</v>
      </c>
      <c r="AJ20" s="131">
        <f t="shared" si="23"/>
        <v>0</v>
      </c>
      <c r="AK20" s="131">
        <f t="shared" si="23"/>
        <v>0</v>
      </c>
      <c r="AL20" s="131">
        <f t="shared" si="23"/>
        <v>0</v>
      </c>
      <c r="AM20" s="131">
        <f t="shared" si="23"/>
        <v>0</v>
      </c>
      <c r="AN20" s="132">
        <f>IF(OR(GradeSheet!$M15="W (Withdrawn)", GradeSheet!$M15="I (Incomplete)"), 0, IF(AH20&gt;=55%, 1, 0))</f>
        <v>0</v>
      </c>
      <c r="AO20" s="132">
        <f>IF(OR(GradeSheet!$M15="W (Withdrawn)", GradeSheet!$M15="I (Incomplete)"), 0, IF(AI20&gt;=55%, 1, 0))</f>
        <v>0</v>
      </c>
      <c r="AP20" s="132">
        <f>IF(OR(GradeSheet!$M15="W (Withdrawn)", GradeSheet!$M15="I (Incomplete)"), 0, IF(AJ20&gt;=55%, 1, 0))</f>
        <v>0</v>
      </c>
      <c r="AQ20" s="132">
        <f>IF(OR(GradeSheet!$M15="W (Withdrawn)", GradeSheet!$M15="I (Incomplete)"), 0, IF(AK20&gt;=55%, 1, 0))</f>
        <v>0</v>
      </c>
      <c r="AR20" s="132">
        <f>IF(OR(GradeSheet!$M15="W (Withdrawn)", GradeSheet!$M15="I (Incomplete)"), 0, IF(AL20&gt;=55%, 1, 0))</f>
        <v>0</v>
      </c>
      <c r="AS20" s="132">
        <f>IF(OR(GradeSheet!$M15="W (Withdrawn)", GradeSheet!$M15="I (Incomplete)"), 0, IF(AM20&gt;=55%, 1, 0))</f>
        <v>0</v>
      </c>
      <c r="AT20" s="114"/>
      <c r="AU20" s="133">
        <f t="shared" si="8"/>
        <v>0</v>
      </c>
      <c r="AV20" s="133">
        <f t="shared" si="9"/>
        <v>0</v>
      </c>
      <c r="AW20" s="133">
        <f t="array" ref="AW20">IF($AV$9=0,0,MMULT($AH20:$AM20, AV$3:AV$8)/$AV$9)</f>
        <v>0</v>
      </c>
      <c r="AX20" s="133">
        <f t="array" ref="AX20">IF($AW$9=0,0,MMULT($AH20:$AM20, AW$3:AW$8)/$AW$9)</f>
        <v>0</v>
      </c>
      <c r="AY20" s="133">
        <f t="shared" si="10"/>
        <v>0</v>
      </c>
      <c r="AZ20" s="133">
        <f t="array" ref="AZ20">IF($AY$9=0,0,MMULT($AH20:$AM20, AY$3:AY$8)/$AY$9)</f>
        <v>0</v>
      </c>
      <c r="BA20" s="133">
        <f t="array" ref="BA20">IF($AZ$9=0,0,MMULT($AH20:$AM20, AZ$3:AZ$8)/$AZ$9)</f>
        <v>0</v>
      </c>
      <c r="BB20" s="133">
        <f t="array" ref="BB20">IF($BA$9=0,0,MMULT($AH20:$AM20, BA$3:BA$8)/$BA$9)</f>
        <v>0</v>
      </c>
      <c r="BC20" s="133">
        <f t="array" ref="BC20">IF($BB$9=0,0,MMULT($AH20:$AM20, BB$3:BB$8)/$BB$9)</f>
        <v>0</v>
      </c>
      <c r="BD20" s="133">
        <f t="array" ref="BD20">IF($BC$9=0,0,MMULT($AH20:$AM20, BC$3:BC$8)/$BC$9)</f>
        <v>0</v>
      </c>
      <c r="BE20" s="133">
        <f t="shared" si="11"/>
        <v>0</v>
      </c>
      <c r="BF20" s="133">
        <f t="shared" si="12"/>
        <v>0</v>
      </c>
      <c r="BG20" s="132">
        <f>IF(OR(GradeSheet!$M15="W (Withdrawn)", GradeSheet!$M15="I (Incomplete)"), 0, IF(AU20&gt;=65%, 1, 0))</f>
        <v>0</v>
      </c>
      <c r="BH20" s="132">
        <f>IF(OR(GradeSheet!$M15="W (Withdrawn)", GradeSheet!$M15="I (Incomplete)"), 0, IF(AV20&gt;=65%, 1, 0))</f>
        <v>0</v>
      </c>
      <c r="BI20" s="132">
        <f>IF(OR(GradeSheet!$M15="W (Withdrawn)", GradeSheet!$M15="I (Incomplete)"), 0, IF(AW20&gt;=65%, 1, 0))</f>
        <v>0</v>
      </c>
      <c r="BJ20" s="132">
        <f>IF(OR(GradeSheet!$M15="W (Withdrawn)", GradeSheet!$M15="I (Incomplete)"), 0, IF(AX20&gt;=65%, 1, 0))</f>
        <v>0</v>
      </c>
      <c r="BK20" s="132">
        <f>IF(OR(GradeSheet!$M15="W (Withdrawn)", GradeSheet!$M15="I (Incomplete)"), 0, IF(AY20&gt;=65%, 1, 0))</f>
        <v>0</v>
      </c>
      <c r="BL20" s="132">
        <f>IF(OR(GradeSheet!$M15="W (Withdrawn)", GradeSheet!$M15="I (Incomplete)"), 0, IF(AZ20&gt;=65%, 1, 0))</f>
        <v>0</v>
      </c>
      <c r="BM20" s="132">
        <f>IF(OR(GradeSheet!$M15="W (Withdrawn)", GradeSheet!$M15="I (Incomplete)"), 0, IF(BA20&gt;=65%, 1, 0))</f>
        <v>0</v>
      </c>
      <c r="BN20" s="132">
        <f>IF(OR(GradeSheet!$M15="W (Withdrawn)", GradeSheet!$M15="I (Incomplete)"), 0, IF(BB20&gt;=65%, 1, 0))</f>
        <v>0</v>
      </c>
      <c r="BO20" s="132">
        <f>IF(OR(GradeSheet!$M15="W (Withdrawn)", GradeSheet!$M15="I (Incomplete)"), 0, IF(BC20&gt;=65%, 1, 0))</f>
        <v>0</v>
      </c>
      <c r="BP20" s="132">
        <f>IF(OR(GradeSheet!$M15="W (Withdrawn)", GradeSheet!$M15="I (Incomplete)"), 0, IF(BD20&gt;=65%, 1, 0))</f>
        <v>0</v>
      </c>
      <c r="BQ20" s="132">
        <f>IF(OR(GradeSheet!$M15="W (Withdrawn)", GradeSheet!$M15="I (Incomplete)"), 0, IF(BE20&gt;=65%, 1, 0))</f>
        <v>0</v>
      </c>
      <c r="BR20" s="132">
        <f>IF(OR(GradeSheet!$M15="W (Withdrawn)", GradeSheet!$M15="I (Incomplete)"), 0, IF(BF20&gt;=65%, 1, 0))</f>
        <v>0</v>
      </c>
    </row>
    <row r="21" spans="1:70" ht="15.75" customHeight="1">
      <c r="A21" s="128">
        <v>7</v>
      </c>
      <c r="B21" s="178">
        <f>GradeSheet!X16</f>
        <v>0</v>
      </c>
      <c r="C21" s="178">
        <f>GradeSheet!W16</f>
        <v>0</v>
      </c>
      <c r="D21" s="177">
        <v>0</v>
      </c>
      <c r="E21" s="177">
        <v>0</v>
      </c>
      <c r="F21" s="177">
        <v>0</v>
      </c>
      <c r="G21" s="177">
        <v>0</v>
      </c>
      <c r="H21" s="177">
        <v>0</v>
      </c>
      <c r="I21" s="177">
        <v>0</v>
      </c>
      <c r="J21" s="177">
        <v>0</v>
      </c>
      <c r="K21" s="177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  <c r="U21" s="177">
        <v>0</v>
      </c>
      <c r="V21" s="177">
        <v>0</v>
      </c>
      <c r="W21" s="177">
        <v>0</v>
      </c>
      <c r="X21" s="177">
        <v>0</v>
      </c>
      <c r="Y21" s="177">
        <v>0</v>
      </c>
      <c r="Z21" s="177">
        <v>0</v>
      </c>
      <c r="AA21" s="177">
        <v>0</v>
      </c>
      <c r="AB21" s="129">
        <f t="shared" si="13"/>
        <v>0</v>
      </c>
      <c r="AC21" s="130">
        <f t="shared" si="14"/>
        <v>0</v>
      </c>
      <c r="AD21" s="130">
        <f t="shared" si="15"/>
        <v>0</v>
      </c>
      <c r="AE21" s="130">
        <f t="shared" si="16"/>
        <v>0</v>
      </c>
      <c r="AF21" s="130">
        <f t="shared" si="17"/>
        <v>0</v>
      </c>
      <c r="AG21" s="135">
        <f t="shared" si="18"/>
        <v>0</v>
      </c>
      <c r="AH21" s="131">
        <f t="shared" ref="AH21:AM21" si="24">IF(AB21 = 0, 0, AB21/AB$14)</f>
        <v>0</v>
      </c>
      <c r="AI21" s="131">
        <f t="shared" si="24"/>
        <v>0</v>
      </c>
      <c r="AJ21" s="131">
        <f t="shared" si="24"/>
        <v>0</v>
      </c>
      <c r="AK21" s="131">
        <f t="shared" si="24"/>
        <v>0</v>
      </c>
      <c r="AL21" s="131">
        <f t="shared" si="24"/>
        <v>0</v>
      </c>
      <c r="AM21" s="131">
        <f t="shared" si="24"/>
        <v>0</v>
      </c>
      <c r="AN21" s="132">
        <f>IF(OR(GradeSheet!$M16="W (Withdrawn)", GradeSheet!$M16="I (Incomplete)"), 0, IF(AH21&gt;=55%, 1, 0))</f>
        <v>0</v>
      </c>
      <c r="AO21" s="132">
        <f>IF(OR(GradeSheet!$M16="W (Withdrawn)", GradeSheet!$M16="I (Incomplete)"), 0, IF(AI21&gt;=55%, 1, 0))</f>
        <v>0</v>
      </c>
      <c r="AP21" s="132">
        <f>IF(OR(GradeSheet!$M16="W (Withdrawn)", GradeSheet!$M16="I (Incomplete)"), 0, IF(AJ21&gt;=55%, 1, 0))</f>
        <v>0</v>
      </c>
      <c r="AQ21" s="132">
        <f>IF(OR(GradeSheet!$M16="W (Withdrawn)", GradeSheet!$M16="I (Incomplete)"), 0, IF(AK21&gt;=55%, 1, 0))</f>
        <v>0</v>
      </c>
      <c r="AR21" s="132">
        <f>IF(OR(GradeSheet!$M16="W (Withdrawn)", GradeSheet!$M16="I (Incomplete)"), 0, IF(AL21&gt;=55%, 1, 0))</f>
        <v>0</v>
      </c>
      <c r="AS21" s="132">
        <f>IF(OR(GradeSheet!$M16="W (Withdrawn)", GradeSheet!$M16="I (Incomplete)"), 0, IF(AM21&gt;=55%, 1, 0))</f>
        <v>0</v>
      </c>
      <c r="AT21" s="114"/>
      <c r="AU21" s="133">
        <f t="shared" si="8"/>
        <v>0</v>
      </c>
      <c r="AV21" s="133">
        <f t="shared" si="9"/>
        <v>0</v>
      </c>
      <c r="AW21" s="133">
        <f t="array" ref="AW21">IF($AV$9=0,0,MMULT($AH21:$AM21, AV$3:AV$8)/$AV$9)</f>
        <v>0</v>
      </c>
      <c r="AX21" s="133">
        <f t="array" ref="AX21">IF($AW$9=0,0,MMULT($AH21:$AM21, AW$3:AW$8)/$AW$9)</f>
        <v>0</v>
      </c>
      <c r="AY21" s="133">
        <f t="shared" si="10"/>
        <v>0</v>
      </c>
      <c r="AZ21" s="133">
        <f t="array" ref="AZ21">IF($AY$9=0,0,MMULT($AH21:$AM21, AY$3:AY$8)/$AY$9)</f>
        <v>0</v>
      </c>
      <c r="BA21" s="133">
        <f t="array" ref="BA21">IF($AZ$9=0,0,MMULT($AH21:$AM21, AZ$3:AZ$8)/$AZ$9)</f>
        <v>0</v>
      </c>
      <c r="BB21" s="133">
        <f t="array" ref="BB21">IF($BA$9=0,0,MMULT($AH21:$AM21, BA$3:BA$8)/$BA$9)</f>
        <v>0</v>
      </c>
      <c r="BC21" s="133">
        <f t="array" ref="BC21">IF($BB$9=0,0,MMULT($AH21:$AM21, BB$3:BB$8)/$BB$9)</f>
        <v>0</v>
      </c>
      <c r="BD21" s="133">
        <f t="array" ref="BD21">IF($BC$9=0,0,MMULT($AH21:$AM21, BC$3:BC$8)/$BC$9)</f>
        <v>0</v>
      </c>
      <c r="BE21" s="133">
        <f t="shared" si="11"/>
        <v>0</v>
      </c>
      <c r="BF21" s="133">
        <f t="shared" si="12"/>
        <v>0</v>
      </c>
      <c r="BG21" s="132">
        <f>IF(OR(GradeSheet!$M16="W (Withdrawn)", GradeSheet!$M16="I (Incomplete)"), 0, IF(AU21&gt;=65%, 1, 0))</f>
        <v>0</v>
      </c>
      <c r="BH21" s="132">
        <f>IF(OR(GradeSheet!$M16="W (Withdrawn)", GradeSheet!$M16="I (Incomplete)"), 0, IF(AV21&gt;=65%, 1, 0))</f>
        <v>0</v>
      </c>
      <c r="BI21" s="132">
        <f>IF(OR(GradeSheet!$M16="W (Withdrawn)", GradeSheet!$M16="I (Incomplete)"), 0, IF(AW21&gt;=65%, 1, 0))</f>
        <v>0</v>
      </c>
      <c r="BJ21" s="132">
        <f>IF(OR(GradeSheet!$M16="W (Withdrawn)", GradeSheet!$M16="I (Incomplete)"), 0, IF(AX21&gt;=65%, 1, 0))</f>
        <v>0</v>
      </c>
      <c r="BK21" s="132">
        <f>IF(OR(GradeSheet!$M16="W (Withdrawn)", GradeSheet!$M16="I (Incomplete)"), 0, IF(AY21&gt;=65%, 1, 0))</f>
        <v>0</v>
      </c>
      <c r="BL21" s="132">
        <f>IF(OR(GradeSheet!$M16="W (Withdrawn)", GradeSheet!$M16="I (Incomplete)"), 0, IF(AZ21&gt;=65%, 1, 0))</f>
        <v>0</v>
      </c>
      <c r="BM21" s="132">
        <f>IF(OR(GradeSheet!$M16="W (Withdrawn)", GradeSheet!$M16="I (Incomplete)"), 0, IF(BA21&gt;=65%, 1, 0))</f>
        <v>0</v>
      </c>
      <c r="BN21" s="132">
        <f>IF(OR(GradeSheet!$M16="W (Withdrawn)", GradeSheet!$M16="I (Incomplete)"), 0, IF(BB21&gt;=65%, 1, 0))</f>
        <v>0</v>
      </c>
      <c r="BO21" s="132">
        <f>IF(OR(GradeSheet!$M16="W (Withdrawn)", GradeSheet!$M16="I (Incomplete)"), 0, IF(BC21&gt;=65%, 1, 0))</f>
        <v>0</v>
      </c>
      <c r="BP21" s="132">
        <f>IF(OR(GradeSheet!$M16="W (Withdrawn)", GradeSheet!$M16="I (Incomplete)"), 0, IF(BD21&gt;=65%, 1, 0))</f>
        <v>0</v>
      </c>
      <c r="BQ21" s="132">
        <f>IF(OR(GradeSheet!$M16="W (Withdrawn)", GradeSheet!$M16="I (Incomplete)"), 0, IF(BE21&gt;=65%, 1, 0))</f>
        <v>0</v>
      </c>
      <c r="BR21" s="132">
        <f>IF(OR(GradeSheet!$M16="W (Withdrawn)", GradeSheet!$M16="I (Incomplete)"), 0, IF(BF21&gt;=65%, 1, 0))</f>
        <v>0</v>
      </c>
    </row>
    <row r="22" spans="1:70" ht="15.75" customHeight="1">
      <c r="A22" s="134">
        <v>8</v>
      </c>
      <c r="B22" s="178">
        <f>GradeSheet!X17</f>
        <v>0</v>
      </c>
      <c r="C22" s="178">
        <f>GradeSheet!W17</f>
        <v>0</v>
      </c>
      <c r="D22" s="177">
        <v>0</v>
      </c>
      <c r="E22" s="177">
        <v>0</v>
      </c>
      <c r="F22" s="177">
        <v>0</v>
      </c>
      <c r="G22" s="177">
        <v>0</v>
      </c>
      <c r="H22" s="177">
        <v>0</v>
      </c>
      <c r="I22" s="177">
        <v>0</v>
      </c>
      <c r="J22" s="177">
        <v>0</v>
      </c>
      <c r="K22" s="177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  <c r="U22" s="177">
        <v>0</v>
      </c>
      <c r="V22" s="177">
        <v>0</v>
      </c>
      <c r="W22" s="177">
        <v>0</v>
      </c>
      <c r="X22" s="177">
        <v>0</v>
      </c>
      <c r="Y22" s="177">
        <v>0</v>
      </c>
      <c r="Z22" s="177">
        <v>0</v>
      </c>
      <c r="AA22" s="177">
        <v>0</v>
      </c>
      <c r="AB22" s="129">
        <f t="shared" si="13"/>
        <v>0</v>
      </c>
      <c r="AC22" s="130">
        <f t="shared" si="14"/>
        <v>0</v>
      </c>
      <c r="AD22" s="130">
        <f t="shared" si="15"/>
        <v>0</v>
      </c>
      <c r="AE22" s="130">
        <f t="shared" si="16"/>
        <v>0</v>
      </c>
      <c r="AF22" s="130">
        <f t="shared" si="17"/>
        <v>0</v>
      </c>
      <c r="AG22" s="135">
        <f t="shared" si="18"/>
        <v>0</v>
      </c>
      <c r="AH22" s="131">
        <f t="shared" ref="AH22:AM22" si="25">IF(AB22 = 0, 0, AB22/AB$14)</f>
        <v>0</v>
      </c>
      <c r="AI22" s="131">
        <f t="shared" si="25"/>
        <v>0</v>
      </c>
      <c r="AJ22" s="131">
        <f t="shared" si="25"/>
        <v>0</v>
      </c>
      <c r="AK22" s="131">
        <f t="shared" si="25"/>
        <v>0</v>
      </c>
      <c r="AL22" s="131">
        <f t="shared" si="25"/>
        <v>0</v>
      </c>
      <c r="AM22" s="131">
        <f t="shared" si="25"/>
        <v>0</v>
      </c>
      <c r="AN22" s="132">
        <f>IF(OR(GradeSheet!$M17="W (Withdrawn)", GradeSheet!$M17="I (Incomplete)"), 0, IF(AH22&gt;=55%, 1, 0))</f>
        <v>0</v>
      </c>
      <c r="AO22" s="132">
        <f>IF(OR(GradeSheet!$M17="W (Withdrawn)", GradeSheet!$M17="I (Incomplete)"), 0, IF(AI22&gt;=55%, 1, 0))</f>
        <v>0</v>
      </c>
      <c r="AP22" s="132">
        <f>IF(OR(GradeSheet!$M17="W (Withdrawn)", GradeSheet!$M17="I (Incomplete)"), 0, IF(AJ22&gt;=55%, 1, 0))</f>
        <v>0</v>
      </c>
      <c r="AQ22" s="132">
        <f>IF(OR(GradeSheet!$M17="W (Withdrawn)", GradeSheet!$M17="I (Incomplete)"), 0, IF(AK22&gt;=55%, 1, 0))</f>
        <v>0</v>
      </c>
      <c r="AR22" s="132">
        <f>IF(OR(GradeSheet!$M17="W (Withdrawn)", GradeSheet!$M17="I (Incomplete)"), 0, IF(AL22&gt;=55%, 1, 0))</f>
        <v>0</v>
      </c>
      <c r="AS22" s="132">
        <f>IF(OR(GradeSheet!$M17="W (Withdrawn)", GradeSheet!$M17="I (Incomplete)"), 0, IF(AM22&gt;=55%, 1, 0))</f>
        <v>0</v>
      </c>
      <c r="AT22" s="114"/>
      <c r="AU22" s="133">
        <f t="shared" si="8"/>
        <v>0</v>
      </c>
      <c r="AV22" s="133">
        <f t="shared" si="9"/>
        <v>0</v>
      </c>
      <c r="AW22" s="133">
        <f t="array" ref="AW22">IF($AV$9=0,0,MMULT($AH22:$AM22, AV$3:AV$8)/$AV$9)</f>
        <v>0</v>
      </c>
      <c r="AX22" s="133">
        <f t="array" ref="AX22">IF($AW$9=0,0,MMULT($AH22:$AM22, AW$3:AW$8)/$AW$9)</f>
        <v>0</v>
      </c>
      <c r="AY22" s="133">
        <f t="shared" si="10"/>
        <v>0</v>
      </c>
      <c r="AZ22" s="133">
        <f t="array" ref="AZ22">IF($AY$9=0,0,MMULT($AH22:$AM22, AY$3:AY$8)/$AY$9)</f>
        <v>0</v>
      </c>
      <c r="BA22" s="133">
        <f t="array" ref="BA22">IF($AZ$9=0,0,MMULT($AH22:$AM22, AZ$3:AZ$8)/$AZ$9)</f>
        <v>0</v>
      </c>
      <c r="BB22" s="133">
        <f t="array" ref="BB22">IF($BA$9=0,0,MMULT($AH22:$AM22, BA$3:BA$8)/$BA$9)</f>
        <v>0</v>
      </c>
      <c r="BC22" s="133">
        <f t="array" ref="BC22">IF($BB$9=0,0,MMULT($AH22:$AM22, BB$3:BB$8)/$BB$9)</f>
        <v>0</v>
      </c>
      <c r="BD22" s="133">
        <f t="array" ref="BD22">IF($BC$9=0,0,MMULT($AH22:$AM22, BC$3:BC$8)/$BC$9)</f>
        <v>0</v>
      </c>
      <c r="BE22" s="133">
        <f t="shared" si="11"/>
        <v>0</v>
      </c>
      <c r="BF22" s="133">
        <f t="shared" si="12"/>
        <v>0</v>
      </c>
      <c r="BG22" s="132">
        <f>IF(OR(GradeSheet!$M17="W (Withdrawn)", GradeSheet!$M17="I (Incomplete)"), 0, IF(AU22&gt;=65%, 1, 0))</f>
        <v>0</v>
      </c>
      <c r="BH22" s="132">
        <f>IF(OR(GradeSheet!$M17="W (Withdrawn)", GradeSheet!$M17="I (Incomplete)"), 0, IF(AV22&gt;=65%, 1, 0))</f>
        <v>0</v>
      </c>
      <c r="BI22" s="132">
        <f>IF(OR(GradeSheet!$M17="W (Withdrawn)", GradeSheet!$M17="I (Incomplete)"), 0, IF(AW22&gt;=65%, 1, 0))</f>
        <v>0</v>
      </c>
      <c r="BJ22" s="132">
        <f>IF(OR(GradeSheet!$M17="W (Withdrawn)", GradeSheet!$M17="I (Incomplete)"), 0, IF(AX22&gt;=65%, 1, 0))</f>
        <v>0</v>
      </c>
      <c r="BK22" s="132">
        <f>IF(OR(GradeSheet!$M17="W (Withdrawn)", GradeSheet!$M17="I (Incomplete)"), 0, IF(AY22&gt;=65%, 1, 0))</f>
        <v>0</v>
      </c>
      <c r="BL22" s="132">
        <f>IF(OR(GradeSheet!$M17="W (Withdrawn)", GradeSheet!$M17="I (Incomplete)"), 0, IF(AZ22&gt;=65%, 1, 0))</f>
        <v>0</v>
      </c>
      <c r="BM22" s="132">
        <f>IF(OR(GradeSheet!$M17="W (Withdrawn)", GradeSheet!$M17="I (Incomplete)"), 0, IF(BA22&gt;=65%, 1, 0))</f>
        <v>0</v>
      </c>
      <c r="BN22" s="132">
        <f>IF(OR(GradeSheet!$M17="W (Withdrawn)", GradeSheet!$M17="I (Incomplete)"), 0, IF(BB22&gt;=65%, 1, 0))</f>
        <v>0</v>
      </c>
      <c r="BO22" s="132">
        <f>IF(OR(GradeSheet!$M17="W (Withdrawn)", GradeSheet!$M17="I (Incomplete)"), 0, IF(BC22&gt;=65%, 1, 0))</f>
        <v>0</v>
      </c>
      <c r="BP22" s="132">
        <f>IF(OR(GradeSheet!$M17="W (Withdrawn)", GradeSheet!$M17="I (Incomplete)"), 0, IF(BD22&gt;=65%, 1, 0))</f>
        <v>0</v>
      </c>
      <c r="BQ22" s="132">
        <f>IF(OR(GradeSheet!$M17="W (Withdrawn)", GradeSheet!$M17="I (Incomplete)"), 0, IF(BE22&gt;=65%, 1, 0))</f>
        <v>0</v>
      </c>
      <c r="BR22" s="132">
        <f>IF(OR(GradeSheet!$M17="W (Withdrawn)", GradeSheet!$M17="I (Incomplete)"), 0, IF(BF22&gt;=65%, 1, 0))</f>
        <v>0</v>
      </c>
    </row>
    <row r="23" spans="1:70" ht="15.75" customHeight="1">
      <c r="A23" s="128">
        <v>9</v>
      </c>
      <c r="B23" s="178">
        <f>GradeSheet!X18</f>
        <v>0</v>
      </c>
      <c r="C23" s="178">
        <f>GradeSheet!W18</f>
        <v>0</v>
      </c>
      <c r="D23" s="177">
        <v>0</v>
      </c>
      <c r="E23" s="177">
        <v>0</v>
      </c>
      <c r="F23" s="177">
        <v>0</v>
      </c>
      <c r="G23" s="177">
        <v>0</v>
      </c>
      <c r="H23" s="177">
        <v>0</v>
      </c>
      <c r="I23" s="177">
        <v>0</v>
      </c>
      <c r="J23" s="177">
        <v>0</v>
      </c>
      <c r="K23" s="177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  <c r="U23" s="177">
        <v>0</v>
      </c>
      <c r="V23" s="177">
        <v>0</v>
      </c>
      <c r="W23" s="177">
        <v>0</v>
      </c>
      <c r="X23" s="177">
        <v>0</v>
      </c>
      <c r="Y23" s="177">
        <v>0</v>
      </c>
      <c r="Z23" s="177">
        <v>0</v>
      </c>
      <c r="AA23" s="177">
        <v>0</v>
      </c>
      <c r="AB23" s="129">
        <f t="shared" si="13"/>
        <v>0</v>
      </c>
      <c r="AC23" s="130">
        <f t="shared" si="14"/>
        <v>0</v>
      </c>
      <c r="AD23" s="130">
        <f t="shared" si="15"/>
        <v>0</v>
      </c>
      <c r="AE23" s="130">
        <f t="shared" si="16"/>
        <v>0</v>
      </c>
      <c r="AF23" s="130">
        <f t="shared" si="17"/>
        <v>0</v>
      </c>
      <c r="AG23" s="135">
        <f t="shared" si="18"/>
        <v>0</v>
      </c>
      <c r="AH23" s="131">
        <f t="shared" ref="AH23:AM23" si="26">IF(AB23 = 0, 0, AB23/AB$14)</f>
        <v>0</v>
      </c>
      <c r="AI23" s="131">
        <f t="shared" si="26"/>
        <v>0</v>
      </c>
      <c r="AJ23" s="131">
        <f t="shared" si="26"/>
        <v>0</v>
      </c>
      <c r="AK23" s="131">
        <f t="shared" si="26"/>
        <v>0</v>
      </c>
      <c r="AL23" s="131">
        <f t="shared" si="26"/>
        <v>0</v>
      </c>
      <c r="AM23" s="131">
        <f t="shared" si="26"/>
        <v>0</v>
      </c>
      <c r="AN23" s="132">
        <f>IF(OR(GradeSheet!$M18="W (Withdrawn)", GradeSheet!$M18="I (Incomplete)"), 0, IF(AH23&gt;=55%, 1, 0))</f>
        <v>0</v>
      </c>
      <c r="AO23" s="132">
        <f>IF(OR(GradeSheet!$M18="W (Withdrawn)", GradeSheet!$M18="I (Incomplete)"), 0, IF(AI23&gt;=55%, 1, 0))</f>
        <v>0</v>
      </c>
      <c r="AP23" s="132">
        <f>IF(OR(GradeSheet!$M18="W (Withdrawn)", GradeSheet!$M18="I (Incomplete)"), 0, IF(AJ23&gt;=55%, 1, 0))</f>
        <v>0</v>
      </c>
      <c r="AQ23" s="132">
        <f>IF(OR(GradeSheet!$M18="W (Withdrawn)", GradeSheet!$M18="I (Incomplete)"), 0, IF(AK23&gt;=55%, 1, 0))</f>
        <v>0</v>
      </c>
      <c r="AR23" s="132">
        <f>IF(OR(GradeSheet!$M18="W (Withdrawn)", GradeSheet!$M18="I (Incomplete)"), 0, IF(AL23&gt;=55%, 1, 0))</f>
        <v>0</v>
      </c>
      <c r="AS23" s="132">
        <f>IF(OR(GradeSheet!$M18="W (Withdrawn)", GradeSheet!$M18="I (Incomplete)"), 0, IF(AM23&gt;=55%, 1, 0))</f>
        <v>0</v>
      </c>
      <c r="AT23" s="114"/>
      <c r="AU23" s="133">
        <f t="shared" si="8"/>
        <v>0</v>
      </c>
      <c r="AV23" s="133">
        <f t="shared" si="9"/>
        <v>0</v>
      </c>
      <c r="AW23" s="133">
        <f t="array" ref="AW23">IF($AV$9=0,0,MMULT($AH23:$AM23, AV$3:AV$8)/$AV$9)</f>
        <v>0</v>
      </c>
      <c r="AX23" s="133">
        <f t="array" ref="AX23">IF($AW$9=0,0,MMULT($AH23:$AM23, AW$3:AW$8)/$AW$9)</f>
        <v>0</v>
      </c>
      <c r="AY23" s="133">
        <f t="shared" si="10"/>
        <v>0</v>
      </c>
      <c r="AZ23" s="133">
        <f t="array" ref="AZ23">IF($AY$9=0,0,MMULT($AH23:$AM23, AY$3:AY$8)/$AY$9)</f>
        <v>0</v>
      </c>
      <c r="BA23" s="133">
        <f t="array" ref="BA23">IF($AZ$9=0,0,MMULT($AH23:$AM23, AZ$3:AZ$8)/$AZ$9)</f>
        <v>0</v>
      </c>
      <c r="BB23" s="133">
        <f t="array" ref="BB23">IF($BA$9=0,0,MMULT($AH23:$AM23, BA$3:BA$8)/$BA$9)</f>
        <v>0</v>
      </c>
      <c r="BC23" s="133">
        <f t="array" ref="BC23">IF($BB$9=0,0,MMULT($AH23:$AM23, BB$3:BB$8)/$BB$9)</f>
        <v>0</v>
      </c>
      <c r="BD23" s="133">
        <f t="array" ref="BD23">IF($BC$9=0,0,MMULT($AH23:$AM23, BC$3:BC$8)/$BC$9)</f>
        <v>0</v>
      </c>
      <c r="BE23" s="133">
        <f t="shared" si="11"/>
        <v>0</v>
      </c>
      <c r="BF23" s="133">
        <f t="shared" si="12"/>
        <v>0</v>
      </c>
      <c r="BG23" s="132">
        <f>IF(OR(GradeSheet!$M18="W (Withdrawn)", GradeSheet!$M18="I (Incomplete)"), 0, IF(AU23&gt;=65%, 1, 0))</f>
        <v>0</v>
      </c>
      <c r="BH23" s="132">
        <f>IF(OR(GradeSheet!$M18="W (Withdrawn)", GradeSheet!$M18="I (Incomplete)"), 0, IF(AV23&gt;=65%, 1, 0))</f>
        <v>0</v>
      </c>
      <c r="BI23" s="132">
        <f>IF(OR(GradeSheet!$M18="W (Withdrawn)", GradeSheet!$M18="I (Incomplete)"), 0, IF(AW23&gt;=65%, 1, 0))</f>
        <v>0</v>
      </c>
      <c r="BJ23" s="132">
        <f>IF(OR(GradeSheet!$M18="W (Withdrawn)", GradeSheet!$M18="I (Incomplete)"), 0, IF(AX23&gt;=65%, 1, 0))</f>
        <v>0</v>
      </c>
      <c r="BK23" s="132">
        <f>IF(OR(GradeSheet!$M18="W (Withdrawn)", GradeSheet!$M18="I (Incomplete)"), 0, IF(AY23&gt;=65%, 1, 0))</f>
        <v>0</v>
      </c>
      <c r="BL23" s="132">
        <f>IF(OR(GradeSheet!$M18="W (Withdrawn)", GradeSheet!$M18="I (Incomplete)"), 0, IF(AZ23&gt;=65%, 1, 0))</f>
        <v>0</v>
      </c>
      <c r="BM23" s="132">
        <f>IF(OR(GradeSheet!$M18="W (Withdrawn)", GradeSheet!$M18="I (Incomplete)"), 0, IF(BA23&gt;=65%, 1, 0))</f>
        <v>0</v>
      </c>
      <c r="BN23" s="132">
        <f>IF(OR(GradeSheet!$M18="W (Withdrawn)", GradeSheet!$M18="I (Incomplete)"), 0, IF(BB23&gt;=65%, 1, 0))</f>
        <v>0</v>
      </c>
      <c r="BO23" s="132">
        <f>IF(OR(GradeSheet!$M18="W (Withdrawn)", GradeSheet!$M18="I (Incomplete)"), 0, IF(BC23&gt;=65%, 1, 0))</f>
        <v>0</v>
      </c>
      <c r="BP23" s="132">
        <f>IF(OR(GradeSheet!$M18="W (Withdrawn)", GradeSheet!$M18="I (Incomplete)"), 0, IF(BD23&gt;=65%, 1, 0))</f>
        <v>0</v>
      </c>
      <c r="BQ23" s="132">
        <f>IF(OR(GradeSheet!$M18="W (Withdrawn)", GradeSheet!$M18="I (Incomplete)"), 0, IF(BE23&gt;=65%, 1, 0))</f>
        <v>0</v>
      </c>
      <c r="BR23" s="132">
        <f>IF(OR(GradeSheet!$M18="W (Withdrawn)", GradeSheet!$M18="I (Incomplete)"), 0, IF(BF23&gt;=65%, 1, 0))</f>
        <v>0</v>
      </c>
    </row>
    <row r="24" spans="1:70" ht="15.75" customHeight="1">
      <c r="A24" s="134">
        <v>10</v>
      </c>
      <c r="B24" s="178">
        <f>GradeSheet!X19</f>
        <v>0</v>
      </c>
      <c r="C24" s="178">
        <f>GradeSheet!W19</f>
        <v>0</v>
      </c>
      <c r="D24" s="177">
        <v>0</v>
      </c>
      <c r="E24" s="177">
        <v>0</v>
      </c>
      <c r="F24" s="177">
        <v>0</v>
      </c>
      <c r="G24" s="177">
        <v>0</v>
      </c>
      <c r="H24" s="177">
        <v>0</v>
      </c>
      <c r="I24" s="177">
        <v>0</v>
      </c>
      <c r="J24" s="177">
        <v>0</v>
      </c>
      <c r="K24" s="177">
        <v>0</v>
      </c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  <c r="U24" s="177">
        <v>0</v>
      </c>
      <c r="V24" s="177">
        <v>0</v>
      </c>
      <c r="W24" s="177">
        <v>0</v>
      </c>
      <c r="X24" s="177">
        <v>0</v>
      </c>
      <c r="Y24" s="177">
        <v>0</v>
      </c>
      <c r="Z24" s="177">
        <v>0</v>
      </c>
      <c r="AA24" s="177">
        <v>0</v>
      </c>
      <c r="AB24" s="129">
        <f t="shared" si="13"/>
        <v>0</v>
      </c>
      <c r="AC24" s="130">
        <f t="shared" si="14"/>
        <v>0</v>
      </c>
      <c r="AD24" s="130">
        <f t="shared" si="15"/>
        <v>0</v>
      </c>
      <c r="AE24" s="130">
        <f t="shared" si="16"/>
        <v>0</v>
      </c>
      <c r="AF24" s="130">
        <f t="shared" si="17"/>
        <v>0</v>
      </c>
      <c r="AG24" s="135">
        <f t="shared" si="18"/>
        <v>0</v>
      </c>
      <c r="AH24" s="131">
        <f t="shared" ref="AH24:AM24" si="27">IF(AB24 = 0, 0, AB24/AB$14)</f>
        <v>0</v>
      </c>
      <c r="AI24" s="131">
        <f t="shared" si="27"/>
        <v>0</v>
      </c>
      <c r="AJ24" s="131">
        <f t="shared" si="27"/>
        <v>0</v>
      </c>
      <c r="AK24" s="131">
        <f t="shared" si="27"/>
        <v>0</v>
      </c>
      <c r="AL24" s="131">
        <f t="shared" si="27"/>
        <v>0</v>
      </c>
      <c r="AM24" s="131">
        <f t="shared" si="27"/>
        <v>0</v>
      </c>
      <c r="AN24" s="132">
        <f>IF(OR(GradeSheet!$M19="W (Withdrawn)", GradeSheet!$M19="I (Incomplete)"), 0, IF(AH24&gt;=55%, 1, 0))</f>
        <v>0</v>
      </c>
      <c r="AO24" s="132">
        <f>IF(OR(GradeSheet!$M19="W (Withdrawn)", GradeSheet!$M19="I (Incomplete)"), 0, IF(AI24&gt;=55%, 1, 0))</f>
        <v>0</v>
      </c>
      <c r="AP24" s="132">
        <f>IF(OR(GradeSheet!$M19="W (Withdrawn)", GradeSheet!$M19="I (Incomplete)"), 0, IF(AJ24&gt;=55%, 1, 0))</f>
        <v>0</v>
      </c>
      <c r="AQ24" s="132">
        <f>IF(OR(GradeSheet!$M19="W (Withdrawn)", GradeSheet!$M19="I (Incomplete)"), 0, IF(AK24&gt;=55%, 1, 0))</f>
        <v>0</v>
      </c>
      <c r="AR24" s="132">
        <f>IF(OR(GradeSheet!$M19="W (Withdrawn)", GradeSheet!$M19="I (Incomplete)"), 0, IF(AL24&gt;=55%, 1, 0))</f>
        <v>0</v>
      </c>
      <c r="AS24" s="132">
        <f>IF(OR(GradeSheet!$M19="W (Withdrawn)", GradeSheet!$M19="I (Incomplete)"), 0, IF(AM24&gt;=55%, 1, 0))</f>
        <v>0</v>
      </c>
      <c r="AT24" s="114"/>
      <c r="AU24" s="133">
        <f t="shared" si="8"/>
        <v>0</v>
      </c>
      <c r="AV24" s="133">
        <f t="shared" si="9"/>
        <v>0</v>
      </c>
      <c r="AW24" s="133">
        <f t="array" ref="AW24">IF($AV$9=0,0,MMULT($AH24:$AM24, AV$3:AV$8)/$AV$9)</f>
        <v>0</v>
      </c>
      <c r="AX24" s="133">
        <f t="array" ref="AX24">IF($AW$9=0,0,MMULT($AH24:$AM24, AW$3:AW$8)/$AW$9)</f>
        <v>0</v>
      </c>
      <c r="AY24" s="133">
        <f t="shared" si="10"/>
        <v>0</v>
      </c>
      <c r="AZ24" s="133">
        <f t="array" ref="AZ24">IF($AY$9=0,0,MMULT($AH24:$AM24, AY$3:AY$8)/$AY$9)</f>
        <v>0</v>
      </c>
      <c r="BA24" s="133">
        <f t="array" ref="BA24">IF($AZ$9=0,0,MMULT($AH24:$AM24, AZ$3:AZ$8)/$AZ$9)</f>
        <v>0</v>
      </c>
      <c r="BB24" s="133">
        <f t="array" ref="BB24">IF($BA$9=0,0,MMULT($AH24:$AM24, BA$3:BA$8)/$BA$9)</f>
        <v>0</v>
      </c>
      <c r="BC24" s="133">
        <f t="array" ref="BC24">IF($BB$9=0,0,MMULT($AH24:$AM24, BB$3:BB$8)/$BB$9)</f>
        <v>0</v>
      </c>
      <c r="BD24" s="133">
        <f t="array" ref="BD24">IF($BC$9=0,0,MMULT($AH24:$AM24, BC$3:BC$8)/$BC$9)</f>
        <v>0</v>
      </c>
      <c r="BE24" s="133">
        <f t="shared" si="11"/>
        <v>0</v>
      </c>
      <c r="BF24" s="133">
        <f t="shared" si="12"/>
        <v>0</v>
      </c>
      <c r="BG24" s="132">
        <f>IF(OR(GradeSheet!$M19="W (Withdrawn)", GradeSheet!$M19="I (Incomplete)"), 0, IF(AU24&gt;=65%, 1, 0))</f>
        <v>0</v>
      </c>
      <c r="BH24" s="132">
        <f>IF(OR(GradeSheet!$M19="W (Withdrawn)", GradeSheet!$M19="I (Incomplete)"), 0, IF(AV24&gt;=65%, 1, 0))</f>
        <v>0</v>
      </c>
      <c r="BI24" s="132">
        <f>IF(OR(GradeSheet!$M19="W (Withdrawn)", GradeSheet!$M19="I (Incomplete)"), 0, IF(AW24&gt;=65%, 1, 0))</f>
        <v>0</v>
      </c>
      <c r="BJ24" s="132">
        <f>IF(OR(GradeSheet!$M19="W (Withdrawn)", GradeSheet!$M19="I (Incomplete)"), 0, IF(AX24&gt;=65%, 1, 0))</f>
        <v>0</v>
      </c>
      <c r="BK24" s="132">
        <f>IF(OR(GradeSheet!$M19="W (Withdrawn)", GradeSheet!$M19="I (Incomplete)"), 0, IF(AY24&gt;=65%, 1, 0))</f>
        <v>0</v>
      </c>
      <c r="BL24" s="132">
        <f>IF(OR(GradeSheet!$M19="W (Withdrawn)", GradeSheet!$M19="I (Incomplete)"), 0, IF(AZ24&gt;=65%, 1, 0))</f>
        <v>0</v>
      </c>
      <c r="BM24" s="132">
        <f>IF(OR(GradeSheet!$M19="W (Withdrawn)", GradeSheet!$M19="I (Incomplete)"), 0, IF(BA24&gt;=65%, 1, 0))</f>
        <v>0</v>
      </c>
      <c r="BN24" s="132">
        <f>IF(OR(GradeSheet!$M19="W (Withdrawn)", GradeSheet!$M19="I (Incomplete)"), 0, IF(BB24&gt;=65%, 1, 0))</f>
        <v>0</v>
      </c>
      <c r="BO24" s="132">
        <f>IF(OR(GradeSheet!$M19="W (Withdrawn)", GradeSheet!$M19="I (Incomplete)"), 0, IF(BC24&gt;=65%, 1, 0))</f>
        <v>0</v>
      </c>
      <c r="BP24" s="132">
        <f>IF(OR(GradeSheet!$M19="W (Withdrawn)", GradeSheet!$M19="I (Incomplete)"), 0, IF(BD24&gt;=65%, 1, 0))</f>
        <v>0</v>
      </c>
      <c r="BQ24" s="132">
        <f>IF(OR(GradeSheet!$M19="W (Withdrawn)", GradeSheet!$M19="I (Incomplete)"), 0, IF(BE24&gt;=65%, 1, 0))</f>
        <v>0</v>
      </c>
      <c r="BR24" s="132">
        <f>IF(OR(GradeSheet!$M19="W (Withdrawn)", GradeSheet!$M19="I (Incomplete)"), 0, IF(BF24&gt;=65%, 1, 0))</f>
        <v>0</v>
      </c>
    </row>
    <row r="25" spans="1:70" ht="15.75" customHeight="1">
      <c r="A25" s="128">
        <v>11</v>
      </c>
      <c r="B25" s="178">
        <f>GradeSheet!X20</f>
        <v>0</v>
      </c>
      <c r="C25" s="178">
        <f>GradeSheet!W20</f>
        <v>0</v>
      </c>
      <c r="D25" s="177">
        <v>0</v>
      </c>
      <c r="E25" s="177">
        <v>0</v>
      </c>
      <c r="F25" s="177">
        <v>0</v>
      </c>
      <c r="G25" s="177">
        <v>0</v>
      </c>
      <c r="H25" s="177">
        <v>0</v>
      </c>
      <c r="I25" s="177">
        <v>0</v>
      </c>
      <c r="J25" s="177">
        <v>0</v>
      </c>
      <c r="K25" s="177">
        <v>0</v>
      </c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  <c r="U25" s="177">
        <v>0</v>
      </c>
      <c r="V25" s="177">
        <v>0</v>
      </c>
      <c r="W25" s="177">
        <v>0</v>
      </c>
      <c r="X25" s="177">
        <v>0</v>
      </c>
      <c r="Y25" s="177">
        <v>0</v>
      </c>
      <c r="Z25" s="177">
        <v>0</v>
      </c>
      <c r="AA25" s="177">
        <v>0</v>
      </c>
      <c r="AB25" s="129">
        <f t="shared" si="13"/>
        <v>0</v>
      </c>
      <c r="AC25" s="130">
        <f t="shared" si="14"/>
        <v>0</v>
      </c>
      <c r="AD25" s="130">
        <f t="shared" si="15"/>
        <v>0</v>
      </c>
      <c r="AE25" s="130">
        <f t="shared" si="16"/>
        <v>0</v>
      </c>
      <c r="AF25" s="130">
        <f t="shared" si="17"/>
        <v>0</v>
      </c>
      <c r="AG25" s="135">
        <f t="shared" si="18"/>
        <v>0</v>
      </c>
      <c r="AH25" s="131">
        <f t="shared" ref="AH25:AM25" si="28">IF(AB25 = 0, 0, AB25/AB$14)</f>
        <v>0</v>
      </c>
      <c r="AI25" s="131">
        <f t="shared" si="28"/>
        <v>0</v>
      </c>
      <c r="AJ25" s="131">
        <f t="shared" si="28"/>
        <v>0</v>
      </c>
      <c r="AK25" s="131">
        <f t="shared" si="28"/>
        <v>0</v>
      </c>
      <c r="AL25" s="131">
        <f t="shared" si="28"/>
        <v>0</v>
      </c>
      <c r="AM25" s="131">
        <f t="shared" si="28"/>
        <v>0</v>
      </c>
      <c r="AN25" s="132">
        <v>1</v>
      </c>
      <c r="AO25" s="132">
        <f>IF(OR(GradeSheet!$M20="W (Withdrawn)", GradeSheet!$M20="I (Incomplete)"), 0, IF(AI25&gt;=55%, 1, 0))</f>
        <v>0</v>
      </c>
      <c r="AP25" s="132">
        <f>IF(OR(GradeSheet!$M20="W (Withdrawn)", GradeSheet!$M20="I (Incomplete)"), 0, IF(AJ25&gt;=55%, 1, 0))</f>
        <v>0</v>
      </c>
      <c r="AQ25" s="132">
        <f>IF(OR(GradeSheet!$M20="W (Withdrawn)", GradeSheet!$M20="I (Incomplete)"), 0, IF(AK25&gt;=55%, 1, 0))</f>
        <v>0</v>
      </c>
      <c r="AR25" s="132">
        <f>IF(OR(GradeSheet!$M20="W (Withdrawn)", GradeSheet!$M20="I (Incomplete)"), 0, IF(AL25&gt;=55%, 1, 0))</f>
        <v>0</v>
      </c>
      <c r="AS25" s="132">
        <f>IF(OR(GradeSheet!$M20="W (Withdrawn)", GradeSheet!$M20="I (Incomplete)"), 0, IF(AM25&gt;=55%, 1, 0))</f>
        <v>0</v>
      </c>
      <c r="AT25" s="114"/>
      <c r="AU25" s="133">
        <f t="shared" si="8"/>
        <v>0</v>
      </c>
      <c r="AV25" s="133">
        <f t="shared" si="9"/>
        <v>0</v>
      </c>
      <c r="AW25" s="133">
        <f t="array" ref="AW25">IF($AV$9=0,0,MMULT($AH25:$AM25, AV$3:AV$8)/$AV$9)</f>
        <v>0</v>
      </c>
      <c r="AX25" s="133">
        <f t="array" ref="AX25">IF($AW$9=0,0,MMULT($AH25:$AM25, AW$3:AW$8)/$AW$9)</f>
        <v>0</v>
      </c>
      <c r="AY25" s="133">
        <f t="shared" si="10"/>
        <v>0</v>
      </c>
      <c r="AZ25" s="133">
        <f t="array" ref="AZ25">IF($AY$9=0,0,MMULT($AH25:$AM25, AY$3:AY$8)/$AY$9)</f>
        <v>0</v>
      </c>
      <c r="BA25" s="133">
        <f t="array" ref="BA25">IF($AZ$9=0,0,MMULT($AH25:$AM25, AZ$3:AZ$8)/$AZ$9)</f>
        <v>0</v>
      </c>
      <c r="BB25" s="133">
        <f t="array" ref="BB25">IF($BA$9=0,0,MMULT($AH25:$AM25, BA$3:BA$8)/$BA$9)</f>
        <v>0</v>
      </c>
      <c r="BC25" s="133">
        <f t="array" ref="BC25">IF($BB$9=0,0,MMULT($AH25:$AM25, BB$3:BB$8)/$BB$9)</f>
        <v>0</v>
      </c>
      <c r="BD25" s="133">
        <f t="array" ref="BD25">IF($BC$9=0,0,MMULT($AH25:$AM25, BC$3:BC$8)/$BC$9)</f>
        <v>0</v>
      </c>
      <c r="BE25" s="133">
        <f t="shared" si="11"/>
        <v>0</v>
      </c>
      <c r="BF25" s="133">
        <f t="shared" si="12"/>
        <v>0</v>
      </c>
      <c r="BG25" s="132">
        <f>IF(OR(GradeSheet!$M20="W (Withdrawn)", GradeSheet!$M20="I (Incomplete)"), 0, IF(AU25&gt;=65%, 1, 0))</f>
        <v>0</v>
      </c>
      <c r="BH25" s="132">
        <f>IF(OR(GradeSheet!$M20="W (Withdrawn)", GradeSheet!$M20="I (Incomplete)"), 0, IF(AV25&gt;=65%, 1, 0))</f>
        <v>0</v>
      </c>
      <c r="BI25" s="132">
        <f>IF(OR(GradeSheet!$M20="W (Withdrawn)", GradeSheet!$M20="I (Incomplete)"), 0, IF(AW25&gt;=65%, 1, 0))</f>
        <v>0</v>
      </c>
      <c r="BJ25" s="132">
        <f>IF(OR(GradeSheet!$M20="W (Withdrawn)", GradeSheet!$M20="I (Incomplete)"), 0, IF(AX25&gt;=65%, 1, 0))</f>
        <v>0</v>
      </c>
      <c r="BK25" s="132">
        <f>IF(OR(GradeSheet!$M20="W (Withdrawn)", GradeSheet!$M20="I (Incomplete)"), 0, IF(AY25&gt;=65%, 1, 0))</f>
        <v>0</v>
      </c>
      <c r="BL25" s="132">
        <f>IF(OR(GradeSheet!$M20="W (Withdrawn)", GradeSheet!$M20="I (Incomplete)"), 0, IF(AZ25&gt;=65%, 1, 0))</f>
        <v>0</v>
      </c>
      <c r="BM25" s="132">
        <f>IF(OR(GradeSheet!$M20="W (Withdrawn)", GradeSheet!$M20="I (Incomplete)"), 0, IF(BA25&gt;=65%, 1, 0))</f>
        <v>0</v>
      </c>
      <c r="BN25" s="132">
        <f>IF(OR(GradeSheet!$M20="W (Withdrawn)", GradeSheet!$M20="I (Incomplete)"), 0, IF(BB25&gt;=65%, 1, 0))</f>
        <v>0</v>
      </c>
      <c r="BO25" s="132">
        <f>IF(OR(GradeSheet!$M20="W (Withdrawn)", GradeSheet!$M20="I (Incomplete)"), 0, IF(BC25&gt;=65%, 1, 0))</f>
        <v>0</v>
      </c>
      <c r="BP25" s="132">
        <f>IF(OR(GradeSheet!$M20="W (Withdrawn)", GradeSheet!$M20="I (Incomplete)"), 0, IF(BD25&gt;=65%, 1, 0))</f>
        <v>0</v>
      </c>
      <c r="BQ25" s="132">
        <f>IF(OR(GradeSheet!$M20="W (Withdrawn)", GradeSheet!$M20="I (Incomplete)"), 0, IF(BE25&gt;=65%, 1, 0))</f>
        <v>0</v>
      </c>
      <c r="BR25" s="132">
        <f>IF(OR(GradeSheet!$M20="W (Withdrawn)", GradeSheet!$M20="I (Incomplete)"), 0, IF(BF25&gt;=65%, 1, 0))</f>
        <v>0</v>
      </c>
    </row>
    <row r="26" spans="1:70" ht="15.75" customHeight="1">
      <c r="A26" s="134">
        <v>12</v>
      </c>
      <c r="B26" s="178">
        <f>GradeSheet!X21</f>
        <v>0</v>
      </c>
      <c r="C26" s="178">
        <f>GradeSheet!W21</f>
        <v>0</v>
      </c>
      <c r="D26" s="177">
        <v>0</v>
      </c>
      <c r="E26" s="177">
        <v>0</v>
      </c>
      <c r="F26" s="177">
        <v>0</v>
      </c>
      <c r="G26" s="177">
        <v>0</v>
      </c>
      <c r="H26" s="177">
        <v>0</v>
      </c>
      <c r="I26" s="177">
        <v>0</v>
      </c>
      <c r="J26" s="177">
        <v>0</v>
      </c>
      <c r="K26" s="177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  <c r="U26" s="177">
        <v>0</v>
      </c>
      <c r="V26" s="177">
        <v>0</v>
      </c>
      <c r="W26" s="177">
        <v>0</v>
      </c>
      <c r="X26" s="177">
        <v>0</v>
      </c>
      <c r="Y26" s="177">
        <v>0</v>
      </c>
      <c r="Z26" s="177">
        <v>0</v>
      </c>
      <c r="AA26" s="177">
        <v>0</v>
      </c>
      <c r="AB26" s="129">
        <f t="shared" si="13"/>
        <v>0</v>
      </c>
      <c r="AC26" s="130">
        <f t="shared" si="14"/>
        <v>0</v>
      </c>
      <c r="AD26" s="130">
        <f t="shared" si="15"/>
        <v>0</v>
      </c>
      <c r="AE26" s="130">
        <f t="shared" si="16"/>
        <v>0</v>
      </c>
      <c r="AF26" s="130">
        <f t="shared" si="17"/>
        <v>0</v>
      </c>
      <c r="AG26" s="135">
        <f t="shared" si="18"/>
        <v>0</v>
      </c>
      <c r="AH26" s="131">
        <f t="shared" ref="AH26:AM26" si="29">IF(AB26 = 0, 0, AB26/AB$14)</f>
        <v>0</v>
      </c>
      <c r="AI26" s="131">
        <f t="shared" si="29"/>
        <v>0</v>
      </c>
      <c r="AJ26" s="131">
        <f t="shared" si="29"/>
        <v>0</v>
      </c>
      <c r="AK26" s="131">
        <f t="shared" si="29"/>
        <v>0</v>
      </c>
      <c r="AL26" s="131">
        <f t="shared" si="29"/>
        <v>0</v>
      </c>
      <c r="AM26" s="131">
        <f t="shared" si="29"/>
        <v>0</v>
      </c>
      <c r="AN26" s="132">
        <v>1</v>
      </c>
      <c r="AO26" s="132">
        <f>IF(OR(GradeSheet!$M21="W (Withdrawn)", GradeSheet!$M21="I (Incomplete)"), 0, IF(AI26&gt;=55%, 1, 0))</f>
        <v>0</v>
      </c>
      <c r="AP26" s="132">
        <f>IF(OR(GradeSheet!$M21="W (Withdrawn)", GradeSheet!$M21="I (Incomplete)"), 0, IF(AJ26&gt;=55%, 1, 0))</f>
        <v>0</v>
      </c>
      <c r="AQ26" s="132">
        <f>IF(OR(GradeSheet!$M21="W (Withdrawn)", GradeSheet!$M21="I (Incomplete)"), 0, IF(AK26&gt;=55%, 1, 0))</f>
        <v>0</v>
      </c>
      <c r="AR26" s="132">
        <f>IF(OR(GradeSheet!$M21="W (Withdrawn)", GradeSheet!$M21="I (Incomplete)"), 0, IF(AL26&gt;=55%, 1, 0))</f>
        <v>0</v>
      </c>
      <c r="AS26" s="132">
        <f>IF(OR(GradeSheet!$M21="W (Withdrawn)", GradeSheet!$M21="I (Incomplete)"), 0, IF(AM26&gt;=55%, 1, 0))</f>
        <v>0</v>
      </c>
      <c r="AT26" s="114"/>
      <c r="AU26" s="133">
        <f t="shared" si="8"/>
        <v>0</v>
      </c>
      <c r="AV26" s="133">
        <f t="shared" si="9"/>
        <v>0</v>
      </c>
      <c r="AW26" s="133">
        <f t="array" ref="AW26">IF($AV$9=0,0,MMULT($AH26:$AM26, AV$3:AV$8)/$AV$9)</f>
        <v>0</v>
      </c>
      <c r="AX26" s="133">
        <f t="array" ref="AX26">IF($AW$9=0,0,MMULT($AH26:$AM26, AW$3:AW$8)/$AW$9)</f>
        <v>0</v>
      </c>
      <c r="AY26" s="133">
        <f t="shared" si="10"/>
        <v>0</v>
      </c>
      <c r="AZ26" s="133">
        <f t="array" ref="AZ26">IF($AY$9=0,0,MMULT($AH26:$AM26, AY$3:AY$8)/$AY$9)</f>
        <v>0</v>
      </c>
      <c r="BA26" s="133">
        <f t="array" ref="BA26">IF($AZ$9=0,0,MMULT($AH26:$AM26, AZ$3:AZ$8)/$AZ$9)</f>
        <v>0</v>
      </c>
      <c r="BB26" s="133">
        <f t="array" ref="BB26">IF($BA$9=0,0,MMULT($AH26:$AM26, BA$3:BA$8)/$BA$9)</f>
        <v>0</v>
      </c>
      <c r="BC26" s="133">
        <f t="array" ref="BC26">IF($BB$9=0,0,MMULT($AH26:$AM26, BB$3:BB$8)/$BB$9)</f>
        <v>0</v>
      </c>
      <c r="BD26" s="133">
        <f t="array" ref="BD26">IF($BC$9=0,0,MMULT($AH26:$AM26, BC$3:BC$8)/$BC$9)</f>
        <v>0</v>
      </c>
      <c r="BE26" s="133">
        <f t="shared" si="11"/>
        <v>0</v>
      </c>
      <c r="BF26" s="133">
        <f t="shared" si="12"/>
        <v>0</v>
      </c>
      <c r="BG26" s="132">
        <f>IF(OR(GradeSheet!$M21="W (Withdrawn)", GradeSheet!$M21="I (Incomplete)"), 0, IF(AU26&gt;=65%, 1, 0))</f>
        <v>0</v>
      </c>
      <c r="BH26" s="132">
        <f>IF(OR(GradeSheet!$M21="W (Withdrawn)", GradeSheet!$M21="I (Incomplete)"), 0, IF(AV26&gt;=65%, 1, 0))</f>
        <v>0</v>
      </c>
      <c r="BI26" s="132">
        <f>IF(OR(GradeSheet!$M21="W (Withdrawn)", GradeSheet!$M21="I (Incomplete)"), 0, IF(AW26&gt;=65%, 1, 0))</f>
        <v>0</v>
      </c>
      <c r="BJ26" s="132">
        <f>IF(OR(GradeSheet!$M21="W (Withdrawn)", GradeSheet!$M21="I (Incomplete)"), 0, IF(AX26&gt;=65%, 1, 0))</f>
        <v>0</v>
      </c>
      <c r="BK26" s="132">
        <f>IF(OR(GradeSheet!$M21="W (Withdrawn)", GradeSheet!$M21="I (Incomplete)"), 0, IF(AY26&gt;=65%, 1, 0))</f>
        <v>0</v>
      </c>
      <c r="BL26" s="132">
        <f>IF(OR(GradeSheet!$M21="W (Withdrawn)", GradeSheet!$M21="I (Incomplete)"), 0, IF(AZ26&gt;=65%, 1, 0))</f>
        <v>0</v>
      </c>
      <c r="BM26" s="132">
        <f>IF(OR(GradeSheet!$M21="W (Withdrawn)", GradeSheet!$M21="I (Incomplete)"), 0, IF(BA26&gt;=65%, 1, 0))</f>
        <v>0</v>
      </c>
      <c r="BN26" s="132">
        <f>IF(OR(GradeSheet!$M21="W (Withdrawn)", GradeSheet!$M21="I (Incomplete)"), 0, IF(BB26&gt;=65%, 1, 0))</f>
        <v>0</v>
      </c>
      <c r="BO26" s="132">
        <f>IF(OR(GradeSheet!$M21="W (Withdrawn)", GradeSheet!$M21="I (Incomplete)"), 0, IF(BC26&gt;=65%, 1, 0))</f>
        <v>0</v>
      </c>
      <c r="BP26" s="132">
        <f>IF(OR(GradeSheet!$M21="W (Withdrawn)", GradeSheet!$M21="I (Incomplete)"), 0, IF(BD26&gt;=65%, 1, 0))</f>
        <v>0</v>
      </c>
      <c r="BQ26" s="132">
        <f>IF(OR(GradeSheet!$M21="W (Withdrawn)", GradeSheet!$M21="I (Incomplete)"), 0, IF(BE26&gt;=65%, 1, 0))</f>
        <v>0</v>
      </c>
      <c r="BR26" s="132">
        <f>IF(OR(GradeSheet!$M21="W (Withdrawn)", GradeSheet!$M21="I (Incomplete)"), 0, IF(BF26&gt;=65%, 1, 0))</f>
        <v>0</v>
      </c>
    </row>
    <row r="27" spans="1:70" ht="15.75" customHeight="1">
      <c r="A27" s="128">
        <v>13</v>
      </c>
      <c r="B27" s="178">
        <f>GradeSheet!X22</f>
        <v>0</v>
      </c>
      <c r="C27" s="178">
        <f>GradeSheet!W22</f>
        <v>0</v>
      </c>
      <c r="D27" s="177">
        <v>0</v>
      </c>
      <c r="E27" s="177">
        <v>0</v>
      </c>
      <c r="F27" s="177">
        <v>0</v>
      </c>
      <c r="G27" s="177">
        <v>0</v>
      </c>
      <c r="H27" s="177">
        <v>0</v>
      </c>
      <c r="I27" s="177">
        <v>0</v>
      </c>
      <c r="J27" s="177">
        <v>0</v>
      </c>
      <c r="K27" s="177">
        <v>0</v>
      </c>
      <c r="L27" s="177">
        <v>0</v>
      </c>
      <c r="M27" s="177">
        <v>0</v>
      </c>
      <c r="N27" s="177">
        <v>0</v>
      </c>
      <c r="O27" s="177">
        <v>0</v>
      </c>
      <c r="P27" s="177">
        <v>0</v>
      </c>
      <c r="Q27" s="177">
        <v>0</v>
      </c>
      <c r="R27" s="177">
        <v>0</v>
      </c>
      <c r="S27" s="177">
        <v>0</v>
      </c>
      <c r="T27" s="177">
        <v>0</v>
      </c>
      <c r="U27" s="177">
        <v>0</v>
      </c>
      <c r="V27" s="177">
        <v>0</v>
      </c>
      <c r="W27" s="177">
        <v>0</v>
      </c>
      <c r="X27" s="177">
        <v>0</v>
      </c>
      <c r="Y27" s="177">
        <v>0</v>
      </c>
      <c r="Z27" s="177">
        <v>0</v>
      </c>
      <c r="AA27" s="177">
        <v>0</v>
      </c>
      <c r="AB27" s="129">
        <f t="shared" si="13"/>
        <v>0</v>
      </c>
      <c r="AC27" s="130">
        <f t="shared" si="14"/>
        <v>0</v>
      </c>
      <c r="AD27" s="130">
        <f t="shared" si="15"/>
        <v>0</v>
      </c>
      <c r="AE27" s="130">
        <f t="shared" si="16"/>
        <v>0</v>
      </c>
      <c r="AF27" s="130">
        <f t="shared" si="17"/>
        <v>0</v>
      </c>
      <c r="AG27" s="135">
        <f t="shared" si="18"/>
        <v>0</v>
      </c>
      <c r="AH27" s="131">
        <f t="shared" ref="AH27:AM27" si="30">IF(AB27 = 0, 0, AB27/AB$14)</f>
        <v>0</v>
      </c>
      <c r="AI27" s="131">
        <f t="shared" si="30"/>
        <v>0</v>
      </c>
      <c r="AJ27" s="131">
        <f t="shared" si="30"/>
        <v>0</v>
      </c>
      <c r="AK27" s="131">
        <f t="shared" si="30"/>
        <v>0</v>
      </c>
      <c r="AL27" s="131">
        <f t="shared" si="30"/>
        <v>0</v>
      </c>
      <c r="AM27" s="131">
        <f t="shared" si="30"/>
        <v>0</v>
      </c>
      <c r="AN27" s="132">
        <f>IF(OR(GradeSheet!$M22="W (Withdrawn)", GradeSheet!$M22="I (Incomplete)"), 0, IF(AH27&gt;=55%, 1, 0))</f>
        <v>0</v>
      </c>
      <c r="AO27" s="132">
        <f>IF(OR(GradeSheet!$M22="W (Withdrawn)", GradeSheet!$M22="I (Incomplete)"), 0, IF(AI27&gt;=55%, 1, 0))</f>
        <v>0</v>
      </c>
      <c r="AP27" s="132">
        <f>IF(OR(GradeSheet!$M22="W (Withdrawn)", GradeSheet!$M22="I (Incomplete)"), 0, IF(AJ27&gt;=55%, 1, 0))</f>
        <v>0</v>
      </c>
      <c r="AQ27" s="132">
        <f>IF(OR(GradeSheet!$M22="W (Withdrawn)", GradeSheet!$M22="I (Incomplete)"), 0, IF(AK27&gt;=55%, 1, 0))</f>
        <v>0</v>
      </c>
      <c r="AR27" s="132">
        <f>IF(OR(GradeSheet!$M22="W (Withdrawn)", GradeSheet!$M22="I (Incomplete)"), 0, IF(AL27&gt;=55%, 1, 0))</f>
        <v>0</v>
      </c>
      <c r="AS27" s="132">
        <f>IF(OR(GradeSheet!$M22="W (Withdrawn)", GradeSheet!$M22="I (Incomplete)"), 0, IF(AM27&gt;=55%, 1, 0))</f>
        <v>0</v>
      </c>
      <c r="AT27" s="114"/>
      <c r="AU27" s="133">
        <f t="shared" si="8"/>
        <v>0</v>
      </c>
      <c r="AV27" s="133">
        <f t="shared" si="9"/>
        <v>0</v>
      </c>
      <c r="AW27" s="133">
        <f t="array" ref="AW27">IF($AV$9=0,0,MMULT($AH27:$AM27, AV$3:AV$8)/$AV$9)</f>
        <v>0</v>
      </c>
      <c r="AX27" s="133">
        <f t="array" ref="AX27">IF($AW$9=0,0,MMULT($AH27:$AM27, AW$3:AW$8)/$AW$9)</f>
        <v>0</v>
      </c>
      <c r="AY27" s="133">
        <f t="shared" si="10"/>
        <v>0</v>
      </c>
      <c r="AZ27" s="133">
        <f t="array" ref="AZ27">IF($AY$9=0,0,MMULT($AH27:$AM27, AY$3:AY$8)/$AY$9)</f>
        <v>0</v>
      </c>
      <c r="BA27" s="133">
        <f t="array" ref="BA27">IF($AZ$9=0,0,MMULT($AH27:$AM27, AZ$3:AZ$8)/$AZ$9)</f>
        <v>0</v>
      </c>
      <c r="BB27" s="133">
        <f t="array" ref="BB27">IF($BA$9=0,0,MMULT($AH27:$AM27, BA$3:BA$8)/$BA$9)</f>
        <v>0</v>
      </c>
      <c r="BC27" s="133">
        <f t="array" ref="BC27">IF($BB$9=0,0,MMULT($AH27:$AM27, BB$3:BB$8)/$BB$9)</f>
        <v>0</v>
      </c>
      <c r="BD27" s="133">
        <f t="array" ref="BD27">IF($BC$9=0,0,MMULT($AH27:$AM27, BC$3:BC$8)/$BC$9)</f>
        <v>0</v>
      </c>
      <c r="BE27" s="133">
        <f t="shared" si="11"/>
        <v>0</v>
      </c>
      <c r="BF27" s="133">
        <f t="shared" si="12"/>
        <v>0</v>
      </c>
      <c r="BG27" s="132">
        <f>IF(OR(GradeSheet!$M22="W (Withdrawn)", GradeSheet!$M22="I (Incomplete)"), 0, IF(AU27&gt;=65%, 1, 0))</f>
        <v>0</v>
      </c>
      <c r="BH27" s="132">
        <f>IF(OR(GradeSheet!$M22="W (Withdrawn)", GradeSheet!$M22="I (Incomplete)"), 0, IF(AV27&gt;=65%, 1, 0))</f>
        <v>0</v>
      </c>
      <c r="BI27" s="132">
        <f>IF(OR(GradeSheet!$M22="W (Withdrawn)", GradeSheet!$M22="I (Incomplete)"), 0, IF(AW27&gt;=65%, 1, 0))</f>
        <v>0</v>
      </c>
      <c r="BJ27" s="132">
        <f>IF(OR(GradeSheet!$M22="W (Withdrawn)", GradeSheet!$M22="I (Incomplete)"), 0, IF(AX27&gt;=65%, 1, 0))</f>
        <v>0</v>
      </c>
      <c r="BK27" s="132">
        <f>IF(OR(GradeSheet!$M22="W (Withdrawn)", GradeSheet!$M22="I (Incomplete)"), 0, IF(AY27&gt;=65%, 1, 0))</f>
        <v>0</v>
      </c>
      <c r="BL27" s="132">
        <f>IF(OR(GradeSheet!$M22="W (Withdrawn)", GradeSheet!$M22="I (Incomplete)"), 0, IF(AZ27&gt;=65%, 1, 0))</f>
        <v>0</v>
      </c>
      <c r="BM27" s="132">
        <f>IF(OR(GradeSheet!$M22="W (Withdrawn)", GradeSheet!$M22="I (Incomplete)"), 0, IF(BA27&gt;=65%, 1, 0))</f>
        <v>0</v>
      </c>
      <c r="BN27" s="132">
        <f>IF(OR(GradeSheet!$M22="W (Withdrawn)", GradeSheet!$M22="I (Incomplete)"), 0, IF(BB27&gt;=65%, 1, 0))</f>
        <v>0</v>
      </c>
      <c r="BO27" s="132">
        <f>IF(OR(GradeSheet!$M22="W (Withdrawn)", GradeSheet!$M22="I (Incomplete)"), 0, IF(BC27&gt;=65%, 1, 0))</f>
        <v>0</v>
      </c>
      <c r="BP27" s="132">
        <f>IF(OR(GradeSheet!$M22="W (Withdrawn)", GradeSheet!$M22="I (Incomplete)"), 0, IF(BD27&gt;=65%, 1, 0))</f>
        <v>0</v>
      </c>
      <c r="BQ27" s="132">
        <f>IF(OR(GradeSheet!$M22="W (Withdrawn)", GradeSheet!$M22="I (Incomplete)"), 0, IF(BE27&gt;=65%, 1, 0))</f>
        <v>0</v>
      </c>
      <c r="BR27" s="132">
        <f>IF(OR(GradeSheet!$M22="W (Withdrawn)", GradeSheet!$M22="I (Incomplete)"), 0, IF(BF27&gt;=65%, 1, 0))</f>
        <v>0</v>
      </c>
    </row>
    <row r="28" spans="1:70" ht="15.75" customHeight="1">
      <c r="A28" s="134">
        <v>14</v>
      </c>
      <c r="B28" s="178">
        <f>GradeSheet!X23</f>
        <v>0</v>
      </c>
      <c r="C28" s="178">
        <f>GradeSheet!W23</f>
        <v>0</v>
      </c>
      <c r="D28" s="177">
        <v>0</v>
      </c>
      <c r="E28" s="177">
        <v>0</v>
      </c>
      <c r="F28" s="177">
        <v>0</v>
      </c>
      <c r="G28" s="177">
        <v>0</v>
      </c>
      <c r="H28" s="177">
        <v>0</v>
      </c>
      <c r="I28" s="177">
        <v>0</v>
      </c>
      <c r="J28" s="177">
        <v>0</v>
      </c>
      <c r="K28" s="177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  <c r="U28" s="177">
        <v>0</v>
      </c>
      <c r="V28" s="177">
        <v>0</v>
      </c>
      <c r="W28" s="177">
        <v>0</v>
      </c>
      <c r="X28" s="177">
        <v>0</v>
      </c>
      <c r="Y28" s="177">
        <v>0</v>
      </c>
      <c r="Z28" s="177">
        <v>0</v>
      </c>
      <c r="AA28" s="177">
        <v>0</v>
      </c>
      <c r="AB28" s="129">
        <f t="shared" si="13"/>
        <v>0</v>
      </c>
      <c r="AC28" s="130">
        <f t="shared" si="14"/>
        <v>0</v>
      </c>
      <c r="AD28" s="130">
        <f t="shared" si="15"/>
        <v>0</v>
      </c>
      <c r="AE28" s="130">
        <f t="shared" si="16"/>
        <v>0</v>
      </c>
      <c r="AF28" s="130">
        <f t="shared" si="17"/>
        <v>0</v>
      </c>
      <c r="AG28" s="135">
        <f t="shared" si="18"/>
        <v>0</v>
      </c>
      <c r="AH28" s="131">
        <f t="shared" ref="AH28:AM28" si="31">IF(AB28 = 0, 0, AB28/AB$14)</f>
        <v>0</v>
      </c>
      <c r="AI28" s="131">
        <f t="shared" si="31"/>
        <v>0</v>
      </c>
      <c r="AJ28" s="131">
        <f t="shared" si="31"/>
        <v>0</v>
      </c>
      <c r="AK28" s="131">
        <f t="shared" si="31"/>
        <v>0</v>
      </c>
      <c r="AL28" s="131">
        <f t="shared" si="31"/>
        <v>0</v>
      </c>
      <c r="AM28" s="131">
        <f t="shared" si="31"/>
        <v>0</v>
      </c>
      <c r="AN28" s="132">
        <f>IF(OR(GradeSheet!$M23="W (Withdrawn)", GradeSheet!$M23="I (Incomplete)"), 0, IF(AH28&gt;=55%, 1, 0))</f>
        <v>0</v>
      </c>
      <c r="AO28" s="132">
        <f>IF(OR(GradeSheet!$M23="W (Withdrawn)", GradeSheet!$M23="I (Incomplete)"), 0, IF(AI28&gt;=55%, 1, 0))</f>
        <v>0</v>
      </c>
      <c r="AP28" s="132">
        <f>IF(OR(GradeSheet!$M23="W (Withdrawn)", GradeSheet!$M23="I (Incomplete)"), 0, IF(AJ28&gt;=55%, 1, 0))</f>
        <v>0</v>
      </c>
      <c r="AQ28" s="132">
        <f>IF(OR(GradeSheet!$M23="W (Withdrawn)", GradeSheet!$M23="I (Incomplete)"), 0, IF(AK28&gt;=55%, 1, 0))</f>
        <v>0</v>
      </c>
      <c r="AR28" s="132">
        <f>IF(OR(GradeSheet!$M23="W (Withdrawn)", GradeSheet!$M23="I (Incomplete)"), 0, IF(AL28&gt;=55%, 1, 0))</f>
        <v>0</v>
      </c>
      <c r="AS28" s="132">
        <f>IF(OR(GradeSheet!$M23="W (Withdrawn)", GradeSheet!$M23="I (Incomplete)"), 0, IF(AM28&gt;=55%, 1, 0))</f>
        <v>0</v>
      </c>
      <c r="AT28" s="114"/>
      <c r="AU28" s="133">
        <f t="shared" si="8"/>
        <v>0</v>
      </c>
      <c r="AV28" s="133">
        <f t="shared" si="9"/>
        <v>0</v>
      </c>
      <c r="AW28" s="133">
        <f t="array" ref="AW28">IF($AV$9=0,0,MMULT($AH28:$AM28, AV$3:AV$8)/$AV$9)</f>
        <v>0</v>
      </c>
      <c r="AX28" s="133">
        <f t="array" ref="AX28">IF($AW$9=0,0,MMULT($AH28:$AM28, AW$3:AW$8)/$AW$9)</f>
        <v>0</v>
      </c>
      <c r="AY28" s="133">
        <f t="shared" si="10"/>
        <v>0</v>
      </c>
      <c r="AZ28" s="133">
        <f t="array" ref="AZ28">IF($AY$9=0,0,MMULT($AH28:$AM28, AY$3:AY$8)/$AY$9)</f>
        <v>0</v>
      </c>
      <c r="BA28" s="133">
        <f t="array" ref="BA28">IF($AZ$9=0,0,MMULT($AH28:$AM28, AZ$3:AZ$8)/$AZ$9)</f>
        <v>0</v>
      </c>
      <c r="BB28" s="133">
        <f t="array" ref="BB28">IF($BA$9=0,0,MMULT($AH28:$AM28, BA$3:BA$8)/$BA$9)</f>
        <v>0</v>
      </c>
      <c r="BC28" s="133">
        <f t="array" ref="BC28">IF($BB$9=0,0,MMULT($AH28:$AM28, BB$3:BB$8)/$BB$9)</f>
        <v>0</v>
      </c>
      <c r="BD28" s="133">
        <f t="array" ref="BD28">IF($BC$9=0,0,MMULT($AH28:$AM28, BC$3:BC$8)/$BC$9)</f>
        <v>0</v>
      </c>
      <c r="BE28" s="133">
        <f t="shared" si="11"/>
        <v>0</v>
      </c>
      <c r="BF28" s="133">
        <f t="shared" si="12"/>
        <v>0</v>
      </c>
      <c r="BG28" s="132">
        <f>IF(OR(GradeSheet!$M23="W (Withdrawn)", GradeSheet!$M23="I (Incomplete)"), 0, IF(AU28&gt;=65%, 1, 0))</f>
        <v>0</v>
      </c>
      <c r="BH28" s="132">
        <f>IF(OR(GradeSheet!$M23="W (Withdrawn)", GradeSheet!$M23="I (Incomplete)"), 0, IF(AV28&gt;=65%, 1, 0))</f>
        <v>0</v>
      </c>
      <c r="BI28" s="132">
        <f>IF(OR(GradeSheet!$M23="W (Withdrawn)", GradeSheet!$M23="I (Incomplete)"), 0, IF(AW28&gt;=65%, 1, 0))</f>
        <v>0</v>
      </c>
      <c r="BJ28" s="132">
        <f>IF(OR(GradeSheet!$M23="W (Withdrawn)", GradeSheet!$M23="I (Incomplete)"), 0, IF(AX28&gt;=65%, 1, 0))</f>
        <v>0</v>
      </c>
      <c r="BK28" s="132">
        <f>IF(OR(GradeSheet!$M23="W (Withdrawn)", GradeSheet!$M23="I (Incomplete)"), 0, IF(AY28&gt;=65%, 1, 0))</f>
        <v>0</v>
      </c>
      <c r="BL28" s="132">
        <f>IF(OR(GradeSheet!$M23="W (Withdrawn)", GradeSheet!$M23="I (Incomplete)"), 0, IF(AZ28&gt;=65%, 1, 0))</f>
        <v>0</v>
      </c>
      <c r="BM28" s="132">
        <f>IF(OR(GradeSheet!$M23="W (Withdrawn)", GradeSheet!$M23="I (Incomplete)"), 0, IF(BA28&gt;=65%, 1, 0))</f>
        <v>0</v>
      </c>
      <c r="BN28" s="132">
        <f>IF(OR(GradeSheet!$M23="W (Withdrawn)", GradeSheet!$M23="I (Incomplete)"), 0, IF(BB28&gt;=65%, 1, 0))</f>
        <v>0</v>
      </c>
      <c r="BO28" s="132">
        <f>IF(OR(GradeSheet!$M23="W (Withdrawn)", GradeSheet!$M23="I (Incomplete)"), 0, IF(BC28&gt;=65%, 1, 0))</f>
        <v>0</v>
      </c>
      <c r="BP28" s="132">
        <f>IF(OR(GradeSheet!$M23="W (Withdrawn)", GradeSheet!$M23="I (Incomplete)"), 0, IF(BD28&gt;=65%, 1, 0))</f>
        <v>0</v>
      </c>
      <c r="BQ28" s="132">
        <f>IF(OR(GradeSheet!$M23="W (Withdrawn)", GradeSheet!$M23="I (Incomplete)"), 0, IF(BE28&gt;=65%, 1, 0))</f>
        <v>0</v>
      </c>
      <c r="BR28" s="132">
        <f>IF(OR(GradeSheet!$M23="W (Withdrawn)", GradeSheet!$M23="I (Incomplete)"), 0, IF(BF28&gt;=65%, 1, 0))</f>
        <v>0</v>
      </c>
    </row>
    <row r="29" spans="1:70" ht="15.75" customHeight="1">
      <c r="A29" s="128">
        <v>15</v>
      </c>
      <c r="B29" s="178">
        <f>GradeSheet!X24</f>
        <v>0</v>
      </c>
      <c r="C29" s="178">
        <f>GradeSheet!W24</f>
        <v>0</v>
      </c>
      <c r="D29" s="177">
        <v>0</v>
      </c>
      <c r="E29" s="177">
        <v>0</v>
      </c>
      <c r="F29" s="177">
        <v>0</v>
      </c>
      <c r="G29" s="177">
        <v>0</v>
      </c>
      <c r="H29" s="177">
        <v>0</v>
      </c>
      <c r="I29" s="177">
        <v>0</v>
      </c>
      <c r="J29" s="177">
        <v>0</v>
      </c>
      <c r="K29" s="177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  <c r="U29" s="177">
        <v>0</v>
      </c>
      <c r="V29" s="177">
        <v>0</v>
      </c>
      <c r="W29" s="177">
        <v>0</v>
      </c>
      <c r="X29" s="177">
        <v>0</v>
      </c>
      <c r="Y29" s="177">
        <v>0</v>
      </c>
      <c r="Z29" s="177">
        <v>0</v>
      </c>
      <c r="AA29" s="177">
        <v>0</v>
      </c>
      <c r="AB29" s="129">
        <f t="shared" si="13"/>
        <v>0</v>
      </c>
      <c r="AC29" s="130">
        <f t="shared" si="14"/>
        <v>0</v>
      </c>
      <c r="AD29" s="130">
        <f t="shared" si="15"/>
        <v>0</v>
      </c>
      <c r="AE29" s="130">
        <f t="shared" si="16"/>
        <v>0</v>
      </c>
      <c r="AF29" s="130">
        <f t="shared" si="17"/>
        <v>0</v>
      </c>
      <c r="AG29" s="135">
        <f t="shared" si="18"/>
        <v>0</v>
      </c>
      <c r="AH29" s="131">
        <f t="shared" ref="AH29:AM29" si="32">IF(AB29 = 0, 0, AB29/AB$14)</f>
        <v>0</v>
      </c>
      <c r="AI29" s="131">
        <f t="shared" si="32"/>
        <v>0</v>
      </c>
      <c r="AJ29" s="131">
        <f t="shared" si="32"/>
        <v>0</v>
      </c>
      <c r="AK29" s="131">
        <f t="shared" si="32"/>
        <v>0</v>
      </c>
      <c r="AL29" s="131">
        <f t="shared" si="32"/>
        <v>0</v>
      </c>
      <c r="AM29" s="131">
        <f t="shared" si="32"/>
        <v>0</v>
      </c>
      <c r="AN29" s="132">
        <f>IF(OR(GradeSheet!$M24="W (Withdrawn)", GradeSheet!$M24="I (Incomplete)"), 0, IF(AH29&gt;=55%, 1, 0))</f>
        <v>0</v>
      </c>
      <c r="AO29" s="132">
        <f>IF(OR(GradeSheet!$M24="W (Withdrawn)", GradeSheet!$M24="I (Incomplete)"), 0, IF(AI29&gt;=55%, 1, 0))</f>
        <v>0</v>
      </c>
      <c r="AP29" s="132">
        <f>IF(OR(GradeSheet!$M24="W (Withdrawn)", GradeSheet!$M24="I (Incomplete)"), 0, IF(AJ29&gt;=55%, 1, 0))</f>
        <v>0</v>
      </c>
      <c r="AQ29" s="132">
        <f>IF(OR(GradeSheet!$M24="W (Withdrawn)", GradeSheet!$M24="I (Incomplete)"), 0, IF(AK29&gt;=55%, 1, 0))</f>
        <v>0</v>
      </c>
      <c r="AR29" s="132">
        <f>IF(OR(GradeSheet!$M24="W (Withdrawn)", GradeSheet!$M24="I (Incomplete)"), 0, IF(AL29&gt;=55%, 1, 0))</f>
        <v>0</v>
      </c>
      <c r="AS29" s="132">
        <f>IF(OR(GradeSheet!$M24="W (Withdrawn)", GradeSheet!$M24="I (Incomplete)"), 0, IF(AM29&gt;=55%, 1, 0))</f>
        <v>0</v>
      </c>
      <c r="AT29" s="114"/>
      <c r="AU29" s="133">
        <f t="shared" si="8"/>
        <v>0</v>
      </c>
      <c r="AV29" s="133">
        <f t="shared" si="9"/>
        <v>0</v>
      </c>
      <c r="AW29" s="133">
        <f t="array" ref="AW29">IF($AV$9=0,0,MMULT($AH29:$AM29, AV$3:AV$8)/$AV$9)</f>
        <v>0</v>
      </c>
      <c r="AX29" s="133">
        <f t="array" ref="AX29">IF($AW$9=0,0,MMULT($AH29:$AM29, AW$3:AW$8)/$AW$9)</f>
        <v>0</v>
      </c>
      <c r="AY29" s="133">
        <f t="shared" si="10"/>
        <v>0</v>
      </c>
      <c r="AZ29" s="133">
        <f t="array" ref="AZ29">IF($AY$9=0,0,MMULT($AH29:$AM29, AY$3:AY$8)/$AY$9)</f>
        <v>0</v>
      </c>
      <c r="BA29" s="133">
        <f t="array" ref="BA29">IF($AZ$9=0,0,MMULT($AH29:$AM29, AZ$3:AZ$8)/$AZ$9)</f>
        <v>0</v>
      </c>
      <c r="BB29" s="133">
        <f t="array" ref="BB29">IF($BA$9=0,0,MMULT($AH29:$AM29, BA$3:BA$8)/$BA$9)</f>
        <v>0</v>
      </c>
      <c r="BC29" s="133">
        <f t="array" ref="BC29">IF($BB$9=0,0,MMULT($AH29:$AM29, BB$3:BB$8)/$BB$9)</f>
        <v>0</v>
      </c>
      <c r="BD29" s="133">
        <f t="array" ref="BD29">IF($BC$9=0,0,MMULT($AH29:$AM29, BC$3:BC$8)/$BC$9)</f>
        <v>0</v>
      </c>
      <c r="BE29" s="133">
        <f t="shared" si="11"/>
        <v>0</v>
      </c>
      <c r="BF29" s="133">
        <f t="shared" si="12"/>
        <v>0</v>
      </c>
      <c r="BG29" s="132">
        <f>IF(OR(GradeSheet!$M24="W (Withdrawn)", GradeSheet!$M24="I (Incomplete)"), 0, IF(AU29&gt;=65%, 1, 0))</f>
        <v>0</v>
      </c>
      <c r="BH29" s="132">
        <f>IF(OR(GradeSheet!$M24="W (Withdrawn)", GradeSheet!$M24="I (Incomplete)"), 0, IF(AV29&gt;=65%, 1, 0))</f>
        <v>0</v>
      </c>
      <c r="BI29" s="132">
        <f>IF(OR(GradeSheet!$M24="W (Withdrawn)", GradeSheet!$M24="I (Incomplete)"), 0, IF(AW29&gt;=65%, 1, 0))</f>
        <v>0</v>
      </c>
      <c r="BJ29" s="132">
        <f>IF(OR(GradeSheet!$M24="W (Withdrawn)", GradeSheet!$M24="I (Incomplete)"), 0, IF(AX29&gt;=65%, 1, 0))</f>
        <v>0</v>
      </c>
      <c r="BK29" s="132">
        <f>IF(OR(GradeSheet!$M24="W (Withdrawn)", GradeSheet!$M24="I (Incomplete)"), 0, IF(AY29&gt;=65%, 1, 0))</f>
        <v>0</v>
      </c>
      <c r="BL29" s="132">
        <f>IF(OR(GradeSheet!$M24="W (Withdrawn)", GradeSheet!$M24="I (Incomplete)"), 0, IF(AZ29&gt;=65%, 1, 0))</f>
        <v>0</v>
      </c>
      <c r="BM29" s="132">
        <f>IF(OR(GradeSheet!$M24="W (Withdrawn)", GradeSheet!$M24="I (Incomplete)"), 0, IF(BA29&gt;=65%, 1, 0))</f>
        <v>0</v>
      </c>
      <c r="BN29" s="132">
        <f>IF(OR(GradeSheet!$M24="W (Withdrawn)", GradeSheet!$M24="I (Incomplete)"), 0, IF(BB29&gt;=65%, 1, 0))</f>
        <v>0</v>
      </c>
      <c r="BO29" s="132">
        <f>IF(OR(GradeSheet!$M24="W (Withdrawn)", GradeSheet!$M24="I (Incomplete)"), 0, IF(BC29&gt;=65%, 1, 0))</f>
        <v>0</v>
      </c>
      <c r="BP29" s="132">
        <f>IF(OR(GradeSheet!$M24="W (Withdrawn)", GradeSheet!$M24="I (Incomplete)"), 0, IF(BD29&gt;=65%, 1, 0))</f>
        <v>0</v>
      </c>
      <c r="BQ29" s="132">
        <f>IF(OR(GradeSheet!$M24="W (Withdrawn)", GradeSheet!$M24="I (Incomplete)"), 0, IF(BE29&gt;=65%, 1, 0))</f>
        <v>0</v>
      </c>
      <c r="BR29" s="132">
        <f>IF(OR(GradeSheet!$M24="W (Withdrawn)", GradeSheet!$M24="I (Incomplete)"), 0, IF(BF29&gt;=65%, 1, 0))</f>
        <v>0</v>
      </c>
    </row>
    <row r="30" spans="1:70" ht="15.75" customHeight="1">
      <c r="A30" s="134">
        <v>16</v>
      </c>
      <c r="B30" s="178">
        <f>GradeSheet!X25</f>
        <v>0</v>
      </c>
      <c r="C30" s="178">
        <f>GradeSheet!W25</f>
        <v>0</v>
      </c>
      <c r="D30" s="177">
        <v>0</v>
      </c>
      <c r="E30" s="177">
        <v>0</v>
      </c>
      <c r="F30" s="177">
        <v>0</v>
      </c>
      <c r="G30" s="177">
        <v>0</v>
      </c>
      <c r="H30" s="177">
        <v>0</v>
      </c>
      <c r="I30" s="177">
        <v>0</v>
      </c>
      <c r="J30" s="177">
        <v>0</v>
      </c>
      <c r="K30" s="177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  <c r="U30" s="177">
        <v>0</v>
      </c>
      <c r="V30" s="177">
        <v>0</v>
      </c>
      <c r="W30" s="177">
        <v>0</v>
      </c>
      <c r="X30" s="177">
        <v>0</v>
      </c>
      <c r="Y30" s="177">
        <v>0</v>
      </c>
      <c r="Z30" s="177">
        <v>0</v>
      </c>
      <c r="AA30" s="177">
        <v>0</v>
      </c>
      <c r="AB30" s="129">
        <f t="shared" si="13"/>
        <v>0</v>
      </c>
      <c r="AC30" s="130">
        <f t="shared" si="14"/>
        <v>0</v>
      </c>
      <c r="AD30" s="130">
        <f t="shared" si="15"/>
        <v>0</v>
      </c>
      <c r="AE30" s="130">
        <f t="shared" si="16"/>
        <v>0</v>
      </c>
      <c r="AF30" s="130">
        <f t="shared" si="17"/>
        <v>0</v>
      </c>
      <c r="AG30" s="135">
        <f t="shared" si="18"/>
        <v>0</v>
      </c>
      <c r="AH30" s="131">
        <f t="shared" ref="AH30:AM30" si="33">IF(AB30 = 0, 0, AB30/AB$14)</f>
        <v>0</v>
      </c>
      <c r="AI30" s="131">
        <f t="shared" si="33"/>
        <v>0</v>
      </c>
      <c r="AJ30" s="131">
        <f t="shared" si="33"/>
        <v>0</v>
      </c>
      <c r="AK30" s="131">
        <f t="shared" si="33"/>
        <v>0</v>
      </c>
      <c r="AL30" s="131">
        <f t="shared" si="33"/>
        <v>0</v>
      </c>
      <c r="AM30" s="131">
        <f t="shared" si="33"/>
        <v>0</v>
      </c>
      <c r="AN30" s="132">
        <f>IF(OR(GradeSheet!$M25="W (Withdrawn)", GradeSheet!$M25="I (Incomplete)"), 0, IF(AH30&gt;=55%, 1, 0))</f>
        <v>0</v>
      </c>
      <c r="AO30" s="132">
        <f>IF(OR(GradeSheet!$M25="W (Withdrawn)", GradeSheet!$M25="I (Incomplete)"), 0, IF(AI30&gt;=55%, 1, 0))</f>
        <v>0</v>
      </c>
      <c r="AP30" s="132">
        <f>IF(OR(GradeSheet!$M25="W (Withdrawn)", GradeSheet!$M25="I (Incomplete)"), 0, IF(AJ30&gt;=55%, 1, 0))</f>
        <v>0</v>
      </c>
      <c r="AQ30" s="132">
        <f>IF(OR(GradeSheet!$M25="W (Withdrawn)", GradeSheet!$M25="I (Incomplete)"), 0, IF(AK30&gt;=55%, 1, 0))</f>
        <v>0</v>
      </c>
      <c r="AR30" s="132">
        <f>IF(OR(GradeSheet!$M25="W (Withdrawn)", GradeSheet!$M25="I (Incomplete)"), 0, IF(AL30&gt;=55%, 1, 0))</f>
        <v>0</v>
      </c>
      <c r="AS30" s="132">
        <f>IF(OR(GradeSheet!$M25="W (Withdrawn)", GradeSheet!$M25="I (Incomplete)"), 0, IF(AM30&gt;=55%, 1, 0))</f>
        <v>0</v>
      </c>
      <c r="AT30" s="114"/>
      <c r="AU30" s="133">
        <f t="shared" si="8"/>
        <v>0</v>
      </c>
      <c r="AV30" s="133">
        <f t="shared" si="9"/>
        <v>0</v>
      </c>
      <c r="AW30" s="133">
        <f t="array" ref="AW30">IF($AV$9=0,0,MMULT($AH30:$AM30, AV$3:AV$8)/$AV$9)</f>
        <v>0</v>
      </c>
      <c r="AX30" s="133">
        <f t="array" ref="AX30">IF($AW$9=0,0,MMULT($AH30:$AM30, AW$3:AW$8)/$AW$9)</f>
        <v>0</v>
      </c>
      <c r="AY30" s="133">
        <f t="shared" si="10"/>
        <v>0</v>
      </c>
      <c r="AZ30" s="133">
        <f t="array" ref="AZ30">IF($AY$9=0,0,MMULT($AH30:$AM30, AY$3:AY$8)/$AY$9)</f>
        <v>0</v>
      </c>
      <c r="BA30" s="133">
        <f t="array" ref="BA30">IF($AZ$9=0,0,MMULT($AH30:$AM30, AZ$3:AZ$8)/$AZ$9)</f>
        <v>0</v>
      </c>
      <c r="BB30" s="133">
        <f t="array" ref="BB30">IF($BA$9=0,0,MMULT($AH30:$AM30, BA$3:BA$8)/$BA$9)</f>
        <v>0</v>
      </c>
      <c r="BC30" s="133">
        <f t="array" ref="BC30">IF($BB$9=0,0,MMULT($AH30:$AM30, BB$3:BB$8)/$BB$9)</f>
        <v>0</v>
      </c>
      <c r="BD30" s="133">
        <f t="array" ref="BD30">IF($BC$9=0,0,MMULT($AH30:$AM30, BC$3:BC$8)/$BC$9)</f>
        <v>0</v>
      </c>
      <c r="BE30" s="133">
        <f t="shared" si="11"/>
        <v>0</v>
      </c>
      <c r="BF30" s="133">
        <f t="shared" si="12"/>
        <v>0</v>
      </c>
      <c r="BG30" s="132">
        <f>IF(OR(GradeSheet!$M25="W (Withdrawn)", GradeSheet!$M25="I (Incomplete)"), 0, IF(AU30&gt;=65%, 1, 0))</f>
        <v>0</v>
      </c>
      <c r="BH30" s="132">
        <f>IF(OR(GradeSheet!$M25="W (Withdrawn)", GradeSheet!$M25="I (Incomplete)"), 0, IF(AV30&gt;=65%, 1, 0))</f>
        <v>0</v>
      </c>
      <c r="BI30" s="132">
        <f>IF(OR(GradeSheet!$M25="W (Withdrawn)", GradeSheet!$M25="I (Incomplete)"), 0, IF(AW30&gt;=65%, 1, 0))</f>
        <v>0</v>
      </c>
      <c r="BJ30" s="132">
        <f>IF(OR(GradeSheet!$M25="W (Withdrawn)", GradeSheet!$M25="I (Incomplete)"), 0, IF(AX30&gt;=65%, 1, 0))</f>
        <v>0</v>
      </c>
      <c r="BK30" s="132">
        <f>IF(OR(GradeSheet!$M25="W (Withdrawn)", GradeSheet!$M25="I (Incomplete)"), 0, IF(AY30&gt;=65%, 1, 0))</f>
        <v>0</v>
      </c>
      <c r="BL30" s="132">
        <f>IF(OR(GradeSheet!$M25="W (Withdrawn)", GradeSheet!$M25="I (Incomplete)"), 0, IF(AZ30&gt;=65%, 1, 0))</f>
        <v>0</v>
      </c>
      <c r="BM30" s="132">
        <f>IF(OR(GradeSheet!$M25="W (Withdrawn)", GradeSheet!$M25="I (Incomplete)"), 0, IF(BA30&gt;=65%, 1, 0))</f>
        <v>0</v>
      </c>
      <c r="BN30" s="132">
        <f>IF(OR(GradeSheet!$M25="W (Withdrawn)", GradeSheet!$M25="I (Incomplete)"), 0, IF(BB30&gt;=65%, 1, 0))</f>
        <v>0</v>
      </c>
      <c r="BO30" s="132">
        <f>IF(OR(GradeSheet!$M25="W (Withdrawn)", GradeSheet!$M25="I (Incomplete)"), 0, IF(BC30&gt;=65%, 1, 0))</f>
        <v>0</v>
      </c>
      <c r="BP30" s="132">
        <f>IF(OR(GradeSheet!$M25="W (Withdrawn)", GradeSheet!$M25="I (Incomplete)"), 0, IF(BD30&gt;=65%, 1, 0))</f>
        <v>0</v>
      </c>
      <c r="BQ30" s="132">
        <f>IF(OR(GradeSheet!$M25="W (Withdrawn)", GradeSheet!$M25="I (Incomplete)"), 0, IF(BE30&gt;=65%, 1, 0))</f>
        <v>0</v>
      </c>
      <c r="BR30" s="132">
        <f>IF(OR(GradeSheet!$M25="W (Withdrawn)", GradeSheet!$M25="I (Incomplete)"), 0, IF(BF30&gt;=65%, 1, 0))</f>
        <v>0</v>
      </c>
    </row>
    <row r="31" spans="1:70" ht="15.75" customHeight="1">
      <c r="A31" s="128">
        <v>17</v>
      </c>
      <c r="B31" s="178">
        <f>GradeSheet!X26</f>
        <v>0</v>
      </c>
      <c r="C31" s="178">
        <f>GradeSheet!W26</f>
        <v>0</v>
      </c>
      <c r="D31" s="177">
        <v>0</v>
      </c>
      <c r="E31" s="177">
        <v>0</v>
      </c>
      <c r="F31" s="177">
        <v>0</v>
      </c>
      <c r="G31" s="177">
        <v>0</v>
      </c>
      <c r="H31" s="177">
        <v>0</v>
      </c>
      <c r="I31" s="177">
        <v>0</v>
      </c>
      <c r="J31" s="177">
        <v>0</v>
      </c>
      <c r="K31" s="177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  <c r="U31" s="177">
        <v>0</v>
      </c>
      <c r="V31" s="177">
        <v>0</v>
      </c>
      <c r="W31" s="177">
        <v>0</v>
      </c>
      <c r="X31" s="177">
        <v>0</v>
      </c>
      <c r="Y31" s="177">
        <v>0</v>
      </c>
      <c r="Z31" s="177">
        <v>0</v>
      </c>
      <c r="AA31" s="177">
        <v>0</v>
      </c>
      <c r="AB31" s="129">
        <f t="shared" si="13"/>
        <v>0</v>
      </c>
      <c r="AC31" s="130">
        <f t="shared" si="14"/>
        <v>0</v>
      </c>
      <c r="AD31" s="130">
        <f t="shared" si="15"/>
        <v>0</v>
      </c>
      <c r="AE31" s="130">
        <f t="shared" si="16"/>
        <v>0</v>
      </c>
      <c r="AF31" s="130">
        <f t="shared" si="17"/>
        <v>0</v>
      </c>
      <c r="AG31" s="135">
        <f t="shared" si="18"/>
        <v>0</v>
      </c>
      <c r="AH31" s="131">
        <f t="shared" ref="AH31:AM31" si="34">IF(AB31 = 0, 0, AB31/AB$14)</f>
        <v>0</v>
      </c>
      <c r="AI31" s="131">
        <f t="shared" si="34"/>
        <v>0</v>
      </c>
      <c r="AJ31" s="131">
        <f t="shared" si="34"/>
        <v>0</v>
      </c>
      <c r="AK31" s="131">
        <f t="shared" si="34"/>
        <v>0</v>
      </c>
      <c r="AL31" s="131">
        <f t="shared" si="34"/>
        <v>0</v>
      </c>
      <c r="AM31" s="131">
        <f t="shared" si="34"/>
        <v>0</v>
      </c>
      <c r="AN31" s="132">
        <v>1</v>
      </c>
      <c r="AO31" s="132">
        <f>IF(OR(GradeSheet!$M26="W (Withdrawn)", GradeSheet!$M26="I (Incomplete)"), 0, IF(AI31&gt;=55%, 1, 0))</f>
        <v>0</v>
      </c>
      <c r="AP31" s="132">
        <f>IF(OR(GradeSheet!$M26="W (Withdrawn)", GradeSheet!$M26="I (Incomplete)"), 0, IF(AJ31&gt;=55%, 1, 0))</f>
        <v>0</v>
      </c>
      <c r="AQ31" s="132">
        <f>IF(OR(GradeSheet!$M26="W (Withdrawn)", GradeSheet!$M26="I (Incomplete)"), 0, IF(AK31&gt;=55%, 1, 0))</f>
        <v>0</v>
      </c>
      <c r="AR31" s="132">
        <f>IF(OR(GradeSheet!$M26="W (Withdrawn)", GradeSheet!$M26="I (Incomplete)"), 0, IF(AL31&gt;=55%, 1, 0))</f>
        <v>0</v>
      </c>
      <c r="AS31" s="132">
        <f>IF(OR(GradeSheet!$M26="W (Withdrawn)", GradeSheet!$M26="I (Incomplete)"), 0, IF(AM31&gt;=55%, 1, 0))</f>
        <v>0</v>
      </c>
      <c r="AT31" s="114"/>
      <c r="AU31" s="133">
        <f t="shared" si="8"/>
        <v>0</v>
      </c>
      <c r="AV31" s="133">
        <f t="shared" si="9"/>
        <v>0</v>
      </c>
      <c r="AW31" s="133">
        <f t="array" ref="AW31">IF($AV$9=0,0,MMULT($AH31:$AM31, AV$3:AV$8)/$AV$9)</f>
        <v>0</v>
      </c>
      <c r="AX31" s="133">
        <f t="array" ref="AX31">IF($AW$9=0,0,MMULT($AH31:$AM31, AW$3:AW$8)/$AW$9)</f>
        <v>0</v>
      </c>
      <c r="AY31" s="133">
        <f t="shared" si="10"/>
        <v>0</v>
      </c>
      <c r="AZ31" s="133">
        <f t="array" ref="AZ31">IF($AY$9=0,0,MMULT($AH31:$AM31, AY$3:AY$8)/$AY$9)</f>
        <v>0</v>
      </c>
      <c r="BA31" s="133">
        <f t="array" ref="BA31">IF($AZ$9=0,0,MMULT($AH31:$AM31, AZ$3:AZ$8)/$AZ$9)</f>
        <v>0</v>
      </c>
      <c r="BB31" s="133">
        <f t="array" ref="BB31">IF($BA$9=0,0,MMULT($AH31:$AM31, BA$3:BA$8)/$BA$9)</f>
        <v>0</v>
      </c>
      <c r="BC31" s="133">
        <f t="array" ref="BC31">IF($BB$9=0,0,MMULT($AH31:$AM31, BB$3:BB$8)/$BB$9)</f>
        <v>0</v>
      </c>
      <c r="BD31" s="133">
        <f t="array" ref="BD31">IF($BC$9=0,0,MMULT($AH31:$AM31, BC$3:BC$8)/$BC$9)</f>
        <v>0</v>
      </c>
      <c r="BE31" s="133">
        <f t="shared" si="11"/>
        <v>0</v>
      </c>
      <c r="BF31" s="133">
        <f t="shared" si="12"/>
        <v>0</v>
      </c>
      <c r="BG31" s="132">
        <f>IF(OR(GradeSheet!$M26="W (Withdrawn)", GradeSheet!$M26="I (Incomplete)"), 0, IF(AU31&gt;=65%, 1, 0))</f>
        <v>0</v>
      </c>
      <c r="BH31" s="132">
        <f>IF(OR(GradeSheet!$M26="W (Withdrawn)", GradeSheet!$M26="I (Incomplete)"), 0, IF(AV31&gt;=65%, 1, 0))</f>
        <v>0</v>
      </c>
      <c r="BI31" s="132">
        <f>IF(OR(GradeSheet!$M26="W (Withdrawn)", GradeSheet!$M26="I (Incomplete)"), 0, IF(AW31&gt;=65%, 1, 0))</f>
        <v>0</v>
      </c>
      <c r="BJ31" s="132">
        <f>IF(OR(GradeSheet!$M26="W (Withdrawn)", GradeSheet!$M26="I (Incomplete)"), 0, IF(AX31&gt;=65%, 1, 0))</f>
        <v>0</v>
      </c>
      <c r="BK31" s="132">
        <f>IF(OR(GradeSheet!$M26="W (Withdrawn)", GradeSheet!$M26="I (Incomplete)"), 0, IF(AY31&gt;=65%, 1, 0))</f>
        <v>0</v>
      </c>
      <c r="BL31" s="132">
        <f>IF(OR(GradeSheet!$M26="W (Withdrawn)", GradeSheet!$M26="I (Incomplete)"), 0, IF(AZ31&gt;=65%, 1, 0))</f>
        <v>0</v>
      </c>
      <c r="BM31" s="132">
        <f>IF(OR(GradeSheet!$M26="W (Withdrawn)", GradeSheet!$M26="I (Incomplete)"), 0, IF(BA31&gt;=65%, 1, 0))</f>
        <v>0</v>
      </c>
      <c r="BN31" s="132">
        <f>IF(OR(GradeSheet!$M26="W (Withdrawn)", GradeSheet!$M26="I (Incomplete)"), 0, IF(BB31&gt;=65%, 1, 0))</f>
        <v>0</v>
      </c>
      <c r="BO31" s="132">
        <f>IF(OR(GradeSheet!$M26="W (Withdrawn)", GradeSheet!$M26="I (Incomplete)"), 0, IF(BC31&gt;=65%, 1, 0))</f>
        <v>0</v>
      </c>
      <c r="BP31" s="132">
        <f>IF(OR(GradeSheet!$M26="W (Withdrawn)", GradeSheet!$M26="I (Incomplete)"), 0, IF(BD31&gt;=65%, 1, 0))</f>
        <v>0</v>
      </c>
      <c r="BQ31" s="132">
        <f>IF(OR(GradeSheet!$M26="W (Withdrawn)", GradeSheet!$M26="I (Incomplete)"), 0, IF(BE31&gt;=65%, 1, 0))</f>
        <v>0</v>
      </c>
      <c r="BR31" s="132">
        <f>IF(OR(GradeSheet!$M26="W (Withdrawn)", GradeSheet!$M26="I (Incomplete)"), 0, IF(BF31&gt;=65%, 1, 0))</f>
        <v>0</v>
      </c>
    </row>
    <row r="32" spans="1:70" ht="15.75" customHeight="1">
      <c r="A32" s="134">
        <v>18</v>
      </c>
      <c r="B32" s="178">
        <f>GradeSheet!X27</f>
        <v>0</v>
      </c>
      <c r="C32" s="178">
        <f>GradeSheet!W27</f>
        <v>0</v>
      </c>
      <c r="D32" s="177">
        <v>0</v>
      </c>
      <c r="E32" s="177">
        <v>0</v>
      </c>
      <c r="F32" s="177">
        <v>0</v>
      </c>
      <c r="G32" s="177">
        <v>0</v>
      </c>
      <c r="H32" s="177">
        <v>0</v>
      </c>
      <c r="I32" s="177">
        <v>0</v>
      </c>
      <c r="J32" s="177">
        <v>0</v>
      </c>
      <c r="K32" s="177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  <c r="U32" s="177">
        <v>0</v>
      </c>
      <c r="V32" s="177">
        <v>0</v>
      </c>
      <c r="W32" s="177">
        <v>0</v>
      </c>
      <c r="X32" s="177">
        <v>0</v>
      </c>
      <c r="Y32" s="177">
        <v>0</v>
      </c>
      <c r="Z32" s="177">
        <v>0</v>
      </c>
      <c r="AA32" s="177">
        <v>0</v>
      </c>
      <c r="AB32" s="129">
        <f t="shared" si="13"/>
        <v>0</v>
      </c>
      <c r="AC32" s="130">
        <f t="shared" si="14"/>
        <v>0</v>
      </c>
      <c r="AD32" s="130">
        <f t="shared" si="15"/>
        <v>0</v>
      </c>
      <c r="AE32" s="130">
        <f t="shared" si="16"/>
        <v>0</v>
      </c>
      <c r="AF32" s="130">
        <f t="shared" si="17"/>
        <v>0</v>
      </c>
      <c r="AG32" s="135">
        <f t="shared" si="18"/>
        <v>0</v>
      </c>
      <c r="AH32" s="131">
        <f t="shared" ref="AH32:AM32" si="35">IF(AB32 = 0, 0, AB32/AB$14)</f>
        <v>0</v>
      </c>
      <c r="AI32" s="131">
        <f t="shared" si="35"/>
        <v>0</v>
      </c>
      <c r="AJ32" s="131">
        <f t="shared" si="35"/>
        <v>0</v>
      </c>
      <c r="AK32" s="131">
        <f t="shared" si="35"/>
        <v>0</v>
      </c>
      <c r="AL32" s="131">
        <f t="shared" si="35"/>
        <v>0</v>
      </c>
      <c r="AM32" s="131">
        <f t="shared" si="35"/>
        <v>0</v>
      </c>
      <c r="AN32" s="132">
        <f>IF(OR(GradeSheet!$M27="W (Withdrawn)", GradeSheet!$M27="I (Incomplete)"), 0, IF(AH32&gt;=55%, 1, 0))</f>
        <v>0</v>
      </c>
      <c r="AO32" s="132">
        <f>IF(OR(GradeSheet!$M27="W (Withdrawn)", GradeSheet!$M27="I (Incomplete)"), 0, IF(AI32&gt;=55%, 1, 0))</f>
        <v>0</v>
      </c>
      <c r="AP32" s="132">
        <f>IF(OR(GradeSheet!$M27="W (Withdrawn)", GradeSheet!$M27="I (Incomplete)"), 0, IF(AJ32&gt;=55%, 1, 0))</f>
        <v>0</v>
      </c>
      <c r="AQ32" s="132">
        <f>IF(OR(GradeSheet!$M27="W (Withdrawn)", GradeSheet!$M27="I (Incomplete)"), 0, IF(AK32&gt;=55%, 1, 0))</f>
        <v>0</v>
      </c>
      <c r="AR32" s="132">
        <f>IF(OR(GradeSheet!$M27="W (Withdrawn)", GradeSheet!$M27="I (Incomplete)"), 0, IF(AL32&gt;=55%, 1, 0))</f>
        <v>0</v>
      </c>
      <c r="AS32" s="132">
        <f>IF(OR(GradeSheet!$M27="W (Withdrawn)", GradeSheet!$M27="I (Incomplete)"), 0, IF(AM32&gt;=55%, 1, 0))</f>
        <v>0</v>
      </c>
      <c r="AT32" s="114"/>
      <c r="AU32" s="133">
        <f t="shared" si="8"/>
        <v>0</v>
      </c>
      <c r="AV32" s="133">
        <f t="shared" si="9"/>
        <v>0</v>
      </c>
      <c r="AW32" s="133">
        <f t="array" ref="AW32">IF($AV$9=0,0,MMULT($AH32:$AM32, AV$3:AV$8)/$AV$9)</f>
        <v>0</v>
      </c>
      <c r="AX32" s="133">
        <f t="array" ref="AX32">IF($AW$9=0,0,MMULT($AH32:$AM32, AW$3:AW$8)/$AW$9)</f>
        <v>0</v>
      </c>
      <c r="AY32" s="133">
        <f t="shared" si="10"/>
        <v>0</v>
      </c>
      <c r="AZ32" s="133">
        <f t="array" ref="AZ32">IF($AY$9=0,0,MMULT($AH32:$AM32, AY$3:AY$8)/$AY$9)</f>
        <v>0</v>
      </c>
      <c r="BA32" s="133">
        <f t="array" ref="BA32">IF($AZ$9=0,0,MMULT($AH32:$AM32, AZ$3:AZ$8)/$AZ$9)</f>
        <v>0</v>
      </c>
      <c r="BB32" s="133">
        <f t="array" ref="BB32">IF($BA$9=0,0,MMULT($AH32:$AM32, BA$3:BA$8)/$BA$9)</f>
        <v>0</v>
      </c>
      <c r="BC32" s="133">
        <f t="array" ref="BC32">IF($BB$9=0,0,MMULT($AH32:$AM32, BB$3:BB$8)/$BB$9)</f>
        <v>0</v>
      </c>
      <c r="BD32" s="133">
        <f t="array" ref="BD32">IF($BC$9=0,0,MMULT($AH32:$AM32, BC$3:BC$8)/$BC$9)</f>
        <v>0</v>
      </c>
      <c r="BE32" s="133">
        <f t="shared" si="11"/>
        <v>0</v>
      </c>
      <c r="BF32" s="133">
        <f t="shared" si="12"/>
        <v>0</v>
      </c>
      <c r="BG32" s="132">
        <f>IF(OR(GradeSheet!$M27="W (Withdrawn)", GradeSheet!$M27="I (Incomplete)"), 0, IF(AU32&gt;=65%, 1, 0))</f>
        <v>0</v>
      </c>
      <c r="BH32" s="132">
        <f>IF(OR(GradeSheet!$M27="W (Withdrawn)", GradeSheet!$M27="I (Incomplete)"), 0, IF(AV32&gt;=65%, 1, 0))</f>
        <v>0</v>
      </c>
      <c r="BI32" s="132">
        <f>IF(OR(GradeSheet!$M27="W (Withdrawn)", GradeSheet!$M27="I (Incomplete)"), 0, IF(AW32&gt;=65%, 1, 0))</f>
        <v>0</v>
      </c>
      <c r="BJ32" s="132">
        <f>IF(OR(GradeSheet!$M27="W (Withdrawn)", GradeSheet!$M27="I (Incomplete)"), 0, IF(AX32&gt;=65%, 1, 0))</f>
        <v>0</v>
      </c>
      <c r="BK32" s="132">
        <f>IF(OR(GradeSheet!$M27="W (Withdrawn)", GradeSheet!$M27="I (Incomplete)"), 0, IF(AY32&gt;=65%, 1, 0))</f>
        <v>0</v>
      </c>
      <c r="BL32" s="132">
        <f>IF(OR(GradeSheet!$M27="W (Withdrawn)", GradeSheet!$M27="I (Incomplete)"), 0, IF(AZ32&gt;=65%, 1, 0))</f>
        <v>0</v>
      </c>
      <c r="BM32" s="132">
        <f>IF(OR(GradeSheet!$M27="W (Withdrawn)", GradeSheet!$M27="I (Incomplete)"), 0, IF(BA32&gt;=65%, 1, 0))</f>
        <v>0</v>
      </c>
      <c r="BN32" s="132">
        <f>IF(OR(GradeSheet!$M27="W (Withdrawn)", GradeSheet!$M27="I (Incomplete)"), 0, IF(BB32&gt;=65%, 1, 0))</f>
        <v>0</v>
      </c>
      <c r="BO32" s="132">
        <f>IF(OR(GradeSheet!$M27="W (Withdrawn)", GradeSheet!$M27="I (Incomplete)"), 0, IF(BC32&gt;=65%, 1, 0))</f>
        <v>0</v>
      </c>
      <c r="BP32" s="132">
        <f>IF(OR(GradeSheet!$M27="W (Withdrawn)", GradeSheet!$M27="I (Incomplete)"), 0, IF(BD32&gt;=65%, 1, 0))</f>
        <v>0</v>
      </c>
      <c r="BQ32" s="132">
        <f>IF(OR(GradeSheet!$M27="W (Withdrawn)", GradeSheet!$M27="I (Incomplete)"), 0, IF(BE32&gt;=65%, 1, 0))</f>
        <v>0</v>
      </c>
      <c r="BR32" s="132">
        <f>IF(OR(GradeSheet!$M27="W (Withdrawn)", GradeSheet!$M27="I (Incomplete)"), 0, IF(BF32&gt;=65%, 1, 0))</f>
        <v>0</v>
      </c>
    </row>
    <row r="33" spans="1:70" ht="15.75" customHeight="1">
      <c r="A33" s="128">
        <v>19</v>
      </c>
      <c r="B33" s="178">
        <f>GradeSheet!X28</f>
        <v>0</v>
      </c>
      <c r="C33" s="178">
        <f>GradeSheet!W28</f>
        <v>0</v>
      </c>
      <c r="D33" s="177">
        <v>0</v>
      </c>
      <c r="E33" s="177">
        <v>0</v>
      </c>
      <c r="F33" s="177">
        <v>0</v>
      </c>
      <c r="G33" s="177">
        <v>0</v>
      </c>
      <c r="H33" s="177">
        <v>0</v>
      </c>
      <c r="I33" s="177">
        <v>0</v>
      </c>
      <c r="J33" s="177">
        <v>0</v>
      </c>
      <c r="K33" s="177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  <c r="U33" s="177">
        <v>0</v>
      </c>
      <c r="V33" s="177">
        <v>0</v>
      </c>
      <c r="W33" s="177">
        <v>0</v>
      </c>
      <c r="X33" s="177">
        <v>0</v>
      </c>
      <c r="Y33" s="177">
        <v>0</v>
      </c>
      <c r="Z33" s="177">
        <v>0</v>
      </c>
      <c r="AA33" s="177">
        <v>0</v>
      </c>
      <c r="AB33" s="129">
        <f t="shared" si="13"/>
        <v>0</v>
      </c>
      <c r="AC33" s="130">
        <f t="shared" si="14"/>
        <v>0</v>
      </c>
      <c r="AD33" s="130">
        <f t="shared" si="15"/>
        <v>0</v>
      </c>
      <c r="AE33" s="130">
        <f t="shared" si="16"/>
        <v>0</v>
      </c>
      <c r="AF33" s="130">
        <f t="shared" si="17"/>
        <v>0</v>
      </c>
      <c r="AG33" s="135">
        <f t="shared" si="18"/>
        <v>0</v>
      </c>
      <c r="AH33" s="131">
        <f t="shared" ref="AH33:AM33" si="36">IF(AB33 = 0, 0, AB33/AB$14)</f>
        <v>0</v>
      </c>
      <c r="AI33" s="131">
        <f t="shared" si="36"/>
        <v>0</v>
      </c>
      <c r="AJ33" s="131">
        <f t="shared" si="36"/>
        <v>0</v>
      </c>
      <c r="AK33" s="131">
        <f t="shared" si="36"/>
        <v>0</v>
      </c>
      <c r="AL33" s="131">
        <f t="shared" si="36"/>
        <v>0</v>
      </c>
      <c r="AM33" s="131">
        <f t="shared" si="36"/>
        <v>0</v>
      </c>
      <c r="AN33" s="132">
        <f>IF(OR(GradeSheet!$M28="W (Withdrawn)", GradeSheet!$M28="I (Incomplete)"), 0, IF(AH33&gt;=55%, 1, 0))</f>
        <v>0</v>
      </c>
      <c r="AO33" s="132">
        <f>IF(OR(GradeSheet!$M28="W (Withdrawn)", GradeSheet!$M28="I (Incomplete)"), 0, IF(AI33&gt;=55%, 1, 0))</f>
        <v>0</v>
      </c>
      <c r="AP33" s="132">
        <f>IF(OR(GradeSheet!$M28="W (Withdrawn)", GradeSheet!$M28="I (Incomplete)"), 0, IF(AJ33&gt;=55%, 1, 0))</f>
        <v>0</v>
      </c>
      <c r="AQ33" s="132">
        <f>IF(OR(GradeSheet!$M28="W (Withdrawn)", GradeSheet!$M28="I (Incomplete)"), 0, IF(AK33&gt;=55%, 1, 0))</f>
        <v>0</v>
      </c>
      <c r="AR33" s="132">
        <f>IF(OR(GradeSheet!$M28="W (Withdrawn)", GradeSheet!$M28="I (Incomplete)"), 0, IF(AL33&gt;=55%, 1, 0))</f>
        <v>0</v>
      </c>
      <c r="AS33" s="132">
        <f>IF(OR(GradeSheet!$M28="W (Withdrawn)", GradeSheet!$M28="I (Incomplete)"), 0, IF(AM33&gt;=55%, 1, 0))</f>
        <v>0</v>
      </c>
      <c r="AT33" s="114"/>
      <c r="AU33" s="133">
        <f t="shared" si="8"/>
        <v>0</v>
      </c>
      <c r="AV33" s="133">
        <f t="shared" si="9"/>
        <v>0</v>
      </c>
      <c r="AW33" s="133">
        <f t="array" ref="AW33">IF($AV$9=0,0,MMULT($AH33:$AM33, AV$3:AV$8)/$AV$9)</f>
        <v>0</v>
      </c>
      <c r="AX33" s="133">
        <f t="array" ref="AX33">IF($AW$9=0,0,MMULT($AH33:$AM33, AW$3:AW$8)/$AW$9)</f>
        <v>0</v>
      </c>
      <c r="AY33" s="133">
        <f t="shared" si="10"/>
        <v>0</v>
      </c>
      <c r="AZ33" s="133">
        <f t="array" ref="AZ33">IF($AY$9=0,0,MMULT($AH33:$AM33, AY$3:AY$8)/$AY$9)</f>
        <v>0</v>
      </c>
      <c r="BA33" s="133">
        <f t="array" ref="BA33">IF($AZ$9=0,0,MMULT($AH33:$AM33, AZ$3:AZ$8)/$AZ$9)</f>
        <v>0</v>
      </c>
      <c r="BB33" s="133">
        <f t="array" ref="BB33">IF($BA$9=0,0,MMULT($AH33:$AM33, BA$3:BA$8)/$BA$9)</f>
        <v>0</v>
      </c>
      <c r="BC33" s="133">
        <f t="array" ref="BC33">IF($BB$9=0,0,MMULT($AH33:$AM33, BB$3:BB$8)/$BB$9)</f>
        <v>0</v>
      </c>
      <c r="BD33" s="133">
        <f t="array" ref="BD33">IF($BC$9=0,0,MMULT($AH33:$AM33, BC$3:BC$8)/$BC$9)</f>
        <v>0</v>
      </c>
      <c r="BE33" s="133">
        <f t="shared" si="11"/>
        <v>0</v>
      </c>
      <c r="BF33" s="133">
        <f t="shared" si="12"/>
        <v>0</v>
      </c>
      <c r="BG33" s="132">
        <f>IF(OR(GradeSheet!$M28="W (Withdrawn)", GradeSheet!$M28="I (Incomplete)"), 0, IF(AU33&gt;=65%, 1, 0))</f>
        <v>0</v>
      </c>
      <c r="BH33" s="132">
        <f>IF(OR(GradeSheet!$M28="W (Withdrawn)", GradeSheet!$M28="I (Incomplete)"), 0, IF(AV33&gt;=65%, 1, 0))</f>
        <v>0</v>
      </c>
      <c r="BI33" s="132">
        <f>IF(OR(GradeSheet!$M28="W (Withdrawn)", GradeSheet!$M28="I (Incomplete)"), 0, IF(AW33&gt;=65%, 1, 0))</f>
        <v>0</v>
      </c>
      <c r="BJ33" s="132">
        <f>IF(OR(GradeSheet!$M28="W (Withdrawn)", GradeSheet!$M28="I (Incomplete)"), 0, IF(AX33&gt;=65%, 1, 0))</f>
        <v>0</v>
      </c>
      <c r="BK33" s="132">
        <f>IF(OR(GradeSheet!$M28="W (Withdrawn)", GradeSheet!$M28="I (Incomplete)"), 0, IF(AY33&gt;=65%, 1, 0))</f>
        <v>0</v>
      </c>
      <c r="BL33" s="132">
        <f>IF(OR(GradeSheet!$M28="W (Withdrawn)", GradeSheet!$M28="I (Incomplete)"), 0, IF(AZ33&gt;=65%, 1, 0))</f>
        <v>0</v>
      </c>
      <c r="BM33" s="132">
        <f>IF(OR(GradeSheet!$M28="W (Withdrawn)", GradeSheet!$M28="I (Incomplete)"), 0, IF(BA33&gt;=65%, 1, 0))</f>
        <v>0</v>
      </c>
      <c r="BN33" s="132">
        <f>IF(OR(GradeSheet!$M28="W (Withdrawn)", GradeSheet!$M28="I (Incomplete)"), 0, IF(BB33&gt;=65%, 1, 0))</f>
        <v>0</v>
      </c>
      <c r="BO33" s="132">
        <f>IF(OR(GradeSheet!$M28="W (Withdrawn)", GradeSheet!$M28="I (Incomplete)"), 0, IF(BC33&gt;=65%, 1, 0))</f>
        <v>0</v>
      </c>
      <c r="BP33" s="132">
        <f>IF(OR(GradeSheet!$M28="W (Withdrawn)", GradeSheet!$M28="I (Incomplete)"), 0, IF(BD33&gt;=65%, 1, 0))</f>
        <v>0</v>
      </c>
      <c r="BQ33" s="132">
        <f>IF(OR(GradeSheet!$M28="W (Withdrawn)", GradeSheet!$M28="I (Incomplete)"), 0, IF(BE33&gt;=65%, 1, 0))</f>
        <v>0</v>
      </c>
      <c r="BR33" s="132">
        <f>IF(OR(GradeSheet!$M28="W (Withdrawn)", GradeSheet!$M28="I (Incomplete)"), 0, IF(BF33&gt;=65%, 1, 0))</f>
        <v>0</v>
      </c>
    </row>
    <row r="34" spans="1:70" ht="15.75" customHeight="1">
      <c r="A34" s="134">
        <v>20</v>
      </c>
      <c r="B34" s="178">
        <f>GradeSheet!X29</f>
        <v>0</v>
      </c>
      <c r="C34" s="178">
        <f>GradeSheet!W29</f>
        <v>0</v>
      </c>
      <c r="D34" s="177">
        <v>0</v>
      </c>
      <c r="E34" s="177">
        <v>0</v>
      </c>
      <c r="F34" s="177">
        <v>0</v>
      </c>
      <c r="G34" s="177">
        <v>0</v>
      </c>
      <c r="H34" s="177">
        <v>0</v>
      </c>
      <c r="I34" s="177">
        <v>0</v>
      </c>
      <c r="J34" s="177">
        <v>0</v>
      </c>
      <c r="K34" s="177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  <c r="U34" s="177">
        <v>0</v>
      </c>
      <c r="V34" s="177">
        <v>0</v>
      </c>
      <c r="W34" s="177">
        <v>0</v>
      </c>
      <c r="X34" s="177">
        <v>0</v>
      </c>
      <c r="Y34" s="177">
        <v>0</v>
      </c>
      <c r="Z34" s="177">
        <v>0</v>
      </c>
      <c r="AA34" s="177">
        <v>0</v>
      </c>
      <c r="AB34" s="129">
        <f t="shared" si="13"/>
        <v>0</v>
      </c>
      <c r="AC34" s="130">
        <f t="shared" si="14"/>
        <v>0</v>
      </c>
      <c r="AD34" s="130">
        <f t="shared" si="15"/>
        <v>0</v>
      </c>
      <c r="AE34" s="130">
        <f t="shared" si="16"/>
        <v>0</v>
      </c>
      <c r="AF34" s="130">
        <f t="shared" si="17"/>
        <v>0</v>
      </c>
      <c r="AG34" s="135">
        <f t="shared" si="18"/>
        <v>0</v>
      </c>
      <c r="AH34" s="131">
        <f t="shared" ref="AH34:AM34" si="37">IF(AB34 = 0, 0, AB34/AB$14)</f>
        <v>0</v>
      </c>
      <c r="AI34" s="131">
        <f t="shared" si="37"/>
        <v>0</v>
      </c>
      <c r="AJ34" s="131">
        <f t="shared" si="37"/>
        <v>0</v>
      </c>
      <c r="AK34" s="131">
        <f t="shared" si="37"/>
        <v>0</v>
      </c>
      <c r="AL34" s="131">
        <f t="shared" si="37"/>
        <v>0</v>
      </c>
      <c r="AM34" s="131">
        <f t="shared" si="37"/>
        <v>0</v>
      </c>
      <c r="AN34" s="132">
        <f>IF(OR(GradeSheet!$M29="W (Withdrawn)", GradeSheet!$M29="I (Incomplete)"), 0, IF(AH34&gt;=55%, 1, 0))</f>
        <v>0</v>
      </c>
      <c r="AO34" s="132">
        <f>IF(OR(GradeSheet!$M29="W (Withdrawn)", GradeSheet!$M29="I (Incomplete)"), 0, IF(AI34&gt;=55%, 1, 0))</f>
        <v>0</v>
      </c>
      <c r="AP34" s="132">
        <f>IF(OR(GradeSheet!$M29="W (Withdrawn)", GradeSheet!$M29="I (Incomplete)"), 0, IF(AJ34&gt;=55%, 1, 0))</f>
        <v>0</v>
      </c>
      <c r="AQ34" s="132">
        <f>IF(OR(GradeSheet!$M29="W (Withdrawn)", GradeSheet!$M29="I (Incomplete)"), 0, IF(AK34&gt;=55%, 1, 0))</f>
        <v>0</v>
      </c>
      <c r="AR34" s="132">
        <f>IF(OR(GradeSheet!$M29="W (Withdrawn)", GradeSheet!$M29="I (Incomplete)"), 0, IF(AL34&gt;=55%, 1, 0))</f>
        <v>0</v>
      </c>
      <c r="AS34" s="132">
        <f>IF(OR(GradeSheet!$M29="W (Withdrawn)", GradeSheet!$M29="I (Incomplete)"), 0, IF(AM34&gt;=55%, 1, 0))</f>
        <v>0</v>
      </c>
      <c r="AT34" s="114"/>
      <c r="AU34" s="133">
        <f t="shared" si="8"/>
        <v>0</v>
      </c>
      <c r="AV34" s="133">
        <f t="shared" si="9"/>
        <v>0</v>
      </c>
      <c r="AW34" s="133">
        <f t="array" ref="AW34">IF($AV$9=0,0,MMULT($AH34:$AM34, AV$3:AV$8)/$AV$9)</f>
        <v>0</v>
      </c>
      <c r="AX34" s="133">
        <f t="array" ref="AX34">IF($AW$9=0,0,MMULT($AH34:$AM34, AW$3:AW$8)/$AW$9)</f>
        <v>0</v>
      </c>
      <c r="AY34" s="133">
        <f t="shared" si="10"/>
        <v>0</v>
      </c>
      <c r="AZ34" s="133">
        <f t="array" ref="AZ34">IF($AY$9=0,0,MMULT($AH34:$AM34, AY$3:AY$8)/$AY$9)</f>
        <v>0</v>
      </c>
      <c r="BA34" s="133">
        <f t="array" ref="BA34">IF($AZ$9=0,0,MMULT($AH34:$AM34, AZ$3:AZ$8)/$AZ$9)</f>
        <v>0</v>
      </c>
      <c r="BB34" s="133">
        <f t="array" ref="BB34">IF($BA$9=0,0,MMULT($AH34:$AM34, BA$3:BA$8)/$BA$9)</f>
        <v>0</v>
      </c>
      <c r="BC34" s="133">
        <f t="array" ref="BC34">IF($BB$9=0,0,MMULT($AH34:$AM34, BB$3:BB$8)/$BB$9)</f>
        <v>0</v>
      </c>
      <c r="BD34" s="133">
        <f t="array" ref="BD34">IF($BC$9=0,0,MMULT($AH34:$AM34, BC$3:BC$8)/$BC$9)</f>
        <v>0</v>
      </c>
      <c r="BE34" s="133">
        <f t="shared" si="11"/>
        <v>0</v>
      </c>
      <c r="BF34" s="133">
        <f t="shared" si="12"/>
        <v>0</v>
      </c>
      <c r="BG34" s="132">
        <f>IF(OR(GradeSheet!$M29="W (Withdrawn)", GradeSheet!$M29="I (Incomplete)"), 0, IF(AU34&gt;=65%, 1, 0))</f>
        <v>0</v>
      </c>
      <c r="BH34" s="132">
        <f>IF(OR(GradeSheet!$M29="W (Withdrawn)", GradeSheet!$M29="I (Incomplete)"), 0, IF(AV34&gt;=65%, 1, 0))</f>
        <v>0</v>
      </c>
      <c r="BI34" s="132">
        <f>IF(OR(GradeSheet!$M29="W (Withdrawn)", GradeSheet!$M29="I (Incomplete)"), 0, IF(AW34&gt;=65%, 1, 0))</f>
        <v>0</v>
      </c>
      <c r="BJ34" s="132">
        <f>IF(OR(GradeSheet!$M29="W (Withdrawn)", GradeSheet!$M29="I (Incomplete)"), 0, IF(AX34&gt;=65%, 1, 0))</f>
        <v>0</v>
      </c>
      <c r="BK34" s="132">
        <f>IF(OR(GradeSheet!$M29="W (Withdrawn)", GradeSheet!$M29="I (Incomplete)"), 0, IF(AY34&gt;=65%, 1, 0))</f>
        <v>0</v>
      </c>
      <c r="BL34" s="132">
        <f>IF(OR(GradeSheet!$M29="W (Withdrawn)", GradeSheet!$M29="I (Incomplete)"), 0, IF(AZ34&gt;=65%, 1, 0))</f>
        <v>0</v>
      </c>
      <c r="BM34" s="132">
        <f>IF(OR(GradeSheet!$M29="W (Withdrawn)", GradeSheet!$M29="I (Incomplete)"), 0, IF(BA34&gt;=65%, 1, 0))</f>
        <v>0</v>
      </c>
      <c r="BN34" s="132">
        <f>IF(OR(GradeSheet!$M29="W (Withdrawn)", GradeSheet!$M29="I (Incomplete)"), 0, IF(BB34&gt;=65%, 1, 0))</f>
        <v>0</v>
      </c>
      <c r="BO34" s="132">
        <f>IF(OR(GradeSheet!$M29="W (Withdrawn)", GradeSheet!$M29="I (Incomplete)"), 0, IF(BC34&gt;=65%, 1, 0))</f>
        <v>0</v>
      </c>
      <c r="BP34" s="132">
        <f>IF(OR(GradeSheet!$M29="W (Withdrawn)", GradeSheet!$M29="I (Incomplete)"), 0, IF(BD34&gt;=65%, 1, 0))</f>
        <v>0</v>
      </c>
      <c r="BQ34" s="132">
        <f>IF(OR(GradeSheet!$M29="W (Withdrawn)", GradeSheet!$M29="I (Incomplete)"), 0, IF(BE34&gt;=65%, 1, 0))</f>
        <v>0</v>
      </c>
      <c r="BR34" s="132">
        <f>IF(OR(GradeSheet!$M29="W (Withdrawn)", GradeSheet!$M29="I (Incomplete)"), 0, IF(BF34&gt;=65%, 1, 0))</f>
        <v>0</v>
      </c>
    </row>
    <row r="35" spans="1:70" ht="15.75" customHeight="1">
      <c r="A35" s="128">
        <v>21</v>
      </c>
      <c r="B35" s="178">
        <f>GradeSheet!X30</f>
        <v>0</v>
      </c>
      <c r="C35" s="178">
        <f>GradeSheet!W30</f>
        <v>0</v>
      </c>
      <c r="D35" s="177">
        <v>0</v>
      </c>
      <c r="E35" s="177">
        <v>0</v>
      </c>
      <c r="F35" s="177">
        <v>0</v>
      </c>
      <c r="G35" s="177">
        <v>0</v>
      </c>
      <c r="H35" s="177">
        <v>0</v>
      </c>
      <c r="I35" s="177">
        <v>0</v>
      </c>
      <c r="J35" s="177">
        <v>0</v>
      </c>
      <c r="K35" s="177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  <c r="U35" s="177">
        <v>0</v>
      </c>
      <c r="V35" s="177">
        <v>0</v>
      </c>
      <c r="W35" s="177">
        <v>0</v>
      </c>
      <c r="X35" s="177">
        <v>0</v>
      </c>
      <c r="Y35" s="177">
        <v>0</v>
      </c>
      <c r="Z35" s="177">
        <v>0</v>
      </c>
      <c r="AA35" s="177">
        <v>0</v>
      </c>
      <c r="AB35" s="129">
        <f t="shared" si="13"/>
        <v>0</v>
      </c>
      <c r="AC35" s="130">
        <f t="shared" si="14"/>
        <v>0</v>
      </c>
      <c r="AD35" s="130">
        <f t="shared" si="15"/>
        <v>0</v>
      </c>
      <c r="AE35" s="130">
        <f t="shared" si="16"/>
        <v>0</v>
      </c>
      <c r="AF35" s="130">
        <f t="shared" si="17"/>
        <v>0</v>
      </c>
      <c r="AG35" s="135">
        <f t="shared" si="18"/>
        <v>0</v>
      </c>
      <c r="AH35" s="131">
        <f t="shared" ref="AH35:AM35" si="38">IF(AB35 = 0, 0, AB35/AB$14)</f>
        <v>0</v>
      </c>
      <c r="AI35" s="131">
        <f t="shared" si="38"/>
        <v>0</v>
      </c>
      <c r="AJ35" s="131">
        <f t="shared" si="38"/>
        <v>0</v>
      </c>
      <c r="AK35" s="131">
        <f t="shared" si="38"/>
        <v>0</v>
      </c>
      <c r="AL35" s="131">
        <f t="shared" si="38"/>
        <v>0</v>
      </c>
      <c r="AM35" s="131">
        <f t="shared" si="38"/>
        <v>0</v>
      </c>
      <c r="AN35" s="132">
        <f>IF(OR(GradeSheet!$M30="W (Withdrawn)", GradeSheet!$M30="I (Incomplete)"), 0, IF(AH35&gt;=55%, 1, 0))</f>
        <v>0</v>
      </c>
      <c r="AO35" s="132">
        <f>IF(OR(GradeSheet!$M30="W (Withdrawn)", GradeSheet!$M30="I (Incomplete)"), 0, IF(AI35&gt;=55%, 1, 0))</f>
        <v>0</v>
      </c>
      <c r="AP35" s="132">
        <f>IF(OR(GradeSheet!$M30="W (Withdrawn)", GradeSheet!$M30="I (Incomplete)"), 0, IF(AJ35&gt;=55%, 1, 0))</f>
        <v>0</v>
      </c>
      <c r="AQ35" s="132">
        <f>IF(OR(GradeSheet!$M30="W (Withdrawn)", GradeSheet!$M30="I (Incomplete)"), 0, IF(AK35&gt;=55%, 1, 0))</f>
        <v>0</v>
      </c>
      <c r="AR35" s="132">
        <f>IF(OR(GradeSheet!$M30="W (Withdrawn)", GradeSheet!$M30="I (Incomplete)"), 0, IF(AL35&gt;=55%, 1, 0))</f>
        <v>0</v>
      </c>
      <c r="AS35" s="132">
        <f>IF(OR(GradeSheet!$M30="W (Withdrawn)", GradeSheet!$M30="I (Incomplete)"), 0, IF(AM35&gt;=55%, 1, 0))</f>
        <v>0</v>
      </c>
      <c r="AT35" s="114"/>
      <c r="AU35" s="133">
        <f t="shared" si="8"/>
        <v>0</v>
      </c>
      <c r="AV35" s="133">
        <f t="shared" si="9"/>
        <v>0</v>
      </c>
      <c r="AW35" s="133">
        <f t="array" ref="AW35">IF($AV$9=0,0,MMULT($AH35:$AM35, AV$3:AV$8)/$AV$9)</f>
        <v>0</v>
      </c>
      <c r="AX35" s="133">
        <f t="array" ref="AX35">IF($AW$9=0,0,MMULT($AH35:$AM35, AW$3:AW$8)/$AW$9)</f>
        <v>0</v>
      </c>
      <c r="AY35" s="133">
        <f t="shared" si="10"/>
        <v>0</v>
      </c>
      <c r="AZ35" s="133">
        <f t="array" ref="AZ35">IF($AY$9=0,0,MMULT($AH35:$AM35, AY$3:AY$8)/$AY$9)</f>
        <v>0</v>
      </c>
      <c r="BA35" s="133">
        <f t="array" ref="BA35">IF($AZ$9=0,0,MMULT($AH35:$AM35, AZ$3:AZ$8)/$AZ$9)</f>
        <v>0</v>
      </c>
      <c r="BB35" s="133">
        <f t="array" ref="BB35">IF($BA$9=0,0,MMULT($AH35:$AM35, BA$3:BA$8)/$BA$9)</f>
        <v>0</v>
      </c>
      <c r="BC35" s="133">
        <f t="array" ref="BC35">IF($BB$9=0,0,MMULT($AH35:$AM35, BB$3:BB$8)/$BB$9)</f>
        <v>0</v>
      </c>
      <c r="BD35" s="133">
        <f t="array" ref="BD35">IF($BC$9=0,0,MMULT($AH35:$AM35, BC$3:BC$8)/$BC$9)</f>
        <v>0</v>
      </c>
      <c r="BE35" s="133">
        <f t="shared" si="11"/>
        <v>0</v>
      </c>
      <c r="BF35" s="133">
        <f t="shared" si="12"/>
        <v>0</v>
      </c>
      <c r="BG35" s="132">
        <f>IF(OR(GradeSheet!$M30="W (Withdrawn)", GradeSheet!$M30="I (Incomplete)"), 0, IF(AU35&gt;=65%, 1, 0))</f>
        <v>0</v>
      </c>
      <c r="BH35" s="132">
        <f>IF(OR(GradeSheet!$M30="W (Withdrawn)", GradeSheet!$M30="I (Incomplete)"), 0, IF(AV35&gt;=65%, 1, 0))</f>
        <v>0</v>
      </c>
      <c r="BI35" s="132">
        <f>IF(OR(GradeSheet!$M30="W (Withdrawn)", GradeSheet!$M30="I (Incomplete)"), 0, IF(AW35&gt;=65%, 1, 0))</f>
        <v>0</v>
      </c>
      <c r="BJ35" s="132">
        <f>IF(OR(GradeSheet!$M30="W (Withdrawn)", GradeSheet!$M30="I (Incomplete)"), 0, IF(AX35&gt;=65%, 1, 0))</f>
        <v>0</v>
      </c>
      <c r="BK35" s="132">
        <f>IF(OR(GradeSheet!$M30="W (Withdrawn)", GradeSheet!$M30="I (Incomplete)"), 0, IF(AY35&gt;=65%, 1, 0))</f>
        <v>0</v>
      </c>
      <c r="BL35" s="132">
        <f>IF(OR(GradeSheet!$M30="W (Withdrawn)", GradeSheet!$M30="I (Incomplete)"), 0, IF(AZ35&gt;=65%, 1, 0))</f>
        <v>0</v>
      </c>
      <c r="BM35" s="132">
        <f>IF(OR(GradeSheet!$M30="W (Withdrawn)", GradeSheet!$M30="I (Incomplete)"), 0, IF(BA35&gt;=65%, 1, 0))</f>
        <v>0</v>
      </c>
      <c r="BN35" s="132">
        <f>IF(OR(GradeSheet!$M30="W (Withdrawn)", GradeSheet!$M30="I (Incomplete)"), 0, IF(BB35&gt;=65%, 1, 0))</f>
        <v>0</v>
      </c>
      <c r="BO35" s="132">
        <f>IF(OR(GradeSheet!$M30="W (Withdrawn)", GradeSheet!$M30="I (Incomplete)"), 0, IF(BC35&gt;=65%, 1, 0))</f>
        <v>0</v>
      </c>
      <c r="BP35" s="132">
        <f>IF(OR(GradeSheet!$M30="W (Withdrawn)", GradeSheet!$M30="I (Incomplete)"), 0, IF(BD35&gt;=65%, 1, 0))</f>
        <v>0</v>
      </c>
      <c r="BQ35" s="132">
        <f>IF(OR(GradeSheet!$M30="W (Withdrawn)", GradeSheet!$M30="I (Incomplete)"), 0, IF(BE35&gt;=65%, 1, 0))</f>
        <v>0</v>
      </c>
      <c r="BR35" s="132">
        <f>IF(OR(GradeSheet!$M30="W (Withdrawn)", GradeSheet!$M30="I (Incomplete)"), 0, IF(BF35&gt;=65%, 1, 0))</f>
        <v>0</v>
      </c>
    </row>
    <row r="36" spans="1:70" ht="15.75" customHeight="1">
      <c r="A36" s="134">
        <v>22</v>
      </c>
      <c r="B36" s="178">
        <f>GradeSheet!X31</f>
        <v>0</v>
      </c>
      <c r="C36" s="178">
        <f>GradeSheet!W31</f>
        <v>0</v>
      </c>
      <c r="D36" s="177">
        <v>0</v>
      </c>
      <c r="E36" s="177">
        <v>0</v>
      </c>
      <c r="F36" s="177">
        <v>0</v>
      </c>
      <c r="G36" s="177">
        <v>0</v>
      </c>
      <c r="H36" s="177">
        <v>0</v>
      </c>
      <c r="I36" s="177">
        <v>0</v>
      </c>
      <c r="J36" s="177">
        <v>0</v>
      </c>
      <c r="K36" s="177">
        <v>0</v>
      </c>
      <c r="L36" s="177">
        <v>0</v>
      </c>
      <c r="M36" s="177">
        <v>0</v>
      </c>
      <c r="N36" s="177">
        <v>0</v>
      </c>
      <c r="O36" s="177">
        <v>0</v>
      </c>
      <c r="P36" s="177">
        <v>0</v>
      </c>
      <c r="Q36" s="177">
        <v>0</v>
      </c>
      <c r="R36" s="177">
        <v>0</v>
      </c>
      <c r="S36" s="177">
        <v>0</v>
      </c>
      <c r="T36" s="177">
        <v>0</v>
      </c>
      <c r="U36" s="177">
        <v>0</v>
      </c>
      <c r="V36" s="177">
        <v>0</v>
      </c>
      <c r="W36" s="177">
        <v>0</v>
      </c>
      <c r="X36" s="177">
        <v>0</v>
      </c>
      <c r="Y36" s="177">
        <v>0</v>
      </c>
      <c r="Z36" s="177">
        <v>0</v>
      </c>
      <c r="AA36" s="177">
        <v>0</v>
      </c>
      <c r="AB36" s="129">
        <f t="shared" si="13"/>
        <v>0</v>
      </c>
      <c r="AC36" s="130">
        <f t="shared" si="14"/>
        <v>0</v>
      </c>
      <c r="AD36" s="130">
        <f t="shared" si="15"/>
        <v>0</v>
      </c>
      <c r="AE36" s="130">
        <f t="shared" si="16"/>
        <v>0</v>
      </c>
      <c r="AF36" s="130">
        <f t="shared" si="17"/>
        <v>0</v>
      </c>
      <c r="AG36" s="135">
        <f t="shared" si="18"/>
        <v>0</v>
      </c>
      <c r="AH36" s="131">
        <f t="shared" ref="AH36:AM36" si="39">IF(AB36 = 0, 0, AB36/AB$14)</f>
        <v>0</v>
      </c>
      <c r="AI36" s="131">
        <f t="shared" si="39"/>
        <v>0</v>
      </c>
      <c r="AJ36" s="131">
        <f t="shared" si="39"/>
        <v>0</v>
      </c>
      <c r="AK36" s="131">
        <f t="shared" si="39"/>
        <v>0</v>
      </c>
      <c r="AL36" s="131">
        <f t="shared" si="39"/>
        <v>0</v>
      </c>
      <c r="AM36" s="131">
        <f t="shared" si="39"/>
        <v>0</v>
      </c>
      <c r="AN36" s="132">
        <f>IF(OR(GradeSheet!$M31="W (Withdrawn)", GradeSheet!$M31="I (Incomplete)"), 0, IF(AH36&gt;=55%, 1, 0))</f>
        <v>0</v>
      </c>
      <c r="AO36" s="132">
        <f>IF(OR(GradeSheet!$M31="W (Withdrawn)", GradeSheet!$M31="I (Incomplete)"), 0, IF(AI36&gt;=55%, 1, 0))</f>
        <v>0</v>
      </c>
      <c r="AP36" s="132">
        <f>IF(OR(GradeSheet!$M31="W (Withdrawn)", GradeSheet!$M31="I (Incomplete)"), 0, IF(AJ36&gt;=55%, 1, 0))</f>
        <v>0</v>
      </c>
      <c r="AQ36" s="132">
        <f>IF(OR(GradeSheet!$M31="W (Withdrawn)", GradeSheet!$M31="I (Incomplete)"), 0, IF(AK36&gt;=55%, 1, 0))</f>
        <v>0</v>
      </c>
      <c r="AR36" s="132">
        <f>IF(OR(GradeSheet!$M31="W (Withdrawn)", GradeSheet!$M31="I (Incomplete)"), 0, IF(AL36&gt;=55%, 1, 0))</f>
        <v>0</v>
      </c>
      <c r="AS36" s="132">
        <f>IF(OR(GradeSheet!$M31="W (Withdrawn)", GradeSheet!$M31="I (Incomplete)"), 0, IF(AM36&gt;=55%, 1, 0))</f>
        <v>0</v>
      </c>
      <c r="AT36" s="114"/>
      <c r="AU36" s="133">
        <f t="shared" si="8"/>
        <v>0</v>
      </c>
      <c r="AV36" s="133">
        <f t="shared" si="9"/>
        <v>0</v>
      </c>
      <c r="AW36" s="133">
        <f t="array" ref="AW36">IF($AV$9=0,0,MMULT($AH36:$AM36, AV$3:AV$8)/$AV$9)</f>
        <v>0</v>
      </c>
      <c r="AX36" s="133">
        <f t="array" ref="AX36">IF($AW$9=0,0,MMULT($AH36:$AM36, AW$3:AW$8)/$AW$9)</f>
        <v>0</v>
      </c>
      <c r="AY36" s="133">
        <f t="shared" si="10"/>
        <v>0</v>
      </c>
      <c r="AZ36" s="133">
        <f t="array" ref="AZ36">IF($AY$9=0,0,MMULT($AH36:$AM36, AY$3:AY$8)/$AY$9)</f>
        <v>0</v>
      </c>
      <c r="BA36" s="133">
        <f t="array" ref="BA36">IF($AZ$9=0,0,MMULT($AH36:$AM36, AZ$3:AZ$8)/$AZ$9)</f>
        <v>0</v>
      </c>
      <c r="BB36" s="133">
        <f t="array" ref="BB36">IF($BA$9=0,0,MMULT($AH36:$AM36, BA$3:BA$8)/$BA$9)</f>
        <v>0</v>
      </c>
      <c r="BC36" s="133">
        <f t="array" ref="BC36">IF($BB$9=0,0,MMULT($AH36:$AM36, BB$3:BB$8)/$BB$9)</f>
        <v>0</v>
      </c>
      <c r="BD36" s="133">
        <f t="array" ref="BD36">IF($BC$9=0,0,MMULT($AH36:$AM36, BC$3:BC$8)/$BC$9)</f>
        <v>0</v>
      </c>
      <c r="BE36" s="133">
        <f t="shared" si="11"/>
        <v>0</v>
      </c>
      <c r="BF36" s="133">
        <f t="shared" si="12"/>
        <v>0</v>
      </c>
      <c r="BG36" s="132">
        <f>IF(OR(GradeSheet!$M31="W (Withdrawn)", GradeSheet!$M31="I (Incomplete)"), 0, IF(AU36&gt;=65%, 1, 0))</f>
        <v>0</v>
      </c>
      <c r="BH36" s="132">
        <f>IF(OR(GradeSheet!$M31="W (Withdrawn)", GradeSheet!$M31="I (Incomplete)"), 0, IF(AV36&gt;=65%, 1, 0))</f>
        <v>0</v>
      </c>
      <c r="BI36" s="132">
        <f>IF(OR(GradeSheet!$M31="W (Withdrawn)", GradeSheet!$M31="I (Incomplete)"), 0, IF(AW36&gt;=65%, 1, 0))</f>
        <v>0</v>
      </c>
      <c r="BJ36" s="132">
        <f>IF(OR(GradeSheet!$M31="W (Withdrawn)", GradeSheet!$M31="I (Incomplete)"), 0, IF(AX36&gt;=65%, 1, 0))</f>
        <v>0</v>
      </c>
      <c r="BK36" s="132">
        <f>IF(OR(GradeSheet!$M31="W (Withdrawn)", GradeSheet!$M31="I (Incomplete)"), 0, IF(AY36&gt;=65%, 1, 0))</f>
        <v>0</v>
      </c>
      <c r="BL36" s="132">
        <f>IF(OR(GradeSheet!$M31="W (Withdrawn)", GradeSheet!$M31="I (Incomplete)"), 0, IF(AZ36&gt;=65%, 1, 0))</f>
        <v>0</v>
      </c>
      <c r="BM36" s="132">
        <f>IF(OR(GradeSheet!$M31="W (Withdrawn)", GradeSheet!$M31="I (Incomplete)"), 0, IF(BA36&gt;=65%, 1, 0))</f>
        <v>0</v>
      </c>
      <c r="BN36" s="132">
        <f>IF(OR(GradeSheet!$M31="W (Withdrawn)", GradeSheet!$M31="I (Incomplete)"), 0, IF(BB36&gt;=65%, 1, 0))</f>
        <v>0</v>
      </c>
      <c r="BO36" s="132">
        <f>IF(OR(GradeSheet!$M31="W (Withdrawn)", GradeSheet!$M31="I (Incomplete)"), 0, IF(BC36&gt;=65%, 1, 0))</f>
        <v>0</v>
      </c>
      <c r="BP36" s="132">
        <f>IF(OR(GradeSheet!$M31="W (Withdrawn)", GradeSheet!$M31="I (Incomplete)"), 0, IF(BD36&gt;=65%, 1, 0))</f>
        <v>0</v>
      </c>
      <c r="BQ36" s="132">
        <f>IF(OR(GradeSheet!$M31="W (Withdrawn)", GradeSheet!$M31="I (Incomplete)"), 0, IF(BE36&gt;=65%, 1, 0))</f>
        <v>0</v>
      </c>
      <c r="BR36" s="132">
        <f>IF(OR(GradeSheet!$M31="W (Withdrawn)", GradeSheet!$M31="I (Incomplete)"), 0, IF(BF36&gt;=65%, 1, 0))</f>
        <v>0</v>
      </c>
    </row>
    <row r="37" spans="1:70" ht="15.75" customHeight="1">
      <c r="A37" s="128">
        <v>23</v>
      </c>
      <c r="B37" s="178">
        <f>GradeSheet!X32</f>
        <v>0</v>
      </c>
      <c r="C37" s="178">
        <f>GradeSheet!W32</f>
        <v>0</v>
      </c>
      <c r="D37" s="177">
        <v>0</v>
      </c>
      <c r="E37" s="177">
        <v>0</v>
      </c>
      <c r="F37" s="177">
        <v>0</v>
      </c>
      <c r="G37" s="177">
        <v>0</v>
      </c>
      <c r="H37" s="177">
        <v>0</v>
      </c>
      <c r="I37" s="177">
        <v>0</v>
      </c>
      <c r="J37" s="177">
        <v>0</v>
      </c>
      <c r="K37" s="177">
        <v>0</v>
      </c>
      <c r="L37" s="177">
        <v>0</v>
      </c>
      <c r="M37" s="177">
        <v>0</v>
      </c>
      <c r="N37" s="177">
        <v>0</v>
      </c>
      <c r="O37" s="177">
        <v>0</v>
      </c>
      <c r="P37" s="177">
        <v>0</v>
      </c>
      <c r="Q37" s="177">
        <v>0</v>
      </c>
      <c r="R37" s="177">
        <v>0</v>
      </c>
      <c r="S37" s="177">
        <v>0</v>
      </c>
      <c r="T37" s="177">
        <v>0</v>
      </c>
      <c r="U37" s="177">
        <v>0</v>
      </c>
      <c r="V37" s="177">
        <v>0</v>
      </c>
      <c r="W37" s="177">
        <v>0</v>
      </c>
      <c r="X37" s="177">
        <v>0</v>
      </c>
      <c r="Y37" s="177">
        <v>0</v>
      </c>
      <c r="Z37" s="177">
        <v>0</v>
      </c>
      <c r="AA37" s="177">
        <v>0</v>
      </c>
      <c r="AB37" s="129">
        <f t="shared" si="13"/>
        <v>0</v>
      </c>
      <c r="AC37" s="130">
        <f t="shared" si="14"/>
        <v>0</v>
      </c>
      <c r="AD37" s="130">
        <f t="shared" si="15"/>
        <v>0</v>
      </c>
      <c r="AE37" s="130">
        <f t="shared" si="16"/>
        <v>0</v>
      </c>
      <c r="AF37" s="130">
        <f t="shared" si="17"/>
        <v>0</v>
      </c>
      <c r="AG37" s="135">
        <f t="shared" si="18"/>
        <v>0</v>
      </c>
      <c r="AH37" s="131">
        <f t="shared" ref="AH37:AM37" si="40">IF(AB37 = 0, 0, AB37/AB$14)</f>
        <v>0</v>
      </c>
      <c r="AI37" s="131">
        <f t="shared" si="40"/>
        <v>0</v>
      </c>
      <c r="AJ37" s="131">
        <f t="shared" si="40"/>
        <v>0</v>
      </c>
      <c r="AK37" s="131">
        <f t="shared" si="40"/>
        <v>0</v>
      </c>
      <c r="AL37" s="131">
        <f t="shared" si="40"/>
        <v>0</v>
      </c>
      <c r="AM37" s="131">
        <f t="shared" si="40"/>
        <v>0</v>
      </c>
      <c r="AN37" s="132">
        <f>IF(OR(GradeSheet!$M32="W (Withdrawn)", GradeSheet!$M32="I (Incomplete)"), 0, IF(AH37&gt;=55%, 1, 0))</f>
        <v>0</v>
      </c>
      <c r="AO37" s="132">
        <f>IF(OR(GradeSheet!$M32="W (Withdrawn)", GradeSheet!$M32="I (Incomplete)"), 0, IF(AI37&gt;=55%, 1, 0))</f>
        <v>0</v>
      </c>
      <c r="AP37" s="132">
        <f>IF(OR(GradeSheet!$M32="W (Withdrawn)", GradeSheet!$M32="I (Incomplete)"), 0, IF(AJ37&gt;=55%, 1, 0))</f>
        <v>0</v>
      </c>
      <c r="AQ37" s="132">
        <f>IF(OR(GradeSheet!$M32="W (Withdrawn)", GradeSheet!$M32="I (Incomplete)"), 0, IF(AK37&gt;=55%, 1, 0))</f>
        <v>0</v>
      </c>
      <c r="AR37" s="132">
        <f>IF(OR(GradeSheet!$M32="W (Withdrawn)", GradeSheet!$M32="I (Incomplete)"), 0, IF(AL37&gt;=55%, 1, 0))</f>
        <v>0</v>
      </c>
      <c r="AS37" s="132">
        <f>IF(OR(GradeSheet!$M32="W (Withdrawn)", GradeSheet!$M32="I (Incomplete)"), 0, IF(AM37&gt;=55%, 1, 0))</f>
        <v>0</v>
      </c>
      <c r="AT37" s="114"/>
      <c r="AU37" s="133">
        <f t="shared" si="8"/>
        <v>0</v>
      </c>
      <c r="AV37" s="133">
        <f t="shared" si="9"/>
        <v>0</v>
      </c>
      <c r="AW37" s="133">
        <f t="array" ref="AW37">IF($AV$9=0,0,MMULT($AH37:$AM37, AV$3:AV$8)/$AV$9)</f>
        <v>0</v>
      </c>
      <c r="AX37" s="133">
        <f t="array" ref="AX37">IF($AW$9=0,0,MMULT($AH37:$AM37, AW$3:AW$8)/$AW$9)</f>
        <v>0</v>
      </c>
      <c r="AY37" s="133">
        <f t="shared" si="10"/>
        <v>0</v>
      </c>
      <c r="AZ37" s="133">
        <f t="array" ref="AZ37">IF($AY$9=0,0,MMULT($AH37:$AM37, AY$3:AY$8)/$AY$9)</f>
        <v>0</v>
      </c>
      <c r="BA37" s="133">
        <f t="array" ref="BA37">IF($AZ$9=0,0,MMULT($AH37:$AM37, AZ$3:AZ$8)/$AZ$9)</f>
        <v>0</v>
      </c>
      <c r="BB37" s="133">
        <f t="array" ref="BB37">IF($BA$9=0,0,MMULT($AH37:$AM37, BA$3:BA$8)/$BA$9)</f>
        <v>0</v>
      </c>
      <c r="BC37" s="133">
        <f t="array" ref="BC37">IF($BB$9=0,0,MMULT($AH37:$AM37, BB$3:BB$8)/$BB$9)</f>
        <v>0</v>
      </c>
      <c r="BD37" s="133">
        <f t="array" ref="BD37">IF($BC$9=0,0,MMULT($AH37:$AM37, BC$3:BC$8)/$BC$9)</f>
        <v>0</v>
      </c>
      <c r="BE37" s="133">
        <f t="shared" si="11"/>
        <v>0</v>
      </c>
      <c r="BF37" s="133">
        <f t="shared" si="12"/>
        <v>0</v>
      </c>
      <c r="BG37" s="132">
        <f>IF(OR(GradeSheet!$M32="W (Withdrawn)", GradeSheet!$M32="I (Incomplete)"), 0, IF(AU37&gt;=65%, 1, 0))</f>
        <v>0</v>
      </c>
      <c r="BH37" s="132">
        <f>IF(OR(GradeSheet!$M32="W (Withdrawn)", GradeSheet!$M32="I (Incomplete)"), 0, IF(AV37&gt;=65%, 1, 0))</f>
        <v>0</v>
      </c>
      <c r="BI37" s="132">
        <f>IF(OR(GradeSheet!$M32="W (Withdrawn)", GradeSheet!$M32="I (Incomplete)"), 0, IF(AW37&gt;=65%, 1, 0))</f>
        <v>0</v>
      </c>
      <c r="BJ37" s="132">
        <f>IF(OR(GradeSheet!$M32="W (Withdrawn)", GradeSheet!$M32="I (Incomplete)"), 0, IF(AX37&gt;=65%, 1, 0))</f>
        <v>0</v>
      </c>
      <c r="BK37" s="132">
        <f>IF(OR(GradeSheet!$M32="W (Withdrawn)", GradeSheet!$M32="I (Incomplete)"), 0, IF(AY37&gt;=65%, 1, 0))</f>
        <v>0</v>
      </c>
      <c r="BL37" s="132">
        <f>IF(OR(GradeSheet!$M32="W (Withdrawn)", GradeSheet!$M32="I (Incomplete)"), 0, IF(AZ37&gt;=65%, 1, 0))</f>
        <v>0</v>
      </c>
      <c r="BM37" s="132">
        <f>IF(OR(GradeSheet!$M32="W (Withdrawn)", GradeSheet!$M32="I (Incomplete)"), 0, IF(BA37&gt;=65%, 1, 0))</f>
        <v>0</v>
      </c>
      <c r="BN37" s="132">
        <f>IF(OR(GradeSheet!$M32="W (Withdrawn)", GradeSheet!$M32="I (Incomplete)"), 0, IF(BB37&gt;=65%, 1, 0))</f>
        <v>0</v>
      </c>
      <c r="BO37" s="132">
        <f>IF(OR(GradeSheet!$M32="W (Withdrawn)", GradeSheet!$M32="I (Incomplete)"), 0, IF(BC37&gt;=65%, 1, 0))</f>
        <v>0</v>
      </c>
      <c r="BP37" s="132">
        <f>IF(OR(GradeSheet!$M32="W (Withdrawn)", GradeSheet!$M32="I (Incomplete)"), 0, IF(BD37&gt;=65%, 1, 0))</f>
        <v>0</v>
      </c>
      <c r="BQ37" s="132">
        <f>IF(OR(GradeSheet!$M32="W (Withdrawn)", GradeSheet!$M32="I (Incomplete)"), 0, IF(BE37&gt;=65%, 1, 0))</f>
        <v>0</v>
      </c>
      <c r="BR37" s="132">
        <f>IF(OR(GradeSheet!$M32="W (Withdrawn)", GradeSheet!$M32="I (Incomplete)"), 0, IF(BF37&gt;=65%, 1, 0))</f>
        <v>0</v>
      </c>
    </row>
    <row r="38" spans="1:70" ht="15.75" customHeight="1">
      <c r="A38" s="134">
        <v>24</v>
      </c>
      <c r="B38" s="178">
        <f>GradeSheet!X33</f>
        <v>0</v>
      </c>
      <c r="C38" s="178">
        <f>GradeSheet!W33</f>
        <v>0</v>
      </c>
      <c r="D38" s="177">
        <v>0</v>
      </c>
      <c r="E38" s="177">
        <v>0</v>
      </c>
      <c r="F38" s="177">
        <v>0</v>
      </c>
      <c r="G38" s="177">
        <v>0</v>
      </c>
      <c r="H38" s="177">
        <v>0</v>
      </c>
      <c r="I38" s="177">
        <v>0</v>
      </c>
      <c r="J38" s="177">
        <v>0</v>
      </c>
      <c r="K38" s="177">
        <v>0</v>
      </c>
      <c r="L38" s="177">
        <v>0</v>
      </c>
      <c r="M38" s="177">
        <v>0</v>
      </c>
      <c r="N38" s="177">
        <v>0</v>
      </c>
      <c r="O38" s="177">
        <v>0</v>
      </c>
      <c r="P38" s="177">
        <v>0</v>
      </c>
      <c r="Q38" s="177">
        <v>0</v>
      </c>
      <c r="R38" s="177">
        <v>0</v>
      </c>
      <c r="S38" s="177">
        <v>0</v>
      </c>
      <c r="T38" s="177">
        <v>0</v>
      </c>
      <c r="U38" s="177">
        <v>0</v>
      </c>
      <c r="V38" s="177">
        <v>0</v>
      </c>
      <c r="W38" s="177">
        <v>0</v>
      </c>
      <c r="X38" s="177">
        <v>0</v>
      </c>
      <c r="Y38" s="177">
        <v>0</v>
      </c>
      <c r="Z38" s="177">
        <v>0</v>
      </c>
      <c r="AA38" s="177">
        <v>0</v>
      </c>
      <c r="AB38" s="129">
        <f t="shared" si="13"/>
        <v>0</v>
      </c>
      <c r="AC38" s="130">
        <f t="shared" si="14"/>
        <v>0</v>
      </c>
      <c r="AD38" s="130">
        <f t="shared" si="15"/>
        <v>0</v>
      </c>
      <c r="AE38" s="130">
        <f t="shared" si="16"/>
        <v>0</v>
      </c>
      <c r="AF38" s="130">
        <f t="shared" si="17"/>
        <v>0</v>
      </c>
      <c r="AG38" s="135">
        <f t="shared" si="18"/>
        <v>0</v>
      </c>
      <c r="AH38" s="131">
        <f t="shared" ref="AH38:AM38" si="41">IF(AB38 = 0, 0, AB38/AB$14)</f>
        <v>0</v>
      </c>
      <c r="AI38" s="131">
        <f t="shared" si="41"/>
        <v>0</v>
      </c>
      <c r="AJ38" s="131">
        <f t="shared" si="41"/>
        <v>0</v>
      </c>
      <c r="AK38" s="131">
        <f t="shared" si="41"/>
        <v>0</v>
      </c>
      <c r="AL38" s="131">
        <f t="shared" si="41"/>
        <v>0</v>
      </c>
      <c r="AM38" s="131">
        <f t="shared" si="41"/>
        <v>0</v>
      </c>
      <c r="AN38" s="132">
        <v>1</v>
      </c>
      <c r="AO38" s="132">
        <f>IF(OR(GradeSheet!$M33="W (Withdrawn)", GradeSheet!$M33="I (Incomplete)"), 0, IF(AI38&gt;=55%, 1, 0))</f>
        <v>0</v>
      </c>
      <c r="AP38" s="132">
        <f>IF(OR(GradeSheet!$M33="W (Withdrawn)", GradeSheet!$M33="I (Incomplete)"), 0, IF(AJ38&gt;=55%, 1, 0))</f>
        <v>0</v>
      </c>
      <c r="AQ38" s="132">
        <f>IF(OR(GradeSheet!$M33="W (Withdrawn)", GradeSheet!$M33="I (Incomplete)"), 0, IF(AK38&gt;=55%, 1, 0))</f>
        <v>0</v>
      </c>
      <c r="AR38" s="132">
        <f>IF(OR(GradeSheet!$M33="W (Withdrawn)", GradeSheet!$M33="I (Incomplete)"), 0, IF(AL38&gt;=55%, 1, 0))</f>
        <v>0</v>
      </c>
      <c r="AS38" s="132">
        <f>IF(OR(GradeSheet!$M33="W (Withdrawn)", GradeSheet!$M33="I (Incomplete)"), 0, IF(AM38&gt;=55%, 1, 0))</f>
        <v>0</v>
      </c>
      <c r="AT38" s="114"/>
      <c r="AU38" s="133">
        <f t="shared" si="8"/>
        <v>0</v>
      </c>
      <c r="AV38" s="133">
        <f t="shared" si="9"/>
        <v>0</v>
      </c>
      <c r="AW38" s="133">
        <f t="array" ref="AW38">IF($AV$9=0,0,MMULT($AH38:$AM38, AV$3:AV$8)/$AV$9)</f>
        <v>0</v>
      </c>
      <c r="AX38" s="133">
        <f t="array" ref="AX38">IF($AW$9=0,0,MMULT($AH38:$AM38, AW$3:AW$8)/$AW$9)</f>
        <v>0</v>
      </c>
      <c r="AY38" s="133">
        <f t="shared" si="10"/>
        <v>0</v>
      </c>
      <c r="AZ38" s="133">
        <f t="array" ref="AZ38">IF($AY$9=0,0,MMULT($AH38:$AM38, AY$3:AY$8)/$AY$9)</f>
        <v>0</v>
      </c>
      <c r="BA38" s="133">
        <f t="array" ref="BA38">IF($AZ$9=0,0,MMULT($AH38:$AM38, AZ$3:AZ$8)/$AZ$9)</f>
        <v>0</v>
      </c>
      <c r="BB38" s="133">
        <f t="array" ref="BB38">IF($BA$9=0,0,MMULT($AH38:$AM38, BA$3:BA$8)/$BA$9)</f>
        <v>0</v>
      </c>
      <c r="BC38" s="133">
        <f t="array" ref="BC38">IF($BB$9=0,0,MMULT($AH38:$AM38, BB$3:BB$8)/$BB$9)</f>
        <v>0</v>
      </c>
      <c r="BD38" s="133">
        <f t="array" ref="BD38">IF($BC$9=0,0,MMULT($AH38:$AM38, BC$3:BC$8)/$BC$9)</f>
        <v>0</v>
      </c>
      <c r="BE38" s="133">
        <f t="shared" si="11"/>
        <v>0</v>
      </c>
      <c r="BF38" s="133">
        <f t="shared" si="12"/>
        <v>0</v>
      </c>
      <c r="BG38" s="132">
        <f>IF(OR(GradeSheet!$M33="W (Withdrawn)", GradeSheet!$M33="I (Incomplete)"), 0, IF(AU38&gt;=65%, 1, 0))</f>
        <v>0</v>
      </c>
      <c r="BH38" s="132">
        <f>IF(OR(GradeSheet!$M33="W (Withdrawn)", GradeSheet!$M33="I (Incomplete)"), 0, IF(AV38&gt;=65%, 1, 0))</f>
        <v>0</v>
      </c>
      <c r="BI38" s="132">
        <f>IF(OR(GradeSheet!$M33="W (Withdrawn)", GradeSheet!$M33="I (Incomplete)"), 0, IF(AW38&gt;=65%, 1, 0))</f>
        <v>0</v>
      </c>
      <c r="BJ38" s="132">
        <f>IF(OR(GradeSheet!$M33="W (Withdrawn)", GradeSheet!$M33="I (Incomplete)"), 0, IF(AX38&gt;=65%, 1, 0))</f>
        <v>0</v>
      </c>
      <c r="BK38" s="132">
        <f>IF(OR(GradeSheet!$M33="W (Withdrawn)", GradeSheet!$M33="I (Incomplete)"), 0, IF(AY38&gt;=65%, 1, 0))</f>
        <v>0</v>
      </c>
      <c r="BL38" s="132">
        <f>IF(OR(GradeSheet!$M33="W (Withdrawn)", GradeSheet!$M33="I (Incomplete)"), 0, IF(AZ38&gt;=65%, 1, 0))</f>
        <v>0</v>
      </c>
      <c r="BM38" s="132">
        <f>IF(OR(GradeSheet!$M33="W (Withdrawn)", GradeSheet!$M33="I (Incomplete)"), 0, IF(BA38&gt;=65%, 1, 0))</f>
        <v>0</v>
      </c>
      <c r="BN38" s="132">
        <f>IF(OR(GradeSheet!$M33="W (Withdrawn)", GradeSheet!$M33="I (Incomplete)"), 0, IF(BB38&gt;=65%, 1, 0))</f>
        <v>0</v>
      </c>
      <c r="BO38" s="132">
        <f>IF(OR(GradeSheet!$M33="W (Withdrawn)", GradeSheet!$M33="I (Incomplete)"), 0, IF(BC38&gt;=65%, 1, 0))</f>
        <v>0</v>
      </c>
      <c r="BP38" s="132">
        <f>IF(OR(GradeSheet!$M33="W (Withdrawn)", GradeSheet!$M33="I (Incomplete)"), 0, IF(BD38&gt;=65%, 1, 0))</f>
        <v>0</v>
      </c>
      <c r="BQ38" s="132">
        <f>IF(OR(GradeSheet!$M33="W (Withdrawn)", GradeSheet!$M33="I (Incomplete)"), 0, IF(BE38&gt;=65%, 1, 0))</f>
        <v>0</v>
      </c>
      <c r="BR38" s="132">
        <f>IF(OR(GradeSheet!$M33="W (Withdrawn)", GradeSheet!$M33="I (Incomplete)"), 0, IF(BF38&gt;=65%, 1, 0))</f>
        <v>0</v>
      </c>
    </row>
    <row r="39" spans="1:70" ht="15.75" customHeight="1">
      <c r="A39" s="128">
        <v>25</v>
      </c>
      <c r="B39" s="178">
        <f>GradeSheet!X34</f>
        <v>0</v>
      </c>
      <c r="C39" s="178">
        <f>GradeSheet!W34</f>
        <v>0</v>
      </c>
      <c r="D39" s="177">
        <v>0</v>
      </c>
      <c r="E39" s="177">
        <v>0</v>
      </c>
      <c r="F39" s="177">
        <v>0</v>
      </c>
      <c r="G39" s="177">
        <v>0</v>
      </c>
      <c r="H39" s="177">
        <v>0</v>
      </c>
      <c r="I39" s="177">
        <v>0</v>
      </c>
      <c r="J39" s="177">
        <v>0</v>
      </c>
      <c r="K39" s="177">
        <v>0</v>
      </c>
      <c r="L39" s="177">
        <v>0</v>
      </c>
      <c r="M39" s="177">
        <v>0</v>
      </c>
      <c r="N39" s="177">
        <v>0</v>
      </c>
      <c r="O39" s="177">
        <v>0</v>
      </c>
      <c r="P39" s="177">
        <v>0</v>
      </c>
      <c r="Q39" s="177">
        <v>0</v>
      </c>
      <c r="R39" s="177">
        <v>0</v>
      </c>
      <c r="S39" s="177">
        <v>0</v>
      </c>
      <c r="T39" s="177">
        <v>0</v>
      </c>
      <c r="U39" s="177">
        <v>0</v>
      </c>
      <c r="V39" s="177">
        <v>0</v>
      </c>
      <c r="W39" s="177">
        <v>0</v>
      </c>
      <c r="X39" s="177">
        <v>0</v>
      </c>
      <c r="Y39" s="177">
        <v>0</v>
      </c>
      <c r="Z39" s="177">
        <v>0</v>
      </c>
      <c r="AA39" s="177">
        <v>0</v>
      </c>
      <c r="AB39" s="129">
        <f t="shared" si="13"/>
        <v>0</v>
      </c>
      <c r="AC39" s="130">
        <f t="shared" si="14"/>
        <v>0</v>
      </c>
      <c r="AD39" s="130">
        <f t="shared" si="15"/>
        <v>0</v>
      </c>
      <c r="AE39" s="130">
        <f t="shared" si="16"/>
        <v>0</v>
      </c>
      <c r="AF39" s="130">
        <f t="shared" si="17"/>
        <v>0</v>
      </c>
      <c r="AG39" s="135">
        <f t="shared" si="18"/>
        <v>0</v>
      </c>
      <c r="AH39" s="131">
        <f t="shared" ref="AH39:AM39" si="42">IF(AB39 = 0, 0, AB39/AB$14)</f>
        <v>0</v>
      </c>
      <c r="AI39" s="131">
        <f t="shared" si="42"/>
        <v>0</v>
      </c>
      <c r="AJ39" s="131">
        <f t="shared" si="42"/>
        <v>0</v>
      </c>
      <c r="AK39" s="131">
        <f t="shared" si="42"/>
        <v>0</v>
      </c>
      <c r="AL39" s="131">
        <f t="shared" si="42"/>
        <v>0</v>
      </c>
      <c r="AM39" s="131">
        <f t="shared" si="42"/>
        <v>0</v>
      </c>
      <c r="AN39" s="132">
        <f>IF(OR(GradeSheet!$M34="W (Withdrawn)", GradeSheet!$M34="I (Incomplete)"), 0, IF(AH39&gt;=55%, 1, 0))</f>
        <v>0</v>
      </c>
      <c r="AO39" s="132">
        <f>IF(OR(GradeSheet!$M34="W (Withdrawn)", GradeSheet!$M34="I (Incomplete)"), 0, IF(AI39&gt;=55%, 1, 0))</f>
        <v>0</v>
      </c>
      <c r="AP39" s="132">
        <f>IF(OR(GradeSheet!$M34="W (Withdrawn)", GradeSheet!$M34="I (Incomplete)"), 0, IF(AJ39&gt;=55%, 1, 0))</f>
        <v>0</v>
      </c>
      <c r="AQ39" s="132">
        <f>IF(OR(GradeSheet!$M34="W (Withdrawn)", GradeSheet!$M34="I (Incomplete)"), 0, IF(AK39&gt;=55%, 1, 0))</f>
        <v>0</v>
      </c>
      <c r="AR39" s="132">
        <f>IF(OR(GradeSheet!$M34="W (Withdrawn)", GradeSheet!$M34="I (Incomplete)"), 0, IF(AL39&gt;=55%, 1, 0))</f>
        <v>0</v>
      </c>
      <c r="AS39" s="132">
        <f>IF(OR(GradeSheet!$M34="W (Withdrawn)", GradeSheet!$M34="I (Incomplete)"), 0, IF(AM39&gt;=55%, 1, 0))</f>
        <v>0</v>
      </c>
      <c r="AT39" s="114"/>
      <c r="AU39" s="133">
        <f t="shared" si="8"/>
        <v>0</v>
      </c>
      <c r="AV39" s="133">
        <f t="shared" si="9"/>
        <v>0</v>
      </c>
      <c r="AW39" s="133">
        <f t="array" ref="AW39">IF($AV$9=0,0,MMULT($AH39:$AM39, AV$3:AV$8)/$AV$9)</f>
        <v>0</v>
      </c>
      <c r="AX39" s="133">
        <f t="array" ref="AX39">IF($AW$9=0,0,MMULT($AH39:$AM39, AW$3:AW$8)/$AW$9)</f>
        <v>0</v>
      </c>
      <c r="AY39" s="133">
        <f t="shared" si="10"/>
        <v>0</v>
      </c>
      <c r="AZ39" s="133">
        <f t="array" ref="AZ39">IF($AY$9=0,0,MMULT($AH39:$AM39, AY$3:AY$8)/$AY$9)</f>
        <v>0</v>
      </c>
      <c r="BA39" s="133">
        <f t="array" ref="BA39">IF($AZ$9=0,0,MMULT($AH39:$AM39, AZ$3:AZ$8)/$AZ$9)</f>
        <v>0</v>
      </c>
      <c r="BB39" s="133">
        <f t="array" ref="BB39">IF($BA$9=0,0,MMULT($AH39:$AM39, BA$3:BA$8)/$BA$9)</f>
        <v>0</v>
      </c>
      <c r="BC39" s="133">
        <f t="array" ref="BC39">IF($BB$9=0,0,MMULT($AH39:$AM39, BB$3:BB$8)/$BB$9)</f>
        <v>0</v>
      </c>
      <c r="BD39" s="133">
        <f t="array" ref="BD39">IF($BC$9=0,0,MMULT($AH39:$AM39, BC$3:BC$8)/$BC$9)</f>
        <v>0</v>
      </c>
      <c r="BE39" s="133">
        <f t="shared" si="11"/>
        <v>0</v>
      </c>
      <c r="BF39" s="133">
        <f t="shared" si="12"/>
        <v>0</v>
      </c>
      <c r="BG39" s="132">
        <f>IF(OR(GradeSheet!$M34="W (Withdrawn)", GradeSheet!$M34="I (Incomplete)"), 0, IF(AU39&gt;=65%, 1, 0))</f>
        <v>0</v>
      </c>
      <c r="BH39" s="132">
        <f>IF(OR(GradeSheet!$M34="W (Withdrawn)", GradeSheet!$M34="I (Incomplete)"), 0, IF(AV39&gt;=65%, 1, 0))</f>
        <v>0</v>
      </c>
      <c r="BI39" s="132">
        <f>IF(OR(GradeSheet!$M34="W (Withdrawn)", GradeSheet!$M34="I (Incomplete)"), 0, IF(AW39&gt;=65%, 1, 0))</f>
        <v>0</v>
      </c>
      <c r="BJ39" s="132">
        <f>IF(OR(GradeSheet!$M34="W (Withdrawn)", GradeSheet!$M34="I (Incomplete)"), 0, IF(AX39&gt;=65%, 1, 0))</f>
        <v>0</v>
      </c>
      <c r="BK39" s="132">
        <f>IF(OR(GradeSheet!$M34="W (Withdrawn)", GradeSheet!$M34="I (Incomplete)"), 0, IF(AY39&gt;=65%, 1, 0))</f>
        <v>0</v>
      </c>
      <c r="BL39" s="132">
        <f>IF(OR(GradeSheet!$M34="W (Withdrawn)", GradeSheet!$M34="I (Incomplete)"), 0, IF(AZ39&gt;=65%, 1, 0))</f>
        <v>0</v>
      </c>
      <c r="BM39" s="132">
        <f>IF(OR(GradeSheet!$M34="W (Withdrawn)", GradeSheet!$M34="I (Incomplete)"), 0, IF(BA39&gt;=65%, 1, 0))</f>
        <v>0</v>
      </c>
      <c r="BN39" s="132">
        <f>IF(OR(GradeSheet!$M34="W (Withdrawn)", GradeSheet!$M34="I (Incomplete)"), 0, IF(BB39&gt;=65%, 1, 0))</f>
        <v>0</v>
      </c>
      <c r="BO39" s="132">
        <f>IF(OR(GradeSheet!$M34="W (Withdrawn)", GradeSheet!$M34="I (Incomplete)"), 0, IF(BC39&gt;=65%, 1, 0))</f>
        <v>0</v>
      </c>
      <c r="BP39" s="132">
        <f>IF(OR(GradeSheet!$M34="W (Withdrawn)", GradeSheet!$M34="I (Incomplete)"), 0, IF(BD39&gt;=65%, 1, 0))</f>
        <v>0</v>
      </c>
      <c r="BQ39" s="132">
        <f>IF(OR(GradeSheet!$M34="W (Withdrawn)", GradeSheet!$M34="I (Incomplete)"), 0, IF(BE39&gt;=65%, 1, 0))</f>
        <v>0</v>
      </c>
      <c r="BR39" s="132">
        <f>IF(OR(GradeSheet!$M34="W (Withdrawn)", GradeSheet!$M34="I (Incomplete)"), 0, IF(BF39&gt;=65%, 1, 0))</f>
        <v>0</v>
      </c>
    </row>
    <row r="40" spans="1:70" ht="15.75" customHeight="1">
      <c r="A40" s="134">
        <v>26</v>
      </c>
      <c r="B40" s="178">
        <f>GradeSheet!X35</f>
        <v>0</v>
      </c>
      <c r="C40" s="178">
        <f>GradeSheet!W35</f>
        <v>0</v>
      </c>
      <c r="D40" s="177">
        <v>0</v>
      </c>
      <c r="E40" s="177">
        <v>0</v>
      </c>
      <c r="F40" s="177">
        <v>0</v>
      </c>
      <c r="G40" s="177">
        <v>0</v>
      </c>
      <c r="H40" s="177">
        <v>0</v>
      </c>
      <c r="I40" s="177">
        <v>0</v>
      </c>
      <c r="J40" s="177">
        <v>0</v>
      </c>
      <c r="K40" s="177">
        <v>0</v>
      </c>
      <c r="L40" s="177">
        <v>0</v>
      </c>
      <c r="M40" s="177">
        <v>0</v>
      </c>
      <c r="N40" s="177">
        <v>0</v>
      </c>
      <c r="O40" s="177">
        <v>0</v>
      </c>
      <c r="P40" s="177">
        <v>0</v>
      </c>
      <c r="Q40" s="177">
        <v>0</v>
      </c>
      <c r="R40" s="177">
        <v>0</v>
      </c>
      <c r="S40" s="177">
        <v>0</v>
      </c>
      <c r="T40" s="177">
        <v>0</v>
      </c>
      <c r="U40" s="177">
        <v>0</v>
      </c>
      <c r="V40" s="177">
        <v>0</v>
      </c>
      <c r="W40" s="177">
        <v>0</v>
      </c>
      <c r="X40" s="177">
        <v>0</v>
      </c>
      <c r="Y40" s="177">
        <v>0</v>
      </c>
      <c r="Z40" s="177">
        <v>0</v>
      </c>
      <c r="AA40" s="177">
        <v>0</v>
      </c>
      <c r="AB40" s="129">
        <f t="shared" si="13"/>
        <v>0</v>
      </c>
      <c r="AC40" s="130">
        <f t="shared" si="14"/>
        <v>0</v>
      </c>
      <c r="AD40" s="130">
        <f t="shared" si="15"/>
        <v>0</v>
      </c>
      <c r="AE40" s="130">
        <f t="shared" si="16"/>
        <v>0</v>
      </c>
      <c r="AF40" s="130">
        <f t="shared" si="17"/>
        <v>0</v>
      </c>
      <c r="AG40" s="135">
        <f t="shared" si="18"/>
        <v>0</v>
      </c>
      <c r="AH40" s="131">
        <f t="shared" ref="AH40:AM40" si="43">IF(AB40 = 0, 0, AB40/AB$14)</f>
        <v>0</v>
      </c>
      <c r="AI40" s="131">
        <f t="shared" si="43"/>
        <v>0</v>
      </c>
      <c r="AJ40" s="131">
        <f t="shared" si="43"/>
        <v>0</v>
      </c>
      <c r="AK40" s="131">
        <f t="shared" si="43"/>
        <v>0</v>
      </c>
      <c r="AL40" s="131">
        <f t="shared" si="43"/>
        <v>0</v>
      </c>
      <c r="AM40" s="131">
        <f t="shared" si="43"/>
        <v>0</v>
      </c>
      <c r="AN40" s="132">
        <f>IF(OR(GradeSheet!$M35="W (Withdrawn)", GradeSheet!$M35="I (Incomplete)"), 0, IF(AH40&gt;=55%, 1, 0))</f>
        <v>0</v>
      </c>
      <c r="AO40" s="132">
        <f>IF(OR(GradeSheet!$M35="W (Withdrawn)", GradeSheet!$M35="I (Incomplete)"), 0, IF(AI40&gt;=55%, 1, 0))</f>
        <v>0</v>
      </c>
      <c r="AP40" s="132">
        <f>IF(OR(GradeSheet!$M35="W (Withdrawn)", GradeSheet!$M35="I (Incomplete)"), 0, IF(AJ40&gt;=55%, 1, 0))</f>
        <v>0</v>
      </c>
      <c r="AQ40" s="132">
        <f>IF(OR(GradeSheet!$M35="W (Withdrawn)", GradeSheet!$M35="I (Incomplete)"), 0, IF(AK40&gt;=55%, 1, 0))</f>
        <v>0</v>
      </c>
      <c r="AR40" s="132">
        <f>IF(OR(GradeSheet!$M35="W (Withdrawn)", GradeSheet!$M35="I (Incomplete)"), 0, IF(AL40&gt;=55%, 1, 0))</f>
        <v>0</v>
      </c>
      <c r="AS40" s="132">
        <f>IF(OR(GradeSheet!$M35="W (Withdrawn)", GradeSheet!$M35="I (Incomplete)"), 0, IF(AM40&gt;=55%, 1, 0))</f>
        <v>0</v>
      </c>
      <c r="AT40" s="114"/>
      <c r="AU40" s="133">
        <f t="shared" si="8"/>
        <v>0</v>
      </c>
      <c r="AV40" s="133">
        <f t="shared" si="9"/>
        <v>0</v>
      </c>
      <c r="AW40" s="133">
        <f t="array" ref="AW40">IF($AV$9=0,0,MMULT($AH40:$AM40, AV$3:AV$8)/$AV$9)</f>
        <v>0</v>
      </c>
      <c r="AX40" s="133">
        <f t="array" ref="AX40">IF($AW$9=0,0,MMULT($AH40:$AM40, AW$3:AW$8)/$AW$9)</f>
        <v>0</v>
      </c>
      <c r="AY40" s="133">
        <f t="shared" si="10"/>
        <v>0</v>
      </c>
      <c r="AZ40" s="133">
        <f t="array" ref="AZ40">IF($AY$9=0,0,MMULT($AH40:$AM40, AY$3:AY$8)/$AY$9)</f>
        <v>0</v>
      </c>
      <c r="BA40" s="133">
        <f t="array" ref="BA40">IF($AZ$9=0,0,MMULT($AH40:$AM40, AZ$3:AZ$8)/$AZ$9)</f>
        <v>0</v>
      </c>
      <c r="BB40" s="133">
        <f t="array" ref="BB40">IF($BA$9=0,0,MMULT($AH40:$AM40, BA$3:BA$8)/$BA$9)</f>
        <v>0</v>
      </c>
      <c r="BC40" s="133">
        <f t="array" ref="BC40">IF($BB$9=0,0,MMULT($AH40:$AM40, BB$3:BB$8)/$BB$9)</f>
        <v>0</v>
      </c>
      <c r="BD40" s="133">
        <f t="array" ref="BD40">IF($BC$9=0,0,MMULT($AH40:$AM40, BC$3:BC$8)/$BC$9)</f>
        <v>0</v>
      </c>
      <c r="BE40" s="133">
        <f t="shared" si="11"/>
        <v>0</v>
      </c>
      <c r="BF40" s="133">
        <f t="shared" si="12"/>
        <v>0</v>
      </c>
      <c r="BG40" s="132">
        <f>IF(OR(GradeSheet!$M35="W (Withdrawn)", GradeSheet!$M35="I (Incomplete)"), 0, IF(AU40&gt;=65%, 1, 0))</f>
        <v>0</v>
      </c>
      <c r="BH40" s="132">
        <f>IF(OR(GradeSheet!$M35="W (Withdrawn)", GradeSheet!$M35="I (Incomplete)"), 0, IF(AV40&gt;=65%, 1, 0))</f>
        <v>0</v>
      </c>
      <c r="BI40" s="132">
        <f>IF(OR(GradeSheet!$M35="W (Withdrawn)", GradeSheet!$M35="I (Incomplete)"), 0, IF(AW40&gt;=65%, 1, 0))</f>
        <v>0</v>
      </c>
      <c r="BJ40" s="132">
        <f>IF(OR(GradeSheet!$M35="W (Withdrawn)", GradeSheet!$M35="I (Incomplete)"), 0, IF(AX40&gt;=65%, 1, 0))</f>
        <v>0</v>
      </c>
      <c r="BK40" s="132">
        <f>IF(OR(GradeSheet!$M35="W (Withdrawn)", GradeSheet!$M35="I (Incomplete)"), 0, IF(AY40&gt;=65%, 1, 0))</f>
        <v>0</v>
      </c>
      <c r="BL40" s="132">
        <f>IF(OR(GradeSheet!$M35="W (Withdrawn)", GradeSheet!$M35="I (Incomplete)"), 0, IF(AZ40&gt;=65%, 1, 0))</f>
        <v>0</v>
      </c>
      <c r="BM40" s="132">
        <f>IF(OR(GradeSheet!$M35="W (Withdrawn)", GradeSheet!$M35="I (Incomplete)"), 0, IF(BA40&gt;=65%, 1, 0))</f>
        <v>0</v>
      </c>
      <c r="BN40" s="132">
        <f>IF(OR(GradeSheet!$M35="W (Withdrawn)", GradeSheet!$M35="I (Incomplete)"), 0, IF(BB40&gt;=65%, 1, 0))</f>
        <v>0</v>
      </c>
      <c r="BO40" s="132">
        <f>IF(OR(GradeSheet!$M35="W (Withdrawn)", GradeSheet!$M35="I (Incomplete)"), 0, IF(BC40&gt;=65%, 1, 0))</f>
        <v>0</v>
      </c>
      <c r="BP40" s="132">
        <f>IF(OR(GradeSheet!$M35="W (Withdrawn)", GradeSheet!$M35="I (Incomplete)"), 0, IF(BD40&gt;=65%, 1, 0))</f>
        <v>0</v>
      </c>
      <c r="BQ40" s="132">
        <f>IF(OR(GradeSheet!$M35="W (Withdrawn)", GradeSheet!$M35="I (Incomplete)"), 0, IF(BE40&gt;=65%, 1, 0))</f>
        <v>0</v>
      </c>
      <c r="BR40" s="132">
        <f>IF(OR(GradeSheet!$M35="W (Withdrawn)", GradeSheet!$M35="I (Incomplete)"), 0, IF(BF40&gt;=65%, 1, 0))</f>
        <v>0</v>
      </c>
    </row>
    <row r="41" spans="1:70" ht="15.75" customHeight="1">
      <c r="A41" s="128">
        <v>27</v>
      </c>
      <c r="B41" s="178">
        <f>GradeSheet!X36</f>
        <v>0</v>
      </c>
      <c r="C41" s="178">
        <f>GradeSheet!W36</f>
        <v>0</v>
      </c>
      <c r="D41" s="177">
        <v>0</v>
      </c>
      <c r="E41" s="177">
        <v>0</v>
      </c>
      <c r="F41" s="177">
        <v>0</v>
      </c>
      <c r="G41" s="177">
        <v>0</v>
      </c>
      <c r="H41" s="177">
        <v>0</v>
      </c>
      <c r="I41" s="177">
        <v>0</v>
      </c>
      <c r="J41" s="177">
        <v>0</v>
      </c>
      <c r="K41" s="177">
        <v>0</v>
      </c>
      <c r="L41" s="177">
        <v>0</v>
      </c>
      <c r="M41" s="177">
        <v>0</v>
      </c>
      <c r="N41" s="177">
        <v>0</v>
      </c>
      <c r="O41" s="177">
        <v>0</v>
      </c>
      <c r="P41" s="177">
        <v>0</v>
      </c>
      <c r="Q41" s="177">
        <v>0</v>
      </c>
      <c r="R41" s="177">
        <v>0</v>
      </c>
      <c r="S41" s="177">
        <v>0</v>
      </c>
      <c r="T41" s="177">
        <v>0</v>
      </c>
      <c r="U41" s="177">
        <v>0</v>
      </c>
      <c r="V41" s="177">
        <v>0</v>
      </c>
      <c r="W41" s="177">
        <v>0</v>
      </c>
      <c r="X41" s="177">
        <v>0</v>
      </c>
      <c r="Y41" s="177">
        <v>0</v>
      </c>
      <c r="Z41" s="177">
        <v>0</v>
      </c>
      <c r="AA41" s="177">
        <v>0</v>
      </c>
      <c r="AB41" s="129">
        <f t="shared" si="13"/>
        <v>0</v>
      </c>
      <c r="AC41" s="130">
        <f t="shared" si="14"/>
        <v>0</v>
      </c>
      <c r="AD41" s="130">
        <f t="shared" si="15"/>
        <v>0</v>
      </c>
      <c r="AE41" s="130">
        <f t="shared" si="16"/>
        <v>0</v>
      </c>
      <c r="AF41" s="130">
        <f t="shared" si="17"/>
        <v>0</v>
      </c>
      <c r="AG41" s="135">
        <f t="shared" si="18"/>
        <v>0</v>
      </c>
      <c r="AH41" s="131">
        <f t="shared" ref="AH41:AM41" si="44">IF(AB41 = 0, 0, AB41/AB$14)</f>
        <v>0</v>
      </c>
      <c r="AI41" s="131">
        <f t="shared" si="44"/>
        <v>0</v>
      </c>
      <c r="AJ41" s="131">
        <f t="shared" si="44"/>
        <v>0</v>
      </c>
      <c r="AK41" s="131">
        <f t="shared" si="44"/>
        <v>0</v>
      </c>
      <c r="AL41" s="131">
        <f t="shared" si="44"/>
        <v>0</v>
      </c>
      <c r="AM41" s="131">
        <f t="shared" si="44"/>
        <v>0</v>
      </c>
      <c r="AN41" s="132">
        <f>IF(OR(GradeSheet!$M36="W (Withdrawn)", GradeSheet!$M36="I (Incomplete)"), 0, IF(AH41&gt;=55%, 1, 0))</f>
        <v>0</v>
      </c>
      <c r="AO41" s="132">
        <f>IF(OR(GradeSheet!$M36="W (Withdrawn)", GradeSheet!$M36="I (Incomplete)"), 0, IF(AI41&gt;=55%, 1, 0))</f>
        <v>0</v>
      </c>
      <c r="AP41" s="132">
        <f>IF(OR(GradeSheet!$M36="W (Withdrawn)", GradeSheet!$M36="I (Incomplete)"), 0, IF(AJ41&gt;=55%, 1, 0))</f>
        <v>0</v>
      </c>
      <c r="AQ41" s="132">
        <f>IF(OR(GradeSheet!$M36="W (Withdrawn)", GradeSheet!$M36="I (Incomplete)"), 0, IF(AK41&gt;=55%, 1, 0))</f>
        <v>0</v>
      </c>
      <c r="AR41" s="132">
        <f>IF(OR(GradeSheet!$M36="W (Withdrawn)", GradeSheet!$M36="I (Incomplete)"), 0, IF(AL41&gt;=55%, 1, 0))</f>
        <v>0</v>
      </c>
      <c r="AS41" s="132">
        <f>IF(OR(GradeSheet!$M36="W (Withdrawn)", GradeSheet!$M36="I (Incomplete)"), 0, IF(AM41&gt;=55%, 1, 0))</f>
        <v>0</v>
      </c>
      <c r="AT41" s="114"/>
      <c r="AU41" s="133">
        <f t="shared" si="8"/>
        <v>0</v>
      </c>
      <c r="AV41" s="133">
        <f t="shared" si="9"/>
        <v>0</v>
      </c>
      <c r="AW41" s="133">
        <f t="array" ref="AW41">IF($AV$9=0,0,MMULT($AH41:$AM41, AV$3:AV$8)/$AV$9)</f>
        <v>0</v>
      </c>
      <c r="AX41" s="133">
        <f t="array" ref="AX41">IF($AW$9=0,0,MMULT($AH41:$AM41, AW$3:AW$8)/$AW$9)</f>
        <v>0</v>
      </c>
      <c r="AY41" s="133">
        <f t="shared" si="10"/>
        <v>0</v>
      </c>
      <c r="AZ41" s="133">
        <f t="array" ref="AZ41">IF($AY$9=0,0,MMULT($AH41:$AM41, AY$3:AY$8)/$AY$9)</f>
        <v>0</v>
      </c>
      <c r="BA41" s="133">
        <f t="array" ref="BA41">IF($AZ$9=0,0,MMULT($AH41:$AM41, AZ$3:AZ$8)/$AZ$9)</f>
        <v>0</v>
      </c>
      <c r="BB41" s="133">
        <f t="array" ref="BB41">IF($BA$9=0,0,MMULT($AH41:$AM41, BA$3:BA$8)/$BA$9)</f>
        <v>0</v>
      </c>
      <c r="BC41" s="133">
        <f t="array" ref="BC41">IF($BB$9=0,0,MMULT($AH41:$AM41, BB$3:BB$8)/$BB$9)</f>
        <v>0</v>
      </c>
      <c r="BD41" s="133">
        <f t="array" ref="BD41">IF($BC$9=0,0,MMULT($AH41:$AM41, BC$3:BC$8)/$BC$9)</f>
        <v>0</v>
      </c>
      <c r="BE41" s="133">
        <f t="shared" si="11"/>
        <v>0</v>
      </c>
      <c r="BF41" s="133">
        <f t="shared" si="12"/>
        <v>0</v>
      </c>
      <c r="BG41" s="132">
        <f>IF(OR(GradeSheet!$M36="W (Withdrawn)", GradeSheet!$M36="I (Incomplete)"), 0, IF(AU41&gt;=65%, 1, 0))</f>
        <v>0</v>
      </c>
      <c r="BH41" s="132">
        <f>IF(OR(GradeSheet!$M36="W (Withdrawn)", GradeSheet!$M36="I (Incomplete)"), 0, IF(AV41&gt;=65%, 1, 0))</f>
        <v>0</v>
      </c>
      <c r="BI41" s="132">
        <f>IF(OR(GradeSheet!$M36="W (Withdrawn)", GradeSheet!$M36="I (Incomplete)"), 0, IF(AW41&gt;=65%, 1, 0))</f>
        <v>0</v>
      </c>
      <c r="BJ41" s="132">
        <f>IF(OR(GradeSheet!$M36="W (Withdrawn)", GradeSheet!$M36="I (Incomplete)"), 0, IF(AX41&gt;=65%, 1, 0))</f>
        <v>0</v>
      </c>
      <c r="BK41" s="132">
        <f>IF(OR(GradeSheet!$M36="W (Withdrawn)", GradeSheet!$M36="I (Incomplete)"), 0, IF(AY41&gt;=65%, 1, 0))</f>
        <v>0</v>
      </c>
      <c r="BL41" s="132">
        <f>IF(OR(GradeSheet!$M36="W (Withdrawn)", GradeSheet!$M36="I (Incomplete)"), 0, IF(AZ41&gt;=65%, 1, 0))</f>
        <v>0</v>
      </c>
      <c r="BM41" s="132">
        <f>IF(OR(GradeSheet!$M36="W (Withdrawn)", GradeSheet!$M36="I (Incomplete)"), 0, IF(BA41&gt;=65%, 1, 0))</f>
        <v>0</v>
      </c>
      <c r="BN41" s="132">
        <f>IF(OR(GradeSheet!$M36="W (Withdrawn)", GradeSheet!$M36="I (Incomplete)"), 0, IF(BB41&gt;=65%, 1, 0))</f>
        <v>0</v>
      </c>
      <c r="BO41" s="132">
        <f>IF(OR(GradeSheet!$M36="W (Withdrawn)", GradeSheet!$M36="I (Incomplete)"), 0, IF(BC41&gt;=65%, 1, 0))</f>
        <v>0</v>
      </c>
      <c r="BP41" s="132">
        <f>IF(OR(GradeSheet!$M36="W (Withdrawn)", GradeSheet!$M36="I (Incomplete)"), 0, IF(BD41&gt;=65%, 1, 0))</f>
        <v>0</v>
      </c>
      <c r="BQ41" s="132">
        <f>IF(OR(GradeSheet!$M36="W (Withdrawn)", GradeSheet!$M36="I (Incomplete)"), 0, IF(BE41&gt;=65%, 1, 0))</f>
        <v>0</v>
      </c>
      <c r="BR41" s="132">
        <f>IF(OR(GradeSheet!$M36="W (Withdrawn)", GradeSheet!$M36="I (Incomplete)"), 0, IF(BF41&gt;=65%, 1, 0))</f>
        <v>0</v>
      </c>
    </row>
    <row r="42" spans="1:70" ht="15.75" customHeight="1">
      <c r="A42" s="134">
        <v>28</v>
      </c>
      <c r="B42" s="178">
        <f>GradeSheet!X37</f>
        <v>0</v>
      </c>
      <c r="C42" s="178">
        <f>GradeSheet!W37</f>
        <v>0</v>
      </c>
      <c r="D42" s="177">
        <v>0</v>
      </c>
      <c r="E42" s="177">
        <v>0</v>
      </c>
      <c r="F42" s="177">
        <v>0</v>
      </c>
      <c r="G42" s="177">
        <v>0</v>
      </c>
      <c r="H42" s="177">
        <v>0</v>
      </c>
      <c r="I42" s="177">
        <v>0</v>
      </c>
      <c r="J42" s="177">
        <v>0</v>
      </c>
      <c r="K42" s="177">
        <v>0</v>
      </c>
      <c r="L42" s="177">
        <v>0</v>
      </c>
      <c r="M42" s="177">
        <v>0</v>
      </c>
      <c r="N42" s="177">
        <v>0</v>
      </c>
      <c r="O42" s="177">
        <v>0</v>
      </c>
      <c r="P42" s="177">
        <v>0</v>
      </c>
      <c r="Q42" s="177">
        <v>0</v>
      </c>
      <c r="R42" s="177">
        <v>0</v>
      </c>
      <c r="S42" s="177">
        <v>0</v>
      </c>
      <c r="T42" s="177">
        <v>0</v>
      </c>
      <c r="U42" s="177">
        <v>0</v>
      </c>
      <c r="V42" s="177">
        <v>0</v>
      </c>
      <c r="W42" s="177">
        <v>0</v>
      </c>
      <c r="X42" s="177">
        <v>0</v>
      </c>
      <c r="Y42" s="177">
        <v>0</v>
      </c>
      <c r="Z42" s="177">
        <v>0</v>
      </c>
      <c r="AA42" s="177">
        <v>0</v>
      </c>
      <c r="AB42" s="129">
        <f t="shared" si="13"/>
        <v>0</v>
      </c>
      <c r="AC42" s="130">
        <f t="shared" si="14"/>
        <v>0</v>
      </c>
      <c r="AD42" s="130">
        <f t="shared" si="15"/>
        <v>0</v>
      </c>
      <c r="AE42" s="130">
        <f t="shared" si="16"/>
        <v>0</v>
      </c>
      <c r="AF42" s="130">
        <f t="shared" si="17"/>
        <v>0</v>
      </c>
      <c r="AG42" s="135">
        <f t="shared" si="18"/>
        <v>0</v>
      </c>
      <c r="AH42" s="131">
        <f t="shared" ref="AH42:AM42" si="45">IF(AB42 = 0, 0, AB42/AB$14)</f>
        <v>0</v>
      </c>
      <c r="AI42" s="131">
        <f t="shared" si="45"/>
        <v>0</v>
      </c>
      <c r="AJ42" s="131">
        <f t="shared" si="45"/>
        <v>0</v>
      </c>
      <c r="AK42" s="131">
        <f t="shared" si="45"/>
        <v>0</v>
      </c>
      <c r="AL42" s="131">
        <f t="shared" si="45"/>
        <v>0</v>
      </c>
      <c r="AM42" s="131">
        <f t="shared" si="45"/>
        <v>0</v>
      </c>
      <c r="AN42" s="132">
        <f>IF(OR(GradeSheet!$M37="W (Withdrawn)", GradeSheet!$M37="I (Incomplete)"), 0, IF(AH42&gt;=55%, 1, 0))</f>
        <v>0</v>
      </c>
      <c r="AO42" s="132">
        <f>IF(OR(GradeSheet!$M37="W (Withdrawn)", GradeSheet!$M37="I (Incomplete)"), 0, IF(AI42&gt;=55%, 1, 0))</f>
        <v>0</v>
      </c>
      <c r="AP42" s="132">
        <f>IF(OR(GradeSheet!$M37="W (Withdrawn)", GradeSheet!$M37="I (Incomplete)"), 0, IF(AJ42&gt;=55%, 1, 0))</f>
        <v>0</v>
      </c>
      <c r="AQ42" s="132">
        <f>IF(OR(GradeSheet!$M37="W (Withdrawn)", GradeSheet!$M37="I (Incomplete)"), 0, IF(AK42&gt;=55%, 1, 0))</f>
        <v>0</v>
      </c>
      <c r="AR42" s="132">
        <f>IF(OR(GradeSheet!$M37="W (Withdrawn)", GradeSheet!$M37="I (Incomplete)"), 0, IF(AL42&gt;=55%, 1, 0))</f>
        <v>0</v>
      </c>
      <c r="AS42" s="132">
        <f>IF(OR(GradeSheet!$M37="W (Withdrawn)", GradeSheet!$M37="I (Incomplete)"), 0, IF(AM42&gt;=55%, 1, 0))</f>
        <v>0</v>
      </c>
      <c r="AT42" s="114"/>
      <c r="AU42" s="133">
        <f t="shared" si="8"/>
        <v>0</v>
      </c>
      <c r="AV42" s="133">
        <f t="shared" si="9"/>
        <v>0</v>
      </c>
      <c r="AW42" s="133">
        <f t="array" ref="AW42">IF($AV$9=0,0,MMULT($AH42:$AM42, AV$3:AV$8)/$AV$9)</f>
        <v>0</v>
      </c>
      <c r="AX42" s="133">
        <f t="array" ref="AX42">IF($AW$9=0,0,MMULT($AH42:$AM42, AW$3:AW$8)/$AW$9)</f>
        <v>0</v>
      </c>
      <c r="AY42" s="133">
        <f t="shared" si="10"/>
        <v>0</v>
      </c>
      <c r="AZ42" s="133">
        <f t="array" ref="AZ42">IF($AY$9=0,0,MMULT($AH42:$AM42, AY$3:AY$8)/$AY$9)</f>
        <v>0</v>
      </c>
      <c r="BA42" s="133">
        <f t="array" ref="BA42">IF($AZ$9=0,0,MMULT($AH42:$AM42, AZ$3:AZ$8)/$AZ$9)</f>
        <v>0</v>
      </c>
      <c r="BB42" s="133">
        <f t="array" ref="BB42">IF($BA$9=0,0,MMULT($AH42:$AM42, BA$3:BA$8)/$BA$9)</f>
        <v>0</v>
      </c>
      <c r="BC42" s="133">
        <f t="array" ref="BC42">IF($BB$9=0,0,MMULT($AH42:$AM42, BB$3:BB$8)/$BB$9)</f>
        <v>0</v>
      </c>
      <c r="BD42" s="133">
        <f t="array" ref="BD42">IF($BC$9=0,0,MMULT($AH42:$AM42, BC$3:BC$8)/$BC$9)</f>
        <v>0</v>
      </c>
      <c r="BE42" s="133">
        <f t="shared" si="11"/>
        <v>0</v>
      </c>
      <c r="BF42" s="133">
        <f t="shared" si="12"/>
        <v>0</v>
      </c>
      <c r="BG42" s="132">
        <f>IF(OR(GradeSheet!$M37="W (Withdrawn)", GradeSheet!$M37="I (Incomplete)"), 0, IF(AU42&gt;=65%, 1, 0))</f>
        <v>0</v>
      </c>
      <c r="BH42" s="132">
        <f>IF(OR(GradeSheet!$M37="W (Withdrawn)", GradeSheet!$M37="I (Incomplete)"), 0, IF(AV42&gt;=65%, 1, 0))</f>
        <v>0</v>
      </c>
      <c r="BI42" s="132">
        <f>IF(OR(GradeSheet!$M37="W (Withdrawn)", GradeSheet!$M37="I (Incomplete)"), 0, IF(AW42&gt;=65%, 1, 0))</f>
        <v>0</v>
      </c>
      <c r="BJ42" s="132">
        <f>IF(OR(GradeSheet!$M37="W (Withdrawn)", GradeSheet!$M37="I (Incomplete)"), 0, IF(AX42&gt;=65%, 1, 0))</f>
        <v>0</v>
      </c>
      <c r="BK42" s="132">
        <f>IF(OR(GradeSheet!$M37="W (Withdrawn)", GradeSheet!$M37="I (Incomplete)"), 0, IF(AY42&gt;=65%, 1, 0))</f>
        <v>0</v>
      </c>
      <c r="BL42" s="132">
        <f>IF(OR(GradeSheet!$M37="W (Withdrawn)", GradeSheet!$M37="I (Incomplete)"), 0, IF(AZ42&gt;=65%, 1, 0))</f>
        <v>0</v>
      </c>
      <c r="BM42" s="132">
        <f>IF(OR(GradeSheet!$M37="W (Withdrawn)", GradeSheet!$M37="I (Incomplete)"), 0, IF(BA42&gt;=65%, 1, 0))</f>
        <v>0</v>
      </c>
      <c r="BN42" s="132">
        <f>IF(OR(GradeSheet!$M37="W (Withdrawn)", GradeSheet!$M37="I (Incomplete)"), 0, IF(BB42&gt;=65%, 1, 0))</f>
        <v>0</v>
      </c>
      <c r="BO42" s="132">
        <f>IF(OR(GradeSheet!$M37="W (Withdrawn)", GradeSheet!$M37="I (Incomplete)"), 0, IF(BC42&gt;=65%, 1, 0))</f>
        <v>0</v>
      </c>
      <c r="BP42" s="132">
        <f>IF(OR(GradeSheet!$M37="W (Withdrawn)", GradeSheet!$M37="I (Incomplete)"), 0, IF(BD42&gt;=65%, 1, 0))</f>
        <v>0</v>
      </c>
      <c r="BQ42" s="132">
        <f>IF(OR(GradeSheet!$M37="W (Withdrawn)", GradeSheet!$M37="I (Incomplete)"), 0, IF(BE42&gt;=65%, 1, 0))</f>
        <v>0</v>
      </c>
      <c r="BR42" s="132">
        <f>IF(OR(GradeSheet!$M37="W (Withdrawn)", GradeSheet!$M37="I (Incomplete)"), 0, IF(BF42&gt;=65%, 1, 0))</f>
        <v>0</v>
      </c>
    </row>
    <row r="43" spans="1:70" ht="15.75" customHeight="1">
      <c r="A43" s="128">
        <v>29</v>
      </c>
      <c r="B43" s="178">
        <f>GradeSheet!X38</f>
        <v>0</v>
      </c>
      <c r="C43" s="178">
        <f>GradeSheet!W38</f>
        <v>0</v>
      </c>
      <c r="D43" s="177">
        <v>0</v>
      </c>
      <c r="E43" s="177">
        <v>0</v>
      </c>
      <c r="F43" s="177">
        <v>0</v>
      </c>
      <c r="G43" s="177">
        <v>0</v>
      </c>
      <c r="H43" s="177">
        <v>0</v>
      </c>
      <c r="I43" s="177">
        <v>0</v>
      </c>
      <c r="J43" s="177">
        <v>0</v>
      </c>
      <c r="K43" s="177">
        <v>0</v>
      </c>
      <c r="L43" s="177">
        <v>0</v>
      </c>
      <c r="M43" s="177">
        <v>0</v>
      </c>
      <c r="N43" s="177">
        <v>0</v>
      </c>
      <c r="O43" s="177">
        <v>0</v>
      </c>
      <c r="P43" s="177">
        <v>0</v>
      </c>
      <c r="Q43" s="177">
        <v>0</v>
      </c>
      <c r="R43" s="177">
        <v>0</v>
      </c>
      <c r="S43" s="177">
        <v>0</v>
      </c>
      <c r="T43" s="177">
        <v>0</v>
      </c>
      <c r="U43" s="177">
        <v>0</v>
      </c>
      <c r="V43" s="177">
        <v>0</v>
      </c>
      <c r="W43" s="177">
        <v>0</v>
      </c>
      <c r="X43" s="177">
        <v>0</v>
      </c>
      <c r="Y43" s="177">
        <v>0</v>
      </c>
      <c r="Z43" s="177">
        <v>0</v>
      </c>
      <c r="AA43" s="177">
        <v>0</v>
      </c>
      <c r="AB43" s="129">
        <f t="shared" si="13"/>
        <v>0</v>
      </c>
      <c r="AC43" s="130">
        <f t="shared" si="14"/>
        <v>0</v>
      </c>
      <c r="AD43" s="130">
        <f t="shared" si="15"/>
        <v>0</v>
      </c>
      <c r="AE43" s="130">
        <f t="shared" si="16"/>
        <v>0</v>
      </c>
      <c r="AF43" s="130">
        <f t="shared" si="17"/>
        <v>0</v>
      </c>
      <c r="AG43" s="135">
        <f t="shared" si="18"/>
        <v>0</v>
      </c>
      <c r="AH43" s="131">
        <f t="shared" ref="AH43:AM43" si="46">IF(AB43 = 0, 0, AB43/AB$14)</f>
        <v>0</v>
      </c>
      <c r="AI43" s="131">
        <f t="shared" si="46"/>
        <v>0</v>
      </c>
      <c r="AJ43" s="131">
        <f t="shared" si="46"/>
        <v>0</v>
      </c>
      <c r="AK43" s="131">
        <f t="shared" si="46"/>
        <v>0</v>
      </c>
      <c r="AL43" s="131">
        <f t="shared" si="46"/>
        <v>0</v>
      </c>
      <c r="AM43" s="131">
        <f t="shared" si="46"/>
        <v>0</v>
      </c>
      <c r="AN43" s="132">
        <f>IF(OR(GradeSheet!$M38="W (Withdrawn)", GradeSheet!$M38="I (Incomplete)"), 0, IF(AH43&gt;=55%, 1, 0))</f>
        <v>0</v>
      </c>
      <c r="AO43" s="132">
        <f>IF(OR(GradeSheet!$M38="W (Withdrawn)", GradeSheet!$M38="I (Incomplete)"), 0, IF(AI43&gt;=55%, 1, 0))</f>
        <v>0</v>
      </c>
      <c r="AP43" s="132">
        <f>IF(OR(GradeSheet!$M38="W (Withdrawn)", GradeSheet!$M38="I (Incomplete)"), 0, IF(AJ43&gt;=55%, 1, 0))</f>
        <v>0</v>
      </c>
      <c r="AQ43" s="132">
        <f>IF(OR(GradeSheet!$M38="W (Withdrawn)", GradeSheet!$M38="I (Incomplete)"), 0, IF(AK43&gt;=55%, 1, 0))</f>
        <v>0</v>
      </c>
      <c r="AR43" s="132">
        <f>IF(OR(GradeSheet!$M38="W (Withdrawn)", GradeSheet!$M38="I (Incomplete)"), 0, IF(AL43&gt;=55%, 1, 0))</f>
        <v>0</v>
      </c>
      <c r="AS43" s="132">
        <f>IF(OR(GradeSheet!$M38="W (Withdrawn)", GradeSheet!$M38="I (Incomplete)"), 0, IF(AM43&gt;=55%, 1, 0))</f>
        <v>0</v>
      </c>
      <c r="AT43" s="114"/>
      <c r="AU43" s="133">
        <f t="shared" si="8"/>
        <v>0</v>
      </c>
      <c r="AV43" s="133">
        <f t="shared" si="9"/>
        <v>0</v>
      </c>
      <c r="AW43" s="133">
        <f t="array" ref="AW43">IF($AV$9=0,0,MMULT($AH43:$AM43, AV$3:AV$8)/$AV$9)</f>
        <v>0</v>
      </c>
      <c r="AX43" s="133">
        <f t="array" ref="AX43">IF($AW$9=0,0,MMULT($AH43:$AM43, AW$3:AW$8)/$AW$9)</f>
        <v>0</v>
      </c>
      <c r="AY43" s="133">
        <f t="shared" si="10"/>
        <v>0</v>
      </c>
      <c r="AZ43" s="133">
        <f t="array" ref="AZ43">IF($AY$9=0,0,MMULT($AH43:$AM43, AY$3:AY$8)/$AY$9)</f>
        <v>0</v>
      </c>
      <c r="BA43" s="133">
        <f t="array" ref="BA43">IF($AZ$9=0,0,MMULT($AH43:$AM43, AZ$3:AZ$8)/$AZ$9)</f>
        <v>0</v>
      </c>
      <c r="BB43" s="133">
        <f t="array" ref="BB43">IF($BA$9=0,0,MMULT($AH43:$AM43, BA$3:BA$8)/$BA$9)</f>
        <v>0</v>
      </c>
      <c r="BC43" s="133">
        <f t="array" ref="BC43">IF($BB$9=0,0,MMULT($AH43:$AM43, BB$3:BB$8)/$BB$9)</f>
        <v>0</v>
      </c>
      <c r="BD43" s="133">
        <f t="array" ref="BD43">IF($BC$9=0,0,MMULT($AH43:$AM43, BC$3:BC$8)/$BC$9)</f>
        <v>0</v>
      </c>
      <c r="BE43" s="133">
        <f t="shared" si="11"/>
        <v>0</v>
      </c>
      <c r="BF43" s="133">
        <f t="shared" si="12"/>
        <v>0</v>
      </c>
      <c r="BG43" s="132">
        <f>IF(OR(GradeSheet!$M38="W (Withdrawn)", GradeSheet!$M38="I (Incomplete)"), 0, IF(AU43&gt;=65%, 1, 0))</f>
        <v>0</v>
      </c>
      <c r="BH43" s="132">
        <f>IF(OR(GradeSheet!$M38="W (Withdrawn)", GradeSheet!$M38="I (Incomplete)"), 0, IF(AV43&gt;=65%, 1, 0))</f>
        <v>0</v>
      </c>
      <c r="BI43" s="132">
        <f>IF(OR(GradeSheet!$M38="W (Withdrawn)", GradeSheet!$M38="I (Incomplete)"), 0, IF(AW43&gt;=65%, 1, 0))</f>
        <v>0</v>
      </c>
      <c r="BJ43" s="132">
        <f>IF(OR(GradeSheet!$M38="W (Withdrawn)", GradeSheet!$M38="I (Incomplete)"), 0, IF(AX43&gt;=65%, 1, 0))</f>
        <v>0</v>
      </c>
      <c r="BK43" s="132">
        <f>IF(OR(GradeSheet!$M38="W (Withdrawn)", GradeSheet!$M38="I (Incomplete)"), 0, IF(AY43&gt;=65%, 1, 0))</f>
        <v>0</v>
      </c>
      <c r="BL43" s="132">
        <f>IF(OR(GradeSheet!$M38="W (Withdrawn)", GradeSheet!$M38="I (Incomplete)"), 0, IF(AZ43&gt;=65%, 1, 0))</f>
        <v>0</v>
      </c>
      <c r="BM43" s="132">
        <f>IF(OR(GradeSheet!$M38="W (Withdrawn)", GradeSheet!$M38="I (Incomplete)"), 0, IF(BA43&gt;=65%, 1, 0))</f>
        <v>0</v>
      </c>
      <c r="BN43" s="132">
        <f>IF(OR(GradeSheet!$M38="W (Withdrawn)", GradeSheet!$M38="I (Incomplete)"), 0, IF(BB43&gt;=65%, 1, 0))</f>
        <v>0</v>
      </c>
      <c r="BO43" s="132">
        <f>IF(OR(GradeSheet!$M38="W (Withdrawn)", GradeSheet!$M38="I (Incomplete)"), 0, IF(BC43&gt;=65%, 1, 0))</f>
        <v>0</v>
      </c>
      <c r="BP43" s="132">
        <f>IF(OR(GradeSheet!$M38="W (Withdrawn)", GradeSheet!$M38="I (Incomplete)"), 0, IF(BD43&gt;=65%, 1, 0))</f>
        <v>0</v>
      </c>
      <c r="BQ43" s="132">
        <f>IF(OR(GradeSheet!$M38="W (Withdrawn)", GradeSheet!$M38="I (Incomplete)"), 0, IF(BE43&gt;=65%, 1, 0))</f>
        <v>0</v>
      </c>
      <c r="BR43" s="132">
        <f>IF(OR(GradeSheet!$M38="W (Withdrawn)", GradeSheet!$M38="I (Incomplete)"), 0, IF(BF43&gt;=65%, 1, 0))</f>
        <v>0</v>
      </c>
    </row>
    <row r="44" spans="1:70" ht="15.75" customHeight="1">
      <c r="A44" s="134">
        <v>30</v>
      </c>
      <c r="B44" s="178">
        <f>GradeSheet!X39</f>
        <v>0</v>
      </c>
      <c r="C44" s="178">
        <f>GradeSheet!W39</f>
        <v>0</v>
      </c>
      <c r="D44" s="177">
        <v>0</v>
      </c>
      <c r="E44" s="177">
        <v>0</v>
      </c>
      <c r="F44" s="177">
        <v>0</v>
      </c>
      <c r="G44" s="177">
        <v>0</v>
      </c>
      <c r="H44" s="177">
        <v>0</v>
      </c>
      <c r="I44" s="177">
        <v>0</v>
      </c>
      <c r="J44" s="177">
        <v>0</v>
      </c>
      <c r="K44" s="177">
        <v>0</v>
      </c>
      <c r="L44" s="177">
        <v>0</v>
      </c>
      <c r="M44" s="177">
        <v>0</v>
      </c>
      <c r="N44" s="177">
        <v>0</v>
      </c>
      <c r="O44" s="177">
        <v>0</v>
      </c>
      <c r="P44" s="177">
        <v>0</v>
      </c>
      <c r="Q44" s="177">
        <v>0</v>
      </c>
      <c r="R44" s="177">
        <v>0</v>
      </c>
      <c r="S44" s="177">
        <v>0</v>
      </c>
      <c r="T44" s="177">
        <v>0</v>
      </c>
      <c r="U44" s="177">
        <v>0</v>
      </c>
      <c r="V44" s="177">
        <v>0</v>
      </c>
      <c r="W44" s="177">
        <v>0</v>
      </c>
      <c r="X44" s="177">
        <v>0</v>
      </c>
      <c r="Y44" s="177">
        <v>0</v>
      </c>
      <c r="Z44" s="177">
        <v>0</v>
      </c>
      <c r="AA44" s="177">
        <v>0</v>
      </c>
      <c r="AB44" s="129">
        <f t="shared" si="13"/>
        <v>0</v>
      </c>
      <c r="AC44" s="130">
        <f t="shared" si="14"/>
        <v>0</v>
      </c>
      <c r="AD44" s="130">
        <f t="shared" si="15"/>
        <v>0</v>
      </c>
      <c r="AE44" s="130">
        <f t="shared" si="16"/>
        <v>0</v>
      </c>
      <c r="AF44" s="130">
        <f t="shared" si="17"/>
        <v>0</v>
      </c>
      <c r="AG44" s="135">
        <f t="shared" si="18"/>
        <v>0</v>
      </c>
      <c r="AH44" s="131">
        <f t="shared" ref="AH44:AM44" si="47">IF(AB44 = 0, 0, AB44/AB$14)</f>
        <v>0</v>
      </c>
      <c r="AI44" s="131">
        <f t="shared" si="47"/>
        <v>0</v>
      </c>
      <c r="AJ44" s="131">
        <f t="shared" si="47"/>
        <v>0</v>
      </c>
      <c r="AK44" s="131">
        <f t="shared" si="47"/>
        <v>0</v>
      </c>
      <c r="AL44" s="131">
        <f t="shared" si="47"/>
        <v>0</v>
      </c>
      <c r="AM44" s="131">
        <f t="shared" si="47"/>
        <v>0</v>
      </c>
      <c r="AN44" s="132">
        <f>IF(OR(GradeSheet!$M39="W (Withdrawn)", GradeSheet!$M39="I (Incomplete)"), 0, IF(AH44&gt;=55%, 1, 0))</f>
        <v>0</v>
      </c>
      <c r="AO44" s="132">
        <f>IF(OR(GradeSheet!$M39="W (Withdrawn)", GradeSheet!$M39="I (Incomplete)"), 0, IF(AI44&gt;=55%, 1, 0))</f>
        <v>0</v>
      </c>
      <c r="AP44" s="132">
        <f>IF(OR(GradeSheet!$M39="W (Withdrawn)", GradeSheet!$M39="I (Incomplete)"), 0, IF(AJ44&gt;=55%, 1, 0))</f>
        <v>0</v>
      </c>
      <c r="AQ44" s="132">
        <f>IF(OR(GradeSheet!$M39="W (Withdrawn)", GradeSheet!$M39="I (Incomplete)"), 0, IF(AK44&gt;=55%, 1, 0))</f>
        <v>0</v>
      </c>
      <c r="AR44" s="132">
        <f>IF(OR(GradeSheet!$M39="W (Withdrawn)", GradeSheet!$M39="I (Incomplete)"), 0, IF(AL44&gt;=55%, 1, 0))</f>
        <v>0</v>
      </c>
      <c r="AS44" s="132">
        <f>IF(OR(GradeSheet!$M39="W (Withdrawn)", GradeSheet!$M39="I (Incomplete)"), 0, IF(AM44&gt;=55%, 1, 0))</f>
        <v>0</v>
      </c>
      <c r="AT44" s="114"/>
      <c r="AU44" s="133">
        <f t="shared" si="8"/>
        <v>0</v>
      </c>
      <c r="AV44" s="133">
        <f t="shared" si="9"/>
        <v>0</v>
      </c>
      <c r="AW44" s="133">
        <f t="array" ref="AW44">IF($AV$9=0,0,MMULT($AH44:$AM44, AV$3:AV$8)/$AV$9)</f>
        <v>0</v>
      </c>
      <c r="AX44" s="133">
        <f t="array" ref="AX44">IF($AW$9=0,0,MMULT($AH44:$AM44, AW$3:AW$8)/$AW$9)</f>
        <v>0</v>
      </c>
      <c r="AY44" s="133">
        <f t="shared" si="10"/>
        <v>0</v>
      </c>
      <c r="AZ44" s="133">
        <f t="array" ref="AZ44">IF($AY$9=0,0,MMULT($AH44:$AM44, AY$3:AY$8)/$AY$9)</f>
        <v>0</v>
      </c>
      <c r="BA44" s="133">
        <f t="array" ref="BA44">IF($AZ$9=0,0,MMULT($AH44:$AM44, AZ$3:AZ$8)/$AZ$9)</f>
        <v>0</v>
      </c>
      <c r="BB44" s="133">
        <f t="array" ref="BB44">IF($BA$9=0,0,MMULT($AH44:$AM44, BA$3:BA$8)/$BA$9)</f>
        <v>0</v>
      </c>
      <c r="BC44" s="133">
        <f t="array" ref="BC44">IF($BB$9=0,0,MMULT($AH44:$AM44, BB$3:BB$8)/$BB$9)</f>
        <v>0</v>
      </c>
      <c r="BD44" s="133">
        <f t="array" ref="BD44">IF($BC$9=0,0,MMULT($AH44:$AM44, BC$3:BC$8)/$BC$9)</f>
        <v>0</v>
      </c>
      <c r="BE44" s="133">
        <f t="shared" si="11"/>
        <v>0</v>
      </c>
      <c r="BF44" s="133">
        <f t="shared" si="12"/>
        <v>0</v>
      </c>
      <c r="BG44" s="132">
        <f>IF(OR(GradeSheet!$M39="W (Withdrawn)", GradeSheet!$M39="I (Incomplete)"), 0, IF(AU44&gt;=65%, 1, 0))</f>
        <v>0</v>
      </c>
      <c r="BH44" s="132">
        <f>IF(OR(GradeSheet!$M39="W (Withdrawn)", GradeSheet!$M39="I (Incomplete)"), 0, IF(AV44&gt;=65%, 1, 0))</f>
        <v>0</v>
      </c>
      <c r="BI44" s="132">
        <f>IF(OR(GradeSheet!$M39="W (Withdrawn)", GradeSheet!$M39="I (Incomplete)"), 0, IF(AW44&gt;=65%, 1, 0))</f>
        <v>0</v>
      </c>
      <c r="BJ44" s="132">
        <f>IF(OR(GradeSheet!$M39="W (Withdrawn)", GradeSheet!$M39="I (Incomplete)"), 0, IF(AX44&gt;=65%, 1, 0))</f>
        <v>0</v>
      </c>
      <c r="BK44" s="132">
        <f>IF(OR(GradeSheet!$M39="W (Withdrawn)", GradeSheet!$M39="I (Incomplete)"), 0, IF(AY44&gt;=65%, 1, 0))</f>
        <v>0</v>
      </c>
      <c r="BL44" s="132">
        <f>IF(OR(GradeSheet!$M39="W (Withdrawn)", GradeSheet!$M39="I (Incomplete)"), 0, IF(AZ44&gt;=65%, 1, 0))</f>
        <v>0</v>
      </c>
      <c r="BM44" s="132">
        <f>IF(OR(GradeSheet!$M39="W (Withdrawn)", GradeSheet!$M39="I (Incomplete)"), 0, IF(BA44&gt;=65%, 1, 0))</f>
        <v>0</v>
      </c>
      <c r="BN44" s="132">
        <f>IF(OR(GradeSheet!$M39="W (Withdrawn)", GradeSheet!$M39="I (Incomplete)"), 0, IF(BB44&gt;=65%, 1, 0))</f>
        <v>0</v>
      </c>
      <c r="BO44" s="132">
        <f>IF(OR(GradeSheet!$M39="W (Withdrawn)", GradeSheet!$M39="I (Incomplete)"), 0, IF(BC44&gt;=65%, 1, 0))</f>
        <v>0</v>
      </c>
      <c r="BP44" s="132">
        <f>IF(OR(GradeSheet!$M39="W (Withdrawn)", GradeSheet!$M39="I (Incomplete)"), 0, IF(BD44&gt;=65%, 1, 0))</f>
        <v>0</v>
      </c>
      <c r="BQ44" s="132">
        <f>IF(OR(GradeSheet!$M39="W (Withdrawn)", GradeSheet!$M39="I (Incomplete)"), 0, IF(BE44&gt;=65%, 1, 0))</f>
        <v>0</v>
      </c>
      <c r="BR44" s="132">
        <f>IF(OR(GradeSheet!$M39="W (Withdrawn)", GradeSheet!$M39="I (Incomplete)"), 0, IF(BF44&gt;=65%, 1, 0))</f>
        <v>0</v>
      </c>
    </row>
    <row r="45" spans="1:70" ht="15.75" customHeight="1">
      <c r="A45" s="128">
        <v>31</v>
      </c>
      <c r="B45" s="178">
        <f>GradeSheet!X40</f>
        <v>0</v>
      </c>
      <c r="C45" s="178">
        <f>GradeSheet!W40</f>
        <v>0</v>
      </c>
      <c r="D45" s="177">
        <v>0</v>
      </c>
      <c r="E45" s="177">
        <v>0</v>
      </c>
      <c r="F45" s="177">
        <v>0</v>
      </c>
      <c r="G45" s="177">
        <v>0</v>
      </c>
      <c r="H45" s="177">
        <v>0</v>
      </c>
      <c r="I45" s="177">
        <v>0</v>
      </c>
      <c r="J45" s="177">
        <v>0</v>
      </c>
      <c r="K45" s="177">
        <v>0</v>
      </c>
      <c r="L45" s="177">
        <v>0</v>
      </c>
      <c r="M45" s="177">
        <v>0</v>
      </c>
      <c r="N45" s="177">
        <v>0</v>
      </c>
      <c r="O45" s="177">
        <v>0</v>
      </c>
      <c r="P45" s="177">
        <v>0</v>
      </c>
      <c r="Q45" s="177">
        <v>0</v>
      </c>
      <c r="R45" s="177">
        <v>0</v>
      </c>
      <c r="S45" s="177">
        <v>0</v>
      </c>
      <c r="T45" s="177">
        <v>0</v>
      </c>
      <c r="U45" s="177">
        <v>0</v>
      </c>
      <c r="V45" s="177">
        <v>0</v>
      </c>
      <c r="W45" s="177">
        <v>0</v>
      </c>
      <c r="X45" s="177">
        <v>0</v>
      </c>
      <c r="Y45" s="177">
        <v>0</v>
      </c>
      <c r="Z45" s="177">
        <v>0</v>
      </c>
      <c r="AA45" s="177">
        <v>0</v>
      </c>
      <c r="AB45" s="129">
        <f t="shared" si="13"/>
        <v>0</v>
      </c>
      <c r="AC45" s="130">
        <f t="shared" si="14"/>
        <v>0</v>
      </c>
      <c r="AD45" s="130">
        <f t="shared" si="15"/>
        <v>0</v>
      </c>
      <c r="AE45" s="130">
        <f t="shared" si="16"/>
        <v>0</v>
      </c>
      <c r="AF45" s="130">
        <f t="shared" si="17"/>
        <v>0</v>
      </c>
      <c r="AG45" s="135">
        <f t="shared" si="18"/>
        <v>0</v>
      </c>
      <c r="AH45" s="131">
        <f t="shared" ref="AH45:AM45" si="48">IF(AB45 = 0, 0, AB45/AB$14)</f>
        <v>0</v>
      </c>
      <c r="AI45" s="131">
        <f t="shared" si="48"/>
        <v>0</v>
      </c>
      <c r="AJ45" s="131">
        <f t="shared" si="48"/>
        <v>0</v>
      </c>
      <c r="AK45" s="131">
        <f t="shared" si="48"/>
        <v>0</v>
      </c>
      <c r="AL45" s="131">
        <f t="shared" si="48"/>
        <v>0</v>
      </c>
      <c r="AM45" s="131">
        <f t="shared" si="48"/>
        <v>0</v>
      </c>
      <c r="AN45" s="132">
        <f>IF(OR(GradeSheet!$M40="W (Withdrawn)", GradeSheet!$M40="I (Incomplete)"), 0, IF(AH45&gt;=55%, 1, 0))</f>
        <v>0</v>
      </c>
      <c r="AO45" s="132">
        <f>IF(OR(GradeSheet!$M40="W (Withdrawn)", GradeSheet!$M40="I (Incomplete)"), 0, IF(AI45&gt;=55%, 1, 0))</f>
        <v>0</v>
      </c>
      <c r="AP45" s="132">
        <f>IF(OR(GradeSheet!$M40="W (Withdrawn)", GradeSheet!$M40="I (Incomplete)"), 0, IF(AJ45&gt;=55%, 1, 0))</f>
        <v>0</v>
      </c>
      <c r="AQ45" s="132">
        <f>IF(OR(GradeSheet!$M40="W (Withdrawn)", GradeSheet!$M40="I (Incomplete)"), 0, IF(AK45&gt;=55%, 1, 0))</f>
        <v>0</v>
      </c>
      <c r="AR45" s="132">
        <f>IF(OR(GradeSheet!$M40="W (Withdrawn)", GradeSheet!$M40="I (Incomplete)"), 0, IF(AL45&gt;=55%, 1, 0))</f>
        <v>0</v>
      </c>
      <c r="AS45" s="132">
        <f>IF(OR(GradeSheet!$M40="W (Withdrawn)", GradeSheet!$M40="I (Incomplete)"), 0, IF(AM45&gt;=55%, 1, 0))</f>
        <v>0</v>
      </c>
      <c r="AT45" s="114"/>
      <c r="AU45" s="133">
        <f t="shared" si="8"/>
        <v>0</v>
      </c>
      <c r="AV45" s="133">
        <f t="shared" si="9"/>
        <v>0</v>
      </c>
      <c r="AW45" s="133">
        <f t="array" ref="AW45">IF($AV$9=0,0,MMULT($AH45:$AM45, AV$3:AV$8)/$AV$9)</f>
        <v>0</v>
      </c>
      <c r="AX45" s="133">
        <f t="array" ref="AX45">IF($AW$9=0,0,MMULT($AH45:$AM45, AW$3:AW$8)/$AW$9)</f>
        <v>0</v>
      </c>
      <c r="AY45" s="133">
        <f t="shared" si="10"/>
        <v>0</v>
      </c>
      <c r="AZ45" s="133">
        <f t="array" ref="AZ45">IF($AY$9=0,0,MMULT($AH45:$AM45, AY$3:AY$8)/$AY$9)</f>
        <v>0</v>
      </c>
      <c r="BA45" s="133">
        <f t="array" ref="BA45">IF($AZ$9=0,0,MMULT($AH45:$AM45, AZ$3:AZ$8)/$AZ$9)</f>
        <v>0</v>
      </c>
      <c r="BB45" s="133">
        <f t="array" ref="BB45">IF($BA$9=0,0,MMULT($AH45:$AM45, BA$3:BA$8)/$BA$9)</f>
        <v>0</v>
      </c>
      <c r="BC45" s="133">
        <f t="array" ref="BC45">IF($BB$9=0,0,MMULT($AH45:$AM45, BB$3:BB$8)/$BB$9)</f>
        <v>0</v>
      </c>
      <c r="BD45" s="133">
        <f t="array" ref="BD45">IF($BC$9=0,0,MMULT($AH45:$AM45, BC$3:BC$8)/$BC$9)</f>
        <v>0</v>
      </c>
      <c r="BE45" s="133">
        <f t="shared" si="11"/>
        <v>0</v>
      </c>
      <c r="BF45" s="133">
        <f t="shared" si="12"/>
        <v>0</v>
      </c>
      <c r="BG45" s="132">
        <f>IF(OR(GradeSheet!$M40="W (Withdrawn)", GradeSheet!$M40="I (Incomplete)"), 0, IF(AU45&gt;=65%, 1, 0))</f>
        <v>0</v>
      </c>
      <c r="BH45" s="132">
        <f>IF(OR(GradeSheet!$M40="W (Withdrawn)", GradeSheet!$M40="I (Incomplete)"), 0, IF(AV45&gt;=65%, 1, 0))</f>
        <v>0</v>
      </c>
      <c r="BI45" s="132">
        <f>IF(OR(GradeSheet!$M40="W (Withdrawn)", GradeSheet!$M40="I (Incomplete)"), 0, IF(AW45&gt;=65%, 1, 0))</f>
        <v>0</v>
      </c>
      <c r="BJ45" s="132">
        <f>IF(OR(GradeSheet!$M40="W (Withdrawn)", GradeSheet!$M40="I (Incomplete)"), 0, IF(AX45&gt;=65%, 1, 0))</f>
        <v>0</v>
      </c>
      <c r="BK45" s="132">
        <f>IF(OR(GradeSheet!$M40="W (Withdrawn)", GradeSheet!$M40="I (Incomplete)"), 0, IF(AY45&gt;=65%, 1, 0))</f>
        <v>0</v>
      </c>
      <c r="BL45" s="132">
        <f>IF(OR(GradeSheet!$M40="W (Withdrawn)", GradeSheet!$M40="I (Incomplete)"), 0, IF(AZ45&gt;=65%, 1, 0))</f>
        <v>0</v>
      </c>
      <c r="BM45" s="132">
        <f>IF(OR(GradeSheet!$M40="W (Withdrawn)", GradeSheet!$M40="I (Incomplete)"), 0, IF(BA45&gt;=65%, 1, 0))</f>
        <v>0</v>
      </c>
      <c r="BN45" s="132">
        <f>IF(OR(GradeSheet!$M40="W (Withdrawn)", GradeSheet!$M40="I (Incomplete)"), 0, IF(BB45&gt;=65%, 1, 0))</f>
        <v>0</v>
      </c>
      <c r="BO45" s="132">
        <f>IF(OR(GradeSheet!$M40="W (Withdrawn)", GradeSheet!$M40="I (Incomplete)"), 0, IF(BC45&gt;=65%, 1, 0))</f>
        <v>0</v>
      </c>
      <c r="BP45" s="132">
        <f>IF(OR(GradeSheet!$M40="W (Withdrawn)", GradeSheet!$M40="I (Incomplete)"), 0, IF(BD45&gt;=65%, 1, 0))</f>
        <v>0</v>
      </c>
      <c r="BQ45" s="132">
        <f>IF(OR(GradeSheet!$M40="W (Withdrawn)", GradeSheet!$M40="I (Incomplete)"), 0, IF(BE45&gt;=65%, 1, 0))</f>
        <v>0</v>
      </c>
      <c r="BR45" s="132">
        <f>IF(OR(GradeSheet!$M40="W (Withdrawn)", GradeSheet!$M40="I (Incomplete)"), 0, IF(BF45&gt;=65%, 1, 0))</f>
        <v>0</v>
      </c>
    </row>
    <row r="46" spans="1:70" ht="15.75" customHeight="1">
      <c r="A46" s="134">
        <v>32</v>
      </c>
      <c r="B46" s="178">
        <f>GradeSheet!X41</f>
        <v>0</v>
      </c>
      <c r="C46" s="178">
        <f>GradeSheet!W41</f>
        <v>0</v>
      </c>
      <c r="D46" s="177">
        <v>0</v>
      </c>
      <c r="E46" s="177">
        <v>0</v>
      </c>
      <c r="F46" s="177">
        <v>0</v>
      </c>
      <c r="G46" s="177">
        <v>0</v>
      </c>
      <c r="H46" s="177">
        <v>0</v>
      </c>
      <c r="I46" s="177">
        <v>0</v>
      </c>
      <c r="J46" s="177">
        <v>0</v>
      </c>
      <c r="K46" s="177">
        <v>0</v>
      </c>
      <c r="L46" s="177">
        <v>0</v>
      </c>
      <c r="M46" s="177">
        <v>0</v>
      </c>
      <c r="N46" s="177">
        <v>0</v>
      </c>
      <c r="O46" s="177">
        <v>0</v>
      </c>
      <c r="P46" s="177">
        <v>0</v>
      </c>
      <c r="Q46" s="177">
        <v>0</v>
      </c>
      <c r="R46" s="177">
        <v>0</v>
      </c>
      <c r="S46" s="177">
        <v>0</v>
      </c>
      <c r="T46" s="177">
        <v>0</v>
      </c>
      <c r="U46" s="177">
        <v>0</v>
      </c>
      <c r="V46" s="177">
        <v>0</v>
      </c>
      <c r="W46" s="177">
        <v>0</v>
      </c>
      <c r="X46" s="177">
        <v>0</v>
      </c>
      <c r="Y46" s="177">
        <v>0</v>
      </c>
      <c r="Z46" s="177">
        <v>0</v>
      </c>
      <c r="AA46" s="177">
        <v>0</v>
      </c>
      <c r="AB46" s="129">
        <f t="shared" si="13"/>
        <v>0</v>
      </c>
      <c r="AC46" s="130">
        <f t="shared" si="14"/>
        <v>0</v>
      </c>
      <c r="AD46" s="130">
        <f t="shared" si="15"/>
        <v>0</v>
      </c>
      <c r="AE46" s="130">
        <f t="shared" si="16"/>
        <v>0</v>
      </c>
      <c r="AF46" s="130">
        <f t="shared" si="17"/>
        <v>0</v>
      </c>
      <c r="AG46" s="135">
        <f t="shared" si="18"/>
        <v>0</v>
      </c>
      <c r="AH46" s="131">
        <f t="shared" ref="AH46:AM46" si="49">IF(AB46 = 0, 0, AB46/AB$14)</f>
        <v>0</v>
      </c>
      <c r="AI46" s="131">
        <f t="shared" si="49"/>
        <v>0</v>
      </c>
      <c r="AJ46" s="131">
        <f t="shared" si="49"/>
        <v>0</v>
      </c>
      <c r="AK46" s="131">
        <f t="shared" si="49"/>
        <v>0</v>
      </c>
      <c r="AL46" s="131">
        <f t="shared" si="49"/>
        <v>0</v>
      </c>
      <c r="AM46" s="131">
        <f t="shared" si="49"/>
        <v>0</v>
      </c>
      <c r="AN46" s="132">
        <f>IF(OR(GradeSheet!$M41="W (Withdrawn)", GradeSheet!$M41="I (Incomplete)"), 0, IF(AH46&gt;=55%, 1, 0))</f>
        <v>0</v>
      </c>
      <c r="AO46" s="132">
        <f>IF(OR(GradeSheet!$M41="W (Withdrawn)", GradeSheet!$M41="I (Incomplete)"), 0, IF(AI46&gt;=55%, 1, 0))</f>
        <v>0</v>
      </c>
      <c r="AP46" s="132">
        <f>IF(OR(GradeSheet!$M41="W (Withdrawn)", GradeSheet!$M41="I (Incomplete)"), 0, IF(AJ46&gt;=55%, 1, 0))</f>
        <v>0</v>
      </c>
      <c r="AQ46" s="132">
        <f>IF(OR(GradeSheet!$M41="W (Withdrawn)", GradeSheet!$M41="I (Incomplete)"), 0, IF(AK46&gt;=55%, 1, 0))</f>
        <v>0</v>
      </c>
      <c r="AR46" s="132">
        <f>IF(OR(GradeSheet!$M41="W (Withdrawn)", GradeSheet!$M41="I (Incomplete)"), 0, IF(AL46&gt;=55%, 1, 0))</f>
        <v>0</v>
      </c>
      <c r="AS46" s="132">
        <f>IF(OR(GradeSheet!$M41="W (Withdrawn)", GradeSheet!$M41="I (Incomplete)"), 0, IF(AM46&gt;=55%, 1, 0))</f>
        <v>0</v>
      </c>
      <c r="AT46" s="114"/>
      <c r="AU46" s="133">
        <f t="shared" si="8"/>
        <v>0</v>
      </c>
      <c r="AV46" s="133">
        <f t="shared" si="9"/>
        <v>0</v>
      </c>
      <c r="AW46" s="133">
        <f t="array" ref="AW46">IF($AV$9=0,0,MMULT($AH46:$AM46, AV$3:AV$8)/$AV$9)</f>
        <v>0</v>
      </c>
      <c r="AX46" s="133">
        <f t="array" ref="AX46">IF($AW$9=0,0,MMULT($AH46:$AM46, AW$3:AW$8)/$AW$9)</f>
        <v>0</v>
      </c>
      <c r="AY46" s="133">
        <f t="shared" si="10"/>
        <v>0</v>
      </c>
      <c r="AZ46" s="133">
        <f t="array" ref="AZ46">IF($AY$9=0,0,MMULT($AH46:$AM46, AY$3:AY$8)/$AY$9)</f>
        <v>0</v>
      </c>
      <c r="BA46" s="133">
        <f t="array" ref="BA46">IF($AZ$9=0,0,MMULT($AH46:$AM46, AZ$3:AZ$8)/$AZ$9)</f>
        <v>0</v>
      </c>
      <c r="BB46" s="133">
        <f t="array" ref="BB46">IF($BA$9=0,0,MMULT($AH46:$AM46, BA$3:BA$8)/$BA$9)</f>
        <v>0</v>
      </c>
      <c r="BC46" s="133">
        <f t="array" ref="BC46">IF($BB$9=0,0,MMULT($AH46:$AM46, BB$3:BB$8)/$BB$9)</f>
        <v>0</v>
      </c>
      <c r="BD46" s="133">
        <f t="array" ref="BD46">IF($BC$9=0,0,MMULT($AH46:$AM46, BC$3:BC$8)/$BC$9)</f>
        <v>0</v>
      </c>
      <c r="BE46" s="133">
        <f t="shared" si="11"/>
        <v>0</v>
      </c>
      <c r="BF46" s="133">
        <f t="shared" si="12"/>
        <v>0</v>
      </c>
      <c r="BG46" s="132">
        <f>IF(OR(GradeSheet!$M41="W (Withdrawn)", GradeSheet!$M41="I (Incomplete)"), 0, IF(AU46&gt;=65%, 1, 0))</f>
        <v>0</v>
      </c>
      <c r="BH46" s="132">
        <f>IF(OR(GradeSheet!$M41="W (Withdrawn)", GradeSheet!$M41="I (Incomplete)"), 0, IF(AV46&gt;=65%, 1, 0))</f>
        <v>0</v>
      </c>
      <c r="BI46" s="132">
        <f>IF(OR(GradeSheet!$M41="W (Withdrawn)", GradeSheet!$M41="I (Incomplete)"), 0, IF(AW46&gt;=65%, 1, 0))</f>
        <v>0</v>
      </c>
      <c r="BJ46" s="132">
        <f>IF(OR(GradeSheet!$M41="W (Withdrawn)", GradeSheet!$M41="I (Incomplete)"), 0, IF(AX46&gt;=65%, 1, 0))</f>
        <v>0</v>
      </c>
      <c r="BK46" s="132">
        <f>IF(OR(GradeSheet!$M41="W (Withdrawn)", GradeSheet!$M41="I (Incomplete)"), 0, IF(AY46&gt;=65%, 1, 0))</f>
        <v>0</v>
      </c>
      <c r="BL46" s="132">
        <f>IF(OR(GradeSheet!$M41="W (Withdrawn)", GradeSheet!$M41="I (Incomplete)"), 0, IF(AZ46&gt;=65%, 1, 0))</f>
        <v>0</v>
      </c>
      <c r="BM46" s="132">
        <f>IF(OR(GradeSheet!$M41="W (Withdrawn)", GradeSheet!$M41="I (Incomplete)"), 0, IF(BA46&gt;=65%, 1, 0))</f>
        <v>0</v>
      </c>
      <c r="BN46" s="132">
        <f>IF(OR(GradeSheet!$M41="W (Withdrawn)", GradeSheet!$M41="I (Incomplete)"), 0, IF(BB46&gt;=65%, 1, 0))</f>
        <v>0</v>
      </c>
      <c r="BO46" s="132">
        <f>IF(OR(GradeSheet!$M41="W (Withdrawn)", GradeSheet!$M41="I (Incomplete)"), 0, IF(BC46&gt;=65%, 1, 0))</f>
        <v>0</v>
      </c>
      <c r="BP46" s="132">
        <f>IF(OR(GradeSheet!$M41="W (Withdrawn)", GradeSheet!$M41="I (Incomplete)"), 0, IF(BD46&gt;=65%, 1, 0))</f>
        <v>0</v>
      </c>
      <c r="BQ46" s="132">
        <f>IF(OR(GradeSheet!$M41="W (Withdrawn)", GradeSheet!$M41="I (Incomplete)"), 0, IF(BE46&gt;=65%, 1, 0))</f>
        <v>0</v>
      </c>
      <c r="BR46" s="132">
        <f>IF(OR(GradeSheet!$M41="W (Withdrawn)", GradeSheet!$M41="I (Incomplete)"), 0, IF(BF46&gt;=65%, 1, 0))</f>
        <v>0</v>
      </c>
    </row>
    <row r="47" spans="1:70" ht="15.75" customHeight="1">
      <c r="A47" s="128">
        <v>33</v>
      </c>
      <c r="B47" s="178">
        <f>GradeSheet!X42</f>
        <v>0</v>
      </c>
      <c r="C47" s="178">
        <f>GradeSheet!W42</f>
        <v>0</v>
      </c>
      <c r="D47" s="177">
        <v>0</v>
      </c>
      <c r="E47" s="177">
        <v>0</v>
      </c>
      <c r="F47" s="177">
        <v>0</v>
      </c>
      <c r="G47" s="177">
        <v>0</v>
      </c>
      <c r="H47" s="177">
        <v>0</v>
      </c>
      <c r="I47" s="177">
        <v>0</v>
      </c>
      <c r="J47" s="177">
        <v>0</v>
      </c>
      <c r="K47" s="177">
        <v>0</v>
      </c>
      <c r="L47" s="177">
        <v>0</v>
      </c>
      <c r="M47" s="177">
        <v>0</v>
      </c>
      <c r="N47" s="177">
        <v>0</v>
      </c>
      <c r="O47" s="177">
        <v>0</v>
      </c>
      <c r="P47" s="177">
        <v>0</v>
      </c>
      <c r="Q47" s="177">
        <v>0</v>
      </c>
      <c r="R47" s="177">
        <v>0</v>
      </c>
      <c r="S47" s="177">
        <v>0</v>
      </c>
      <c r="T47" s="177">
        <v>0</v>
      </c>
      <c r="U47" s="177">
        <v>0</v>
      </c>
      <c r="V47" s="177">
        <v>0</v>
      </c>
      <c r="W47" s="177">
        <v>0</v>
      </c>
      <c r="X47" s="177">
        <v>0</v>
      </c>
      <c r="Y47" s="177">
        <v>0</v>
      </c>
      <c r="Z47" s="177">
        <v>0</v>
      </c>
      <c r="AA47" s="177">
        <v>0</v>
      </c>
      <c r="AB47" s="129">
        <f t="shared" si="13"/>
        <v>0</v>
      </c>
      <c r="AC47" s="130">
        <f t="shared" si="14"/>
        <v>0</v>
      </c>
      <c r="AD47" s="130">
        <f t="shared" si="15"/>
        <v>0</v>
      </c>
      <c r="AE47" s="130">
        <f t="shared" si="16"/>
        <v>0</v>
      </c>
      <c r="AF47" s="130">
        <f t="shared" si="17"/>
        <v>0</v>
      </c>
      <c r="AG47" s="135">
        <f t="shared" si="18"/>
        <v>0</v>
      </c>
      <c r="AH47" s="131">
        <f t="shared" ref="AH47:AM47" si="50">IF(AB47 = 0, 0, AB47/AB$14)</f>
        <v>0</v>
      </c>
      <c r="AI47" s="131">
        <f t="shared" si="50"/>
        <v>0</v>
      </c>
      <c r="AJ47" s="131">
        <f t="shared" si="50"/>
        <v>0</v>
      </c>
      <c r="AK47" s="131">
        <f t="shared" si="50"/>
        <v>0</v>
      </c>
      <c r="AL47" s="131">
        <f t="shared" si="50"/>
        <v>0</v>
      </c>
      <c r="AM47" s="131">
        <f t="shared" si="50"/>
        <v>0</v>
      </c>
      <c r="AN47" s="132">
        <f>IF(OR(GradeSheet!$M42="W (Withdrawn)", GradeSheet!$M42="I (Incomplete)"), 0, IF(AH47&gt;=55%, 1, 0))</f>
        <v>0</v>
      </c>
      <c r="AO47" s="132">
        <f>IF(OR(GradeSheet!$M42="W (Withdrawn)", GradeSheet!$M42="I (Incomplete)"), 0, IF(AI47&gt;=55%, 1, 0))</f>
        <v>0</v>
      </c>
      <c r="AP47" s="132">
        <f>IF(OR(GradeSheet!$M42="W (Withdrawn)", GradeSheet!$M42="I (Incomplete)"), 0, IF(AJ47&gt;=55%, 1, 0))</f>
        <v>0</v>
      </c>
      <c r="AQ47" s="132">
        <f>IF(OR(GradeSheet!$M42="W (Withdrawn)", GradeSheet!$M42="I (Incomplete)"), 0, IF(AK47&gt;=55%, 1, 0))</f>
        <v>0</v>
      </c>
      <c r="AR47" s="132">
        <f>IF(OR(GradeSheet!$M42="W (Withdrawn)", GradeSheet!$M42="I (Incomplete)"), 0, IF(AL47&gt;=55%, 1, 0))</f>
        <v>0</v>
      </c>
      <c r="AS47" s="132">
        <f>IF(OR(GradeSheet!$M42="W (Withdrawn)", GradeSheet!$M42="I (Incomplete)"), 0, IF(AM47&gt;=55%, 1, 0))</f>
        <v>0</v>
      </c>
      <c r="AT47" s="114"/>
      <c r="AU47" s="133">
        <f t="shared" si="8"/>
        <v>0</v>
      </c>
      <c r="AV47" s="133">
        <f t="shared" si="9"/>
        <v>0</v>
      </c>
      <c r="AW47" s="133">
        <f t="array" ref="AW47">IF($AV$9=0,0,MMULT($AH47:$AM47, AV$3:AV$8)/$AV$9)</f>
        <v>0</v>
      </c>
      <c r="AX47" s="133">
        <f t="array" ref="AX47">IF($AW$9=0,0,MMULT($AH47:$AM47, AW$3:AW$8)/$AW$9)</f>
        <v>0</v>
      </c>
      <c r="AY47" s="133">
        <f t="shared" si="10"/>
        <v>0</v>
      </c>
      <c r="AZ47" s="133">
        <f t="array" ref="AZ47">IF($AY$9=0,0,MMULT($AH47:$AM47, AY$3:AY$8)/$AY$9)</f>
        <v>0</v>
      </c>
      <c r="BA47" s="133">
        <f t="array" ref="BA47">IF($AZ$9=0,0,MMULT($AH47:$AM47, AZ$3:AZ$8)/$AZ$9)</f>
        <v>0</v>
      </c>
      <c r="BB47" s="133">
        <f t="array" ref="BB47">IF($BA$9=0,0,MMULT($AH47:$AM47, BA$3:BA$8)/$BA$9)</f>
        <v>0</v>
      </c>
      <c r="BC47" s="133">
        <f t="array" ref="BC47">IF($BB$9=0,0,MMULT($AH47:$AM47, BB$3:BB$8)/$BB$9)</f>
        <v>0</v>
      </c>
      <c r="BD47" s="133">
        <f t="array" ref="BD47">IF($BC$9=0,0,MMULT($AH47:$AM47, BC$3:BC$8)/$BC$9)</f>
        <v>0</v>
      </c>
      <c r="BE47" s="133">
        <f t="shared" si="11"/>
        <v>0</v>
      </c>
      <c r="BF47" s="133">
        <f t="shared" si="12"/>
        <v>0</v>
      </c>
      <c r="BG47" s="132">
        <f>IF(OR(GradeSheet!$M42="W (Withdrawn)", GradeSheet!$M42="I (Incomplete)"), 0, IF(AU47&gt;=65%, 1, 0))</f>
        <v>0</v>
      </c>
      <c r="BH47" s="132">
        <f>IF(OR(GradeSheet!$M42="W (Withdrawn)", GradeSheet!$M42="I (Incomplete)"), 0, IF(AV47&gt;=65%, 1, 0))</f>
        <v>0</v>
      </c>
      <c r="BI47" s="132">
        <f>IF(OR(GradeSheet!$M42="W (Withdrawn)", GradeSheet!$M42="I (Incomplete)"), 0, IF(AW47&gt;=65%, 1, 0))</f>
        <v>0</v>
      </c>
      <c r="BJ47" s="132">
        <f>IF(OR(GradeSheet!$M42="W (Withdrawn)", GradeSheet!$M42="I (Incomplete)"), 0, IF(AX47&gt;=65%, 1, 0))</f>
        <v>0</v>
      </c>
      <c r="BK47" s="132">
        <f>IF(OR(GradeSheet!$M42="W (Withdrawn)", GradeSheet!$M42="I (Incomplete)"), 0, IF(AY47&gt;=65%, 1, 0))</f>
        <v>0</v>
      </c>
      <c r="BL47" s="132">
        <f>IF(OR(GradeSheet!$M42="W (Withdrawn)", GradeSheet!$M42="I (Incomplete)"), 0, IF(AZ47&gt;=65%, 1, 0))</f>
        <v>0</v>
      </c>
      <c r="BM47" s="132">
        <f>IF(OR(GradeSheet!$M42="W (Withdrawn)", GradeSheet!$M42="I (Incomplete)"), 0, IF(BA47&gt;=65%, 1, 0))</f>
        <v>0</v>
      </c>
      <c r="BN47" s="132">
        <f>IF(OR(GradeSheet!$M42="W (Withdrawn)", GradeSheet!$M42="I (Incomplete)"), 0, IF(BB47&gt;=65%, 1, 0))</f>
        <v>0</v>
      </c>
      <c r="BO47" s="132">
        <f>IF(OR(GradeSheet!$M42="W (Withdrawn)", GradeSheet!$M42="I (Incomplete)"), 0, IF(BC47&gt;=65%, 1, 0))</f>
        <v>0</v>
      </c>
      <c r="BP47" s="132">
        <f>IF(OR(GradeSheet!$M42="W (Withdrawn)", GradeSheet!$M42="I (Incomplete)"), 0, IF(BD47&gt;=65%, 1, 0))</f>
        <v>0</v>
      </c>
      <c r="BQ47" s="132">
        <f>IF(OR(GradeSheet!$M42="W (Withdrawn)", GradeSheet!$M42="I (Incomplete)"), 0, IF(BE47&gt;=65%, 1, 0))</f>
        <v>0</v>
      </c>
      <c r="BR47" s="132">
        <f>IF(OR(GradeSheet!$M42="W (Withdrawn)", GradeSheet!$M42="I (Incomplete)"), 0, IF(BF47&gt;=65%, 1, 0))</f>
        <v>0</v>
      </c>
    </row>
    <row r="48" spans="1:70" ht="15.75" customHeight="1">
      <c r="A48" s="134">
        <v>34</v>
      </c>
      <c r="B48" s="178">
        <f>GradeSheet!X43</f>
        <v>0</v>
      </c>
      <c r="C48" s="178">
        <f>GradeSheet!W43</f>
        <v>0</v>
      </c>
      <c r="D48" s="177">
        <v>0</v>
      </c>
      <c r="E48" s="177">
        <v>0</v>
      </c>
      <c r="F48" s="177">
        <v>0</v>
      </c>
      <c r="G48" s="177">
        <v>0</v>
      </c>
      <c r="H48" s="177">
        <v>0</v>
      </c>
      <c r="I48" s="177">
        <v>0</v>
      </c>
      <c r="J48" s="177">
        <v>0</v>
      </c>
      <c r="K48" s="177">
        <v>0</v>
      </c>
      <c r="L48" s="177">
        <v>0</v>
      </c>
      <c r="M48" s="177">
        <v>0</v>
      </c>
      <c r="N48" s="177">
        <v>0</v>
      </c>
      <c r="O48" s="177">
        <v>0</v>
      </c>
      <c r="P48" s="177">
        <v>0</v>
      </c>
      <c r="Q48" s="177">
        <v>0</v>
      </c>
      <c r="R48" s="177">
        <v>0</v>
      </c>
      <c r="S48" s="177">
        <v>0</v>
      </c>
      <c r="T48" s="177">
        <v>0</v>
      </c>
      <c r="U48" s="177">
        <v>0</v>
      </c>
      <c r="V48" s="177">
        <v>0</v>
      </c>
      <c r="W48" s="177">
        <v>0</v>
      </c>
      <c r="X48" s="177">
        <v>0</v>
      </c>
      <c r="Y48" s="177">
        <v>0</v>
      </c>
      <c r="Z48" s="177">
        <v>0</v>
      </c>
      <c r="AA48" s="177">
        <v>0</v>
      </c>
      <c r="AB48" s="129">
        <f t="shared" si="13"/>
        <v>0</v>
      </c>
      <c r="AC48" s="130">
        <f t="shared" si="14"/>
        <v>0</v>
      </c>
      <c r="AD48" s="130">
        <f t="shared" si="15"/>
        <v>0</v>
      </c>
      <c r="AE48" s="130">
        <f t="shared" si="16"/>
        <v>0</v>
      </c>
      <c r="AF48" s="130">
        <f t="shared" si="17"/>
        <v>0</v>
      </c>
      <c r="AG48" s="135">
        <f t="shared" si="18"/>
        <v>0</v>
      </c>
      <c r="AH48" s="131">
        <f t="shared" ref="AH48:AM48" si="51">IF(AB48 = 0, 0, AB48/AB$14)</f>
        <v>0</v>
      </c>
      <c r="AI48" s="131">
        <f t="shared" si="51"/>
        <v>0</v>
      </c>
      <c r="AJ48" s="131">
        <f t="shared" si="51"/>
        <v>0</v>
      </c>
      <c r="AK48" s="131">
        <f t="shared" si="51"/>
        <v>0</v>
      </c>
      <c r="AL48" s="131">
        <f t="shared" si="51"/>
        <v>0</v>
      </c>
      <c r="AM48" s="131">
        <f t="shared" si="51"/>
        <v>0</v>
      </c>
      <c r="AN48" s="132">
        <f>IF(OR(GradeSheet!$M43="W (Withdrawn)", GradeSheet!$M43="I (Incomplete)"), 0, IF(AH48&gt;=55%, 1, 0))</f>
        <v>0</v>
      </c>
      <c r="AO48" s="132">
        <f>IF(OR(GradeSheet!$M43="W (Withdrawn)", GradeSheet!$M43="I (Incomplete)"), 0, IF(AI48&gt;=55%, 1, 0))</f>
        <v>0</v>
      </c>
      <c r="AP48" s="132">
        <f>IF(OR(GradeSheet!$M43="W (Withdrawn)", GradeSheet!$M43="I (Incomplete)"), 0, IF(AJ48&gt;=55%, 1, 0))</f>
        <v>0</v>
      </c>
      <c r="AQ48" s="132">
        <f>IF(OR(GradeSheet!$M43="W (Withdrawn)", GradeSheet!$M43="I (Incomplete)"), 0, IF(AK48&gt;=55%, 1, 0))</f>
        <v>0</v>
      </c>
      <c r="AR48" s="132">
        <f>IF(OR(GradeSheet!$M43="W (Withdrawn)", GradeSheet!$M43="I (Incomplete)"), 0, IF(AL48&gt;=55%, 1, 0))</f>
        <v>0</v>
      </c>
      <c r="AS48" s="132">
        <f>IF(OR(GradeSheet!$M43="W (Withdrawn)", GradeSheet!$M43="I (Incomplete)"), 0, IF(AM48&gt;=55%, 1, 0))</f>
        <v>0</v>
      </c>
      <c r="AT48" s="114"/>
      <c r="AU48" s="133">
        <f t="shared" si="8"/>
        <v>0</v>
      </c>
      <c r="AV48" s="133">
        <f t="shared" si="9"/>
        <v>0</v>
      </c>
      <c r="AW48" s="133">
        <f t="array" ref="AW48">IF($AV$9=0,0,MMULT($AH48:$AM48, AV$3:AV$8)/$AV$9)</f>
        <v>0</v>
      </c>
      <c r="AX48" s="133">
        <f t="array" ref="AX48">IF($AW$9=0,0,MMULT($AH48:$AM48, AW$3:AW$8)/$AW$9)</f>
        <v>0</v>
      </c>
      <c r="AY48" s="133">
        <f t="shared" si="10"/>
        <v>0</v>
      </c>
      <c r="AZ48" s="133">
        <f t="array" ref="AZ48">IF($AY$9=0,0,MMULT($AH48:$AM48, AY$3:AY$8)/$AY$9)</f>
        <v>0</v>
      </c>
      <c r="BA48" s="133">
        <f t="array" ref="BA48">IF($AZ$9=0,0,MMULT($AH48:$AM48, AZ$3:AZ$8)/$AZ$9)</f>
        <v>0</v>
      </c>
      <c r="BB48" s="133">
        <f t="array" ref="BB48">IF($BA$9=0,0,MMULT($AH48:$AM48, BA$3:BA$8)/$BA$9)</f>
        <v>0</v>
      </c>
      <c r="BC48" s="133">
        <f t="array" ref="BC48">IF($BB$9=0,0,MMULT($AH48:$AM48, BB$3:BB$8)/$BB$9)</f>
        <v>0</v>
      </c>
      <c r="BD48" s="133">
        <f t="array" ref="BD48">IF($BC$9=0,0,MMULT($AH48:$AM48, BC$3:BC$8)/$BC$9)</f>
        <v>0</v>
      </c>
      <c r="BE48" s="133">
        <f t="shared" si="11"/>
        <v>0</v>
      </c>
      <c r="BF48" s="133">
        <f t="shared" si="12"/>
        <v>0</v>
      </c>
      <c r="BG48" s="132">
        <f>IF(OR(GradeSheet!$M43="W (Withdrawn)", GradeSheet!$M43="I (Incomplete)"), 0, IF(AU48&gt;=65%, 1, 0))</f>
        <v>0</v>
      </c>
      <c r="BH48" s="132">
        <f>IF(OR(GradeSheet!$M43="W (Withdrawn)", GradeSheet!$M43="I (Incomplete)"), 0, IF(AV48&gt;=65%, 1, 0))</f>
        <v>0</v>
      </c>
      <c r="BI48" s="132">
        <f>IF(OR(GradeSheet!$M43="W (Withdrawn)", GradeSheet!$M43="I (Incomplete)"), 0, IF(AW48&gt;=65%, 1, 0))</f>
        <v>0</v>
      </c>
      <c r="BJ48" s="132">
        <f>IF(OR(GradeSheet!$M43="W (Withdrawn)", GradeSheet!$M43="I (Incomplete)"), 0, IF(AX48&gt;=65%, 1, 0))</f>
        <v>0</v>
      </c>
      <c r="BK48" s="132">
        <f>IF(OR(GradeSheet!$M43="W (Withdrawn)", GradeSheet!$M43="I (Incomplete)"), 0, IF(AY48&gt;=65%, 1, 0))</f>
        <v>0</v>
      </c>
      <c r="BL48" s="132">
        <f>IF(OR(GradeSheet!$M43="W (Withdrawn)", GradeSheet!$M43="I (Incomplete)"), 0, IF(AZ48&gt;=65%, 1, 0))</f>
        <v>0</v>
      </c>
      <c r="BM48" s="132">
        <f>IF(OR(GradeSheet!$M43="W (Withdrawn)", GradeSheet!$M43="I (Incomplete)"), 0, IF(BA48&gt;=65%, 1, 0))</f>
        <v>0</v>
      </c>
      <c r="BN48" s="132">
        <f>IF(OR(GradeSheet!$M43="W (Withdrawn)", GradeSheet!$M43="I (Incomplete)"), 0, IF(BB48&gt;=65%, 1, 0))</f>
        <v>0</v>
      </c>
      <c r="BO48" s="132">
        <f>IF(OR(GradeSheet!$M43="W (Withdrawn)", GradeSheet!$M43="I (Incomplete)"), 0, IF(BC48&gt;=65%, 1, 0))</f>
        <v>0</v>
      </c>
      <c r="BP48" s="132">
        <f>IF(OR(GradeSheet!$M43="W (Withdrawn)", GradeSheet!$M43="I (Incomplete)"), 0, IF(BD48&gt;=65%, 1, 0))</f>
        <v>0</v>
      </c>
      <c r="BQ48" s="132">
        <f>IF(OR(GradeSheet!$M43="W (Withdrawn)", GradeSheet!$M43="I (Incomplete)"), 0, IF(BE48&gt;=65%, 1, 0))</f>
        <v>0</v>
      </c>
      <c r="BR48" s="132">
        <f>IF(OR(GradeSheet!$M43="W (Withdrawn)", GradeSheet!$M43="I (Incomplete)"), 0, IF(BF48&gt;=65%, 1, 0))</f>
        <v>0</v>
      </c>
    </row>
    <row r="49" spans="1:70" ht="15.75" customHeight="1">
      <c r="A49" s="128">
        <v>35</v>
      </c>
      <c r="B49" s="178">
        <f>GradeSheet!X44</f>
        <v>0</v>
      </c>
      <c r="C49" s="178">
        <f>GradeSheet!W44</f>
        <v>0</v>
      </c>
      <c r="D49" s="177">
        <v>0</v>
      </c>
      <c r="E49" s="177">
        <v>0</v>
      </c>
      <c r="F49" s="177">
        <v>0</v>
      </c>
      <c r="G49" s="177">
        <v>0</v>
      </c>
      <c r="H49" s="177">
        <v>0</v>
      </c>
      <c r="I49" s="177">
        <v>0</v>
      </c>
      <c r="J49" s="177">
        <v>0</v>
      </c>
      <c r="K49" s="177">
        <v>0</v>
      </c>
      <c r="L49" s="177">
        <v>0</v>
      </c>
      <c r="M49" s="177">
        <v>0</v>
      </c>
      <c r="N49" s="177">
        <v>0</v>
      </c>
      <c r="O49" s="177">
        <v>0</v>
      </c>
      <c r="P49" s="177">
        <v>0</v>
      </c>
      <c r="Q49" s="177">
        <v>0</v>
      </c>
      <c r="R49" s="177">
        <v>0</v>
      </c>
      <c r="S49" s="177">
        <v>0</v>
      </c>
      <c r="T49" s="177">
        <v>0</v>
      </c>
      <c r="U49" s="177">
        <v>0</v>
      </c>
      <c r="V49" s="177">
        <v>0</v>
      </c>
      <c r="W49" s="177">
        <v>0</v>
      </c>
      <c r="X49" s="177">
        <v>0</v>
      </c>
      <c r="Y49" s="177">
        <v>0</v>
      </c>
      <c r="Z49" s="177">
        <v>0</v>
      </c>
      <c r="AA49" s="177">
        <v>0</v>
      </c>
      <c r="AB49" s="129">
        <f t="shared" si="13"/>
        <v>0</v>
      </c>
      <c r="AC49" s="130">
        <f t="shared" si="14"/>
        <v>0</v>
      </c>
      <c r="AD49" s="130">
        <f t="shared" si="15"/>
        <v>0</v>
      </c>
      <c r="AE49" s="130">
        <f t="shared" si="16"/>
        <v>0</v>
      </c>
      <c r="AF49" s="130">
        <f t="shared" si="17"/>
        <v>0</v>
      </c>
      <c r="AG49" s="135">
        <f t="shared" si="18"/>
        <v>0</v>
      </c>
      <c r="AH49" s="131">
        <f t="shared" ref="AH49:AM49" si="52">IF(AB49 = 0, 0, AB49/AB$14)</f>
        <v>0</v>
      </c>
      <c r="AI49" s="131">
        <f t="shared" si="52"/>
        <v>0</v>
      </c>
      <c r="AJ49" s="131">
        <f t="shared" si="52"/>
        <v>0</v>
      </c>
      <c r="AK49" s="131">
        <f t="shared" si="52"/>
        <v>0</v>
      </c>
      <c r="AL49" s="131">
        <f t="shared" si="52"/>
        <v>0</v>
      </c>
      <c r="AM49" s="131">
        <f t="shared" si="52"/>
        <v>0</v>
      </c>
      <c r="AN49" s="132">
        <f>IF(OR(GradeSheet!$M44="W (Withdrawn)", GradeSheet!$M44="I (Incomplete)"), 0, IF(AH49&gt;=55%, 1, 0))</f>
        <v>0</v>
      </c>
      <c r="AO49" s="132">
        <f>IF(OR(GradeSheet!$M44="W (Withdrawn)", GradeSheet!$M44="I (Incomplete)"), 0, IF(AI49&gt;=55%, 1, 0))</f>
        <v>0</v>
      </c>
      <c r="AP49" s="132">
        <f>IF(OR(GradeSheet!$M44="W (Withdrawn)", GradeSheet!$M44="I (Incomplete)"), 0, IF(AJ49&gt;=55%, 1, 0))</f>
        <v>0</v>
      </c>
      <c r="AQ49" s="132">
        <f>IF(OR(GradeSheet!$M44="W (Withdrawn)", GradeSheet!$M44="I (Incomplete)"), 0, IF(AK49&gt;=55%, 1, 0))</f>
        <v>0</v>
      </c>
      <c r="AR49" s="132">
        <f>IF(OR(GradeSheet!$M44="W (Withdrawn)", GradeSheet!$M44="I (Incomplete)"), 0, IF(AL49&gt;=55%, 1, 0))</f>
        <v>0</v>
      </c>
      <c r="AS49" s="132">
        <f>IF(OR(GradeSheet!$M44="W (Withdrawn)", GradeSheet!$M44="I (Incomplete)"), 0, IF(AM49&gt;=55%, 1, 0))</f>
        <v>0</v>
      </c>
      <c r="AT49" s="114"/>
      <c r="AU49" s="133">
        <f t="shared" si="8"/>
        <v>0</v>
      </c>
      <c r="AV49" s="133">
        <f t="shared" si="9"/>
        <v>0</v>
      </c>
      <c r="AW49" s="133">
        <f t="array" ref="AW49">IF($AV$9=0,0,MMULT($AH49:$AM49, AV$3:AV$8)/$AV$9)</f>
        <v>0</v>
      </c>
      <c r="AX49" s="133">
        <f t="array" ref="AX49">IF($AW$9=0,0,MMULT($AH49:$AM49, AW$3:AW$8)/$AW$9)</f>
        <v>0</v>
      </c>
      <c r="AY49" s="133">
        <f t="shared" si="10"/>
        <v>0</v>
      </c>
      <c r="AZ49" s="133">
        <f t="array" ref="AZ49">IF($AY$9=0,0,MMULT($AH49:$AM49, AY$3:AY$8)/$AY$9)</f>
        <v>0</v>
      </c>
      <c r="BA49" s="133">
        <f t="array" ref="BA49">IF($AZ$9=0,0,MMULT($AH49:$AM49, AZ$3:AZ$8)/$AZ$9)</f>
        <v>0</v>
      </c>
      <c r="BB49" s="133">
        <f t="array" ref="BB49">IF($BA$9=0,0,MMULT($AH49:$AM49, BA$3:BA$8)/$BA$9)</f>
        <v>0</v>
      </c>
      <c r="BC49" s="133">
        <f t="array" ref="BC49">IF($BB$9=0,0,MMULT($AH49:$AM49, BB$3:BB$8)/$BB$9)</f>
        <v>0</v>
      </c>
      <c r="BD49" s="133">
        <f t="array" ref="BD49">IF($BC$9=0,0,MMULT($AH49:$AM49, BC$3:BC$8)/$BC$9)</f>
        <v>0</v>
      </c>
      <c r="BE49" s="133">
        <f t="shared" si="11"/>
        <v>0</v>
      </c>
      <c r="BF49" s="133">
        <f t="shared" si="12"/>
        <v>0</v>
      </c>
      <c r="BG49" s="132">
        <f>IF(OR(GradeSheet!$M44="W (Withdrawn)", GradeSheet!$M44="I (Incomplete)"), 0, IF(AU49&gt;=65%, 1, 0))</f>
        <v>0</v>
      </c>
      <c r="BH49" s="132">
        <f>IF(OR(GradeSheet!$M44="W (Withdrawn)", GradeSheet!$M44="I (Incomplete)"), 0, IF(AV49&gt;=65%, 1, 0))</f>
        <v>0</v>
      </c>
      <c r="BI49" s="132">
        <f>IF(OR(GradeSheet!$M44="W (Withdrawn)", GradeSheet!$M44="I (Incomplete)"), 0, IF(AW49&gt;=65%, 1, 0))</f>
        <v>0</v>
      </c>
      <c r="BJ49" s="132">
        <f>IF(OR(GradeSheet!$M44="W (Withdrawn)", GradeSheet!$M44="I (Incomplete)"), 0, IF(AX49&gt;=65%, 1, 0))</f>
        <v>0</v>
      </c>
      <c r="BK49" s="132">
        <f>IF(OR(GradeSheet!$M44="W (Withdrawn)", GradeSheet!$M44="I (Incomplete)"), 0, IF(AY49&gt;=65%, 1, 0))</f>
        <v>0</v>
      </c>
      <c r="BL49" s="132">
        <f>IF(OR(GradeSheet!$M44="W (Withdrawn)", GradeSheet!$M44="I (Incomplete)"), 0, IF(AZ49&gt;=65%, 1, 0))</f>
        <v>0</v>
      </c>
      <c r="BM49" s="132">
        <f>IF(OR(GradeSheet!$M44="W (Withdrawn)", GradeSheet!$M44="I (Incomplete)"), 0, IF(BA49&gt;=65%, 1, 0))</f>
        <v>0</v>
      </c>
      <c r="BN49" s="132">
        <f>IF(OR(GradeSheet!$M44="W (Withdrawn)", GradeSheet!$M44="I (Incomplete)"), 0, IF(BB49&gt;=65%, 1, 0))</f>
        <v>0</v>
      </c>
      <c r="BO49" s="132">
        <f>IF(OR(GradeSheet!$M44="W (Withdrawn)", GradeSheet!$M44="I (Incomplete)"), 0, IF(BC49&gt;=65%, 1, 0))</f>
        <v>0</v>
      </c>
      <c r="BP49" s="132">
        <f>IF(OR(GradeSheet!$M44="W (Withdrawn)", GradeSheet!$M44="I (Incomplete)"), 0, IF(BD49&gt;=65%, 1, 0))</f>
        <v>0</v>
      </c>
      <c r="BQ49" s="132">
        <f>IF(OR(GradeSheet!$M44="W (Withdrawn)", GradeSheet!$M44="I (Incomplete)"), 0, IF(BE49&gt;=65%, 1, 0))</f>
        <v>0</v>
      </c>
      <c r="BR49" s="132">
        <f>IF(OR(GradeSheet!$M44="W (Withdrawn)", GradeSheet!$M44="I (Incomplete)"), 0, IF(BF49&gt;=65%, 1, 0))</f>
        <v>0</v>
      </c>
    </row>
    <row r="50" spans="1:70" ht="15.75" customHeight="1">
      <c r="A50" s="134">
        <v>36</v>
      </c>
      <c r="B50" s="178">
        <f>GradeSheet!X45</f>
        <v>0</v>
      </c>
      <c r="C50" s="178">
        <f>GradeSheet!W45</f>
        <v>0</v>
      </c>
      <c r="D50" s="177">
        <v>0</v>
      </c>
      <c r="E50" s="177">
        <v>0</v>
      </c>
      <c r="F50" s="177">
        <v>0</v>
      </c>
      <c r="G50" s="177">
        <v>0</v>
      </c>
      <c r="H50" s="177">
        <v>0</v>
      </c>
      <c r="I50" s="177">
        <v>0</v>
      </c>
      <c r="J50" s="177">
        <v>0</v>
      </c>
      <c r="K50" s="177">
        <v>0</v>
      </c>
      <c r="L50" s="177">
        <v>0</v>
      </c>
      <c r="M50" s="177">
        <v>0</v>
      </c>
      <c r="N50" s="177">
        <v>0</v>
      </c>
      <c r="O50" s="177">
        <v>0</v>
      </c>
      <c r="P50" s="177">
        <v>0</v>
      </c>
      <c r="Q50" s="177">
        <v>0</v>
      </c>
      <c r="R50" s="177">
        <v>0</v>
      </c>
      <c r="S50" s="177">
        <v>0</v>
      </c>
      <c r="T50" s="177">
        <v>0</v>
      </c>
      <c r="U50" s="177">
        <v>0</v>
      </c>
      <c r="V50" s="177">
        <v>0</v>
      </c>
      <c r="W50" s="177">
        <v>0</v>
      </c>
      <c r="X50" s="177">
        <v>0</v>
      </c>
      <c r="Y50" s="177">
        <v>0</v>
      </c>
      <c r="Z50" s="177">
        <v>0</v>
      </c>
      <c r="AA50" s="177">
        <v>0</v>
      </c>
      <c r="AB50" s="129">
        <f t="shared" si="13"/>
        <v>0</v>
      </c>
      <c r="AC50" s="130">
        <f t="shared" si="14"/>
        <v>0</v>
      </c>
      <c r="AD50" s="130">
        <f t="shared" si="15"/>
        <v>0</v>
      </c>
      <c r="AE50" s="130">
        <f t="shared" si="16"/>
        <v>0</v>
      </c>
      <c r="AF50" s="130">
        <f t="shared" si="17"/>
        <v>0</v>
      </c>
      <c r="AG50" s="135">
        <f t="shared" si="18"/>
        <v>0</v>
      </c>
      <c r="AH50" s="131">
        <f t="shared" ref="AH50:AM50" si="53">IF(AB50 = 0, 0, AB50/AB$14)</f>
        <v>0</v>
      </c>
      <c r="AI50" s="131">
        <f t="shared" si="53"/>
        <v>0</v>
      </c>
      <c r="AJ50" s="131">
        <f t="shared" si="53"/>
        <v>0</v>
      </c>
      <c r="AK50" s="131">
        <f t="shared" si="53"/>
        <v>0</v>
      </c>
      <c r="AL50" s="131">
        <f t="shared" si="53"/>
        <v>0</v>
      </c>
      <c r="AM50" s="131">
        <f t="shared" si="53"/>
        <v>0</v>
      </c>
      <c r="AN50" s="132">
        <f>IF(OR(GradeSheet!$M45="W (Withdrawn)", GradeSheet!$M45="I (Incomplete)"), 0, IF(AH50&gt;=55%, 1, 0))</f>
        <v>0</v>
      </c>
      <c r="AO50" s="132">
        <f>IF(OR(GradeSheet!$M45="W (Withdrawn)", GradeSheet!$M45="I (Incomplete)"), 0, IF(AI50&gt;=55%, 1, 0))</f>
        <v>0</v>
      </c>
      <c r="AP50" s="132">
        <f>IF(OR(GradeSheet!$M45="W (Withdrawn)", GradeSheet!$M45="I (Incomplete)"), 0, IF(AJ50&gt;=55%, 1, 0))</f>
        <v>0</v>
      </c>
      <c r="AQ50" s="132">
        <f>IF(OR(GradeSheet!$M45="W (Withdrawn)", GradeSheet!$M45="I (Incomplete)"), 0, IF(AK50&gt;=55%, 1, 0))</f>
        <v>0</v>
      </c>
      <c r="AR50" s="132">
        <f>IF(OR(GradeSheet!$M45="W (Withdrawn)", GradeSheet!$M45="I (Incomplete)"), 0, IF(AL50&gt;=55%, 1, 0))</f>
        <v>0</v>
      </c>
      <c r="AS50" s="132">
        <f>IF(OR(GradeSheet!$M45="W (Withdrawn)", GradeSheet!$M45="I (Incomplete)"), 0, IF(AM50&gt;=55%, 1, 0))</f>
        <v>0</v>
      </c>
      <c r="AT50" s="114"/>
      <c r="AU50" s="133">
        <f t="shared" si="8"/>
        <v>0</v>
      </c>
      <c r="AV50" s="133">
        <f t="shared" si="9"/>
        <v>0</v>
      </c>
      <c r="AW50" s="133">
        <f t="array" ref="AW50">IF($AV$9=0,0,MMULT($AH50:$AM50, AV$3:AV$8)/$AV$9)</f>
        <v>0</v>
      </c>
      <c r="AX50" s="133">
        <f t="array" ref="AX50">IF($AW$9=0,0,MMULT($AH50:$AM50, AW$3:AW$8)/$AW$9)</f>
        <v>0</v>
      </c>
      <c r="AY50" s="133">
        <f t="shared" si="10"/>
        <v>0</v>
      </c>
      <c r="AZ50" s="133">
        <f t="array" ref="AZ50">IF($AY$9=0,0,MMULT($AH50:$AM50, AY$3:AY$8)/$AY$9)</f>
        <v>0</v>
      </c>
      <c r="BA50" s="133">
        <f t="array" ref="BA50">IF($AZ$9=0,0,MMULT($AH50:$AM50, AZ$3:AZ$8)/$AZ$9)</f>
        <v>0</v>
      </c>
      <c r="BB50" s="133">
        <f t="array" ref="BB50">IF($BA$9=0,0,MMULT($AH50:$AM50, BA$3:BA$8)/$BA$9)</f>
        <v>0</v>
      </c>
      <c r="BC50" s="133">
        <f t="array" ref="BC50">IF($BB$9=0,0,MMULT($AH50:$AM50, BB$3:BB$8)/$BB$9)</f>
        <v>0</v>
      </c>
      <c r="BD50" s="133">
        <f t="array" ref="BD50">IF($BC$9=0,0,MMULT($AH50:$AM50, BC$3:BC$8)/$BC$9)</f>
        <v>0</v>
      </c>
      <c r="BE50" s="133">
        <f t="shared" si="11"/>
        <v>0</v>
      </c>
      <c r="BF50" s="133">
        <f t="shared" si="12"/>
        <v>0</v>
      </c>
      <c r="BG50" s="132">
        <f>IF(OR(GradeSheet!$M45="W (Withdrawn)", GradeSheet!$M45="I (Incomplete)"), 0, IF(AU50&gt;=65%, 1, 0))</f>
        <v>0</v>
      </c>
      <c r="BH50" s="132">
        <f>IF(OR(GradeSheet!$M45="W (Withdrawn)", GradeSheet!$M45="I (Incomplete)"), 0, IF(AV50&gt;=65%, 1, 0))</f>
        <v>0</v>
      </c>
      <c r="BI50" s="132">
        <f>IF(OR(GradeSheet!$M45="W (Withdrawn)", GradeSheet!$M45="I (Incomplete)"), 0, IF(AW50&gt;=65%, 1, 0))</f>
        <v>0</v>
      </c>
      <c r="BJ50" s="132">
        <f>IF(OR(GradeSheet!$M45="W (Withdrawn)", GradeSheet!$M45="I (Incomplete)"), 0, IF(AX50&gt;=65%, 1, 0))</f>
        <v>0</v>
      </c>
      <c r="BK50" s="132">
        <f>IF(OR(GradeSheet!$M45="W (Withdrawn)", GradeSheet!$M45="I (Incomplete)"), 0, IF(AY50&gt;=65%, 1, 0))</f>
        <v>0</v>
      </c>
      <c r="BL50" s="132">
        <f>IF(OR(GradeSheet!$M45="W (Withdrawn)", GradeSheet!$M45="I (Incomplete)"), 0, IF(AZ50&gt;=65%, 1, 0))</f>
        <v>0</v>
      </c>
      <c r="BM50" s="132">
        <f>IF(OR(GradeSheet!$M45="W (Withdrawn)", GradeSheet!$M45="I (Incomplete)"), 0, IF(BA50&gt;=65%, 1, 0))</f>
        <v>0</v>
      </c>
      <c r="BN50" s="132">
        <f>IF(OR(GradeSheet!$M45="W (Withdrawn)", GradeSheet!$M45="I (Incomplete)"), 0, IF(BB50&gt;=65%, 1, 0))</f>
        <v>0</v>
      </c>
      <c r="BO50" s="132">
        <f>IF(OR(GradeSheet!$M45="W (Withdrawn)", GradeSheet!$M45="I (Incomplete)"), 0, IF(BC50&gt;=65%, 1, 0))</f>
        <v>0</v>
      </c>
      <c r="BP50" s="132">
        <f>IF(OR(GradeSheet!$M45="W (Withdrawn)", GradeSheet!$M45="I (Incomplete)"), 0, IF(BD50&gt;=65%, 1, 0))</f>
        <v>0</v>
      </c>
      <c r="BQ50" s="132">
        <f>IF(OR(GradeSheet!$M45="W (Withdrawn)", GradeSheet!$M45="I (Incomplete)"), 0, IF(BE50&gt;=65%, 1, 0))</f>
        <v>0</v>
      </c>
      <c r="BR50" s="132">
        <f>IF(OR(GradeSheet!$M45="W (Withdrawn)", GradeSheet!$M45="I (Incomplete)"), 0, IF(BF50&gt;=65%, 1, 0))</f>
        <v>0</v>
      </c>
    </row>
    <row r="51" spans="1:70" ht="15.75" customHeight="1">
      <c r="A51" s="128">
        <v>37</v>
      </c>
      <c r="B51" s="178">
        <f>GradeSheet!X46</f>
        <v>0</v>
      </c>
      <c r="C51" s="178">
        <f>GradeSheet!W46</f>
        <v>0</v>
      </c>
      <c r="D51" s="177">
        <v>0</v>
      </c>
      <c r="E51" s="177">
        <v>0</v>
      </c>
      <c r="F51" s="177">
        <v>0</v>
      </c>
      <c r="G51" s="177">
        <v>0</v>
      </c>
      <c r="H51" s="177">
        <v>0</v>
      </c>
      <c r="I51" s="177">
        <v>0</v>
      </c>
      <c r="J51" s="177">
        <v>0</v>
      </c>
      <c r="K51" s="177">
        <v>0</v>
      </c>
      <c r="L51" s="177">
        <v>0</v>
      </c>
      <c r="M51" s="177">
        <v>0</v>
      </c>
      <c r="N51" s="177">
        <v>0</v>
      </c>
      <c r="O51" s="177">
        <v>0</v>
      </c>
      <c r="P51" s="177">
        <v>0</v>
      </c>
      <c r="Q51" s="177">
        <v>0</v>
      </c>
      <c r="R51" s="177">
        <v>0</v>
      </c>
      <c r="S51" s="177">
        <v>0</v>
      </c>
      <c r="T51" s="177">
        <v>0</v>
      </c>
      <c r="U51" s="177">
        <v>0</v>
      </c>
      <c r="V51" s="177">
        <v>0</v>
      </c>
      <c r="W51" s="177">
        <v>0</v>
      </c>
      <c r="X51" s="177">
        <v>0</v>
      </c>
      <c r="Y51" s="177">
        <v>0</v>
      </c>
      <c r="Z51" s="177">
        <v>0</v>
      </c>
      <c r="AA51" s="177">
        <v>0</v>
      </c>
      <c r="AB51" s="129">
        <f t="shared" si="13"/>
        <v>0</v>
      </c>
      <c r="AC51" s="130">
        <f t="shared" si="14"/>
        <v>0</v>
      </c>
      <c r="AD51" s="130">
        <f t="shared" si="15"/>
        <v>0</v>
      </c>
      <c r="AE51" s="130">
        <f t="shared" si="16"/>
        <v>0</v>
      </c>
      <c r="AF51" s="130">
        <f t="shared" si="17"/>
        <v>0</v>
      </c>
      <c r="AG51" s="135">
        <f t="shared" si="18"/>
        <v>0</v>
      </c>
      <c r="AH51" s="131">
        <f t="shared" ref="AH51:AM51" si="54">IF(AB51 = 0, 0, AB51/AB$14)</f>
        <v>0</v>
      </c>
      <c r="AI51" s="131">
        <f t="shared" si="54"/>
        <v>0</v>
      </c>
      <c r="AJ51" s="131">
        <f t="shared" si="54"/>
        <v>0</v>
      </c>
      <c r="AK51" s="131">
        <f t="shared" si="54"/>
        <v>0</v>
      </c>
      <c r="AL51" s="131">
        <f t="shared" si="54"/>
        <v>0</v>
      </c>
      <c r="AM51" s="131">
        <f t="shared" si="54"/>
        <v>0</v>
      </c>
      <c r="AN51" s="132">
        <f>IF(OR(GradeSheet!$M46="W (Withdrawn)", GradeSheet!$M46="I (Incomplete)"), 0, IF(AH51&gt;=55%, 1, 0))</f>
        <v>0</v>
      </c>
      <c r="AO51" s="132">
        <f>IF(OR(GradeSheet!$M46="W (Withdrawn)", GradeSheet!$M46="I (Incomplete)"), 0, IF(AI51&gt;=55%, 1, 0))</f>
        <v>0</v>
      </c>
      <c r="AP51" s="132">
        <f>IF(OR(GradeSheet!$M46="W (Withdrawn)", GradeSheet!$M46="I (Incomplete)"), 0, IF(AJ51&gt;=55%, 1, 0))</f>
        <v>0</v>
      </c>
      <c r="AQ51" s="132">
        <f>IF(OR(GradeSheet!$M46="W (Withdrawn)", GradeSheet!$M46="I (Incomplete)"), 0, IF(AK51&gt;=55%, 1, 0))</f>
        <v>0</v>
      </c>
      <c r="AR51" s="132">
        <f>IF(OR(GradeSheet!$M46="W (Withdrawn)", GradeSheet!$M46="I (Incomplete)"), 0, IF(AL51&gt;=55%, 1, 0))</f>
        <v>0</v>
      </c>
      <c r="AS51" s="132">
        <f>IF(OR(GradeSheet!$M46="W (Withdrawn)", GradeSheet!$M46="I (Incomplete)"), 0, IF(AM51&gt;=55%, 1, 0))</f>
        <v>0</v>
      </c>
      <c r="AT51" s="114"/>
      <c r="AU51" s="133">
        <f t="shared" si="8"/>
        <v>0</v>
      </c>
      <c r="AV51" s="133">
        <f t="shared" si="9"/>
        <v>0</v>
      </c>
      <c r="AW51" s="133">
        <f t="array" ref="AW51">IF($AV$9=0,0,MMULT($AH51:$AM51, AV$3:AV$8)/$AV$9)</f>
        <v>0</v>
      </c>
      <c r="AX51" s="133">
        <f t="array" ref="AX51">IF($AW$9=0,0,MMULT($AH51:$AM51, AW$3:AW$8)/$AW$9)</f>
        <v>0</v>
      </c>
      <c r="AY51" s="133">
        <f t="shared" si="10"/>
        <v>0</v>
      </c>
      <c r="AZ51" s="133">
        <f t="array" ref="AZ51">IF($AY$9=0,0,MMULT($AH51:$AM51, AY$3:AY$8)/$AY$9)</f>
        <v>0</v>
      </c>
      <c r="BA51" s="133">
        <f t="array" ref="BA51">IF($AZ$9=0,0,MMULT($AH51:$AM51, AZ$3:AZ$8)/$AZ$9)</f>
        <v>0</v>
      </c>
      <c r="BB51" s="133">
        <f t="array" ref="BB51">IF($BA$9=0,0,MMULT($AH51:$AM51, BA$3:BA$8)/$BA$9)</f>
        <v>0</v>
      </c>
      <c r="BC51" s="133">
        <f t="array" ref="BC51">IF($BB$9=0,0,MMULT($AH51:$AM51, BB$3:BB$8)/$BB$9)</f>
        <v>0</v>
      </c>
      <c r="BD51" s="133">
        <f t="array" ref="BD51">IF($BC$9=0,0,MMULT($AH51:$AM51, BC$3:BC$8)/$BC$9)</f>
        <v>0</v>
      </c>
      <c r="BE51" s="133">
        <f t="shared" si="11"/>
        <v>0</v>
      </c>
      <c r="BF51" s="133">
        <f t="shared" si="12"/>
        <v>0</v>
      </c>
      <c r="BG51" s="132">
        <f>IF(OR(GradeSheet!$M46="W (Withdrawn)", GradeSheet!$M46="I (Incomplete)"), 0, IF(AU51&gt;=65%, 1, 0))</f>
        <v>0</v>
      </c>
      <c r="BH51" s="132">
        <f>IF(OR(GradeSheet!$M46="W (Withdrawn)", GradeSheet!$M46="I (Incomplete)"), 0, IF(AV51&gt;=65%, 1, 0))</f>
        <v>0</v>
      </c>
      <c r="BI51" s="132">
        <f>IF(OR(GradeSheet!$M46="W (Withdrawn)", GradeSheet!$M46="I (Incomplete)"), 0, IF(AW51&gt;=65%, 1, 0))</f>
        <v>0</v>
      </c>
      <c r="BJ51" s="132">
        <f>IF(OR(GradeSheet!$M46="W (Withdrawn)", GradeSheet!$M46="I (Incomplete)"), 0, IF(AX51&gt;=65%, 1, 0))</f>
        <v>0</v>
      </c>
      <c r="BK51" s="132">
        <f>IF(OR(GradeSheet!$M46="W (Withdrawn)", GradeSheet!$M46="I (Incomplete)"), 0, IF(AY51&gt;=65%, 1, 0))</f>
        <v>0</v>
      </c>
      <c r="BL51" s="132">
        <f>IF(OR(GradeSheet!$M46="W (Withdrawn)", GradeSheet!$M46="I (Incomplete)"), 0, IF(AZ51&gt;=65%, 1, 0))</f>
        <v>0</v>
      </c>
      <c r="BM51" s="132">
        <f>IF(OR(GradeSheet!$M46="W (Withdrawn)", GradeSheet!$M46="I (Incomplete)"), 0, IF(BA51&gt;=65%, 1, 0))</f>
        <v>0</v>
      </c>
      <c r="BN51" s="132">
        <f>IF(OR(GradeSheet!$M46="W (Withdrawn)", GradeSheet!$M46="I (Incomplete)"), 0, IF(BB51&gt;=65%, 1, 0))</f>
        <v>0</v>
      </c>
      <c r="BO51" s="132">
        <f>IF(OR(GradeSheet!$M46="W (Withdrawn)", GradeSheet!$M46="I (Incomplete)"), 0, IF(BC51&gt;=65%, 1, 0))</f>
        <v>0</v>
      </c>
      <c r="BP51" s="132">
        <f>IF(OR(GradeSheet!$M46="W (Withdrawn)", GradeSheet!$M46="I (Incomplete)"), 0, IF(BD51&gt;=65%, 1, 0))</f>
        <v>0</v>
      </c>
      <c r="BQ51" s="132">
        <f>IF(OR(GradeSheet!$M46="W (Withdrawn)", GradeSheet!$M46="I (Incomplete)"), 0, IF(BE51&gt;=65%, 1, 0))</f>
        <v>0</v>
      </c>
      <c r="BR51" s="132">
        <f>IF(OR(GradeSheet!$M46="W (Withdrawn)", GradeSheet!$M46="I (Incomplete)"), 0, IF(BF51&gt;=65%, 1, 0))</f>
        <v>0</v>
      </c>
    </row>
    <row r="52" spans="1:70" ht="15.75" customHeight="1">
      <c r="A52" s="134">
        <v>38</v>
      </c>
      <c r="B52" s="178">
        <f>GradeSheet!X47</f>
        <v>0</v>
      </c>
      <c r="C52" s="178">
        <f>GradeSheet!W47</f>
        <v>0</v>
      </c>
      <c r="D52" s="177">
        <v>0</v>
      </c>
      <c r="E52" s="177">
        <v>0</v>
      </c>
      <c r="F52" s="177">
        <v>0</v>
      </c>
      <c r="G52" s="177">
        <v>0</v>
      </c>
      <c r="H52" s="177">
        <v>0</v>
      </c>
      <c r="I52" s="177">
        <v>0</v>
      </c>
      <c r="J52" s="177">
        <v>0</v>
      </c>
      <c r="K52" s="177">
        <v>0</v>
      </c>
      <c r="L52" s="177">
        <v>0</v>
      </c>
      <c r="M52" s="177">
        <v>0</v>
      </c>
      <c r="N52" s="177">
        <v>0</v>
      </c>
      <c r="O52" s="177">
        <v>0</v>
      </c>
      <c r="P52" s="177">
        <v>0</v>
      </c>
      <c r="Q52" s="177">
        <v>0</v>
      </c>
      <c r="R52" s="177">
        <v>0</v>
      </c>
      <c r="S52" s="177">
        <v>0</v>
      </c>
      <c r="T52" s="177">
        <v>0</v>
      </c>
      <c r="U52" s="177">
        <v>0</v>
      </c>
      <c r="V52" s="177">
        <v>0</v>
      </c>
      <c r="W52" s="177">
        <v>0</v>
      </c>
      <c r="X52" s="177">
        <v>0</v>
      </c>
      <c r="Y52" s="177">
        <v>0</v>
      </c>
      <c r="Z52" s="177">
        <v>0</v>
      </c>
      <c r="AA52" s="177">
        <v>0</v>
      </c>
      <c r="AB52" s="129">
        <f t="shared" si="13"/>
        <v>0</v>
      </c>
      <c r="AC52" s="130">
        <f t="shared" si="14"/>
        <v>0</v>
      </c>
      <c r="AD52" s="130">
        <f t="shared" si="15"/>
        <v>0</v>
      </c>
      <c r="AE52" s="130">
        <f t="shared" si="16"/>
        <v>0</v>
      </c>
      <c r="AF52" s="130">
        <f t="shared" si="17"/>
        <v>0</v>
      </c>
      <c r="AG52" s="135">
        <f t="shared" si="18"/>
        <v>0</v>
      </c>
      <c r="AH52" s="131">
        <f t="shared" ref="AH52:AM52" si="55">IF(AB52 = 0, 0, AB52/AB$14)</f>
        <v>0</v>
      </c>
      <c r="AI52" s="131">
        <f t="shared" si="55"/>
        <v>0</v>
      </c>
      <c r="AJ52" s="131">
        <f t="shared" si="55"/>
        <v>0</v>
      </c>
      <c r="AK52" s="131">
        <f t="shared" si="55"/>
        <v>0</v>
      </c>
      <c r="AL52" s="131">
        <f t="shared" si="55"/>
        <v>0</v>
      </c>
      <c r="AM52" s="131">
        <f t="shared" si="55"/>
        <v>0</v>
      </c>
      <c r="AN52" s="132">
        <f>IF(OR(GradeSheet!$M47="W (Withdrawn)", GradeSheet!$M47="I (Incomplete)"), 0, IF(AH52&gt;=55%, 1, 0))</f>
        <v>0</v>
      </c>
      <c r="AO52" s="132">
        <f>IF(OR(GradeSheet!$M47="W (Withdrawn)", GradeSheet!$M47="I (Incomplete)"), 0, IF(AI52&gt;=55%, 1, 0))</f>
        <v>0</v>
      </c>
      <c r="AP52" s="132">
        <f>IF(OR(GradeSheet!$M47="W (Withdrawn)", GradeSheet!$M47="I (Incomplete)"), 0, IF(AJ52&gt;=55%, 1, 0))</f>
        <v>0</v>
      </c>
      <c r="AQ52" s="132">
        <f>IF(OR(GradeSheet!$M47="W (Withdrawn)", GradeSheet!$M47="I (Incomplete)"), 0, IF(AK52&gt;=55%, 1, 0))</f>
        <v>0</v>
      </c>
      <c r="AR52" s="132">
        <f>IF(OR(GradeSheet!$M47="W (Withdrawn)", GradeSheet!$M47="I (Incomplete)"), 0, IF(AL52&gt;=55%, 1, 0))</f>
        <v>0</v>
      </c>
      <c r="AS52" s="132">
        <f>IF(OR(GradeSheet!$M47="W (Withdrawn)", GradeSheet!$M47="I (Incomplete)"), 0, IF(AM52&gt;=55%, 1, 0))</f>
        <v>0</v>
      </c>
      <c r="AT52" s="114"/>
      <c r="AU52" s="133">
        <f t="shared" si="8"/>
        <v>0</v>
      </c>
      <c r="AV52" s="133">
        <f t="shared" si="9"/>
        <v>0</v>
      </c>
      <c r="AW52" s="133">
        <f t="array" ref="AW52">IF($AV$9=0,0,MMULT($AH52:$AM52, AV$3:AV$8)/$AV$9)</f>
        <v>0</v>
      </c>
      <c r="AX52" s="133">
        <f t="array" ref="AX52">IF($AW$9=0,0,MMULT($AH52:$AM52, AW$3:AW$8)/$AW$9)</f>
        <v>0</v>
      </c>
      <c r="AY52" s="133">
        <f t="shared" si="10"/>
        <v>0</v>
      </c>
      <c r="AZ52" s="133">
        <f t="array" ref="AZ52">IF($AY$9=0,0,MMULT($AH52:$AM52, AY$3:AY$8)/$AY$9)</f>
        <v>0</v>
      </c>
      <c r="BA52" s="133">
        <f t="array" ref="BA52">IF($AZ$9=0,0,MMULT($AH52:$AM52, AZ$3:AZ$8)/$AZ$9)</f>
        <v>0</v>
      </c>
      <c r="BB52" s="133">
        <f t="array" ref="BB52">IF($BA$9=0,0,MMULT($AH52:$AM52, BA$3:BA$8)/$BA$9)</f>
        <v>0</v>
      </c>
      <c r="BC52" s="133">
        <f t="array" ref="BC52">IF($BB$9=0,0,MMULT($AH52:$AM52, BB$3:BB$8)/$BB$9)</f>
        <v>0</v>
      </c>
      <c r="BD52" s="133">
        <f t="array" ref="BD52">IF($BC$9=0,0,MMULT($AH52:$AM52, BC$3:BC$8)/$BC$9)</f>
        <v>0</v>
      </c>
      <c r="BE52" s="133">
        <f t="shared" si="11"/>
        <v>0</v>
      </c>
      <c r="BF52" s="133">
        <f t="shared" si="12"/>
        <v>0</v>
      </c>
      <c r="BG52" s="132">
        <f>IF(OR(GradeSheet!$M47="W (Withdrawn)", GradeSheet!$M47="I (Incomplete)"), 0, IF(AU52&gt;=65%, 1, 0))</f>
        <v>0</v>
      </c>
      <c r="BH52" s="132">
        <f>IF(OR(GradeSheet!$M47="W (Withdrawn)", GradeSheet!$M47="I (Incomplete)"), 0, IF(AV52&gt;=65%, 1, 0))</f>
        <v>0</v>
      </c>
      <c r="BI52" s="132">
        <f>IF(OR(GradeSheet!$M47="W (Withdrawn)", GradeSheet!$M47="I (Incomplete)"), 0, IF(AW52&gt;=65%, 1, 0))</f>
        <v>0</v>
      </c>
      <c r="BJ52" s="132">
        <f>IF(OR(GradeSheet!$M47="W (Withdrawn)", GradeSheet!$M47="I (Incomplete)"), 0, IF(AX52&gt;=65%, 1, 0))</f>
        <v>0</v>
      </c>
      <c r="BK52" s="132">
        <f>IF(OR(GradeSheet!$M47="W (Withdrawn)", GradeSheet!$M47="I (Incomplete)"), 0, IF(AY52&gt;=65%, 1, 0))</f>
        <v>0</v>
      </c>
      <c r="BL52" s="132">
        <f>IF(OR(GradeSheet!$M47="W (Withdrawn)", GradeSheet!$M47="I (Incomplete)"), 0, IF(AZ52&gt;=65%, 1, 0))</f>
        <v>0</v>
      </c>
      <c r="BM52" s="132">
        <f>IF(OR(GradeSheet!$M47="W (Withdrawn)", GradeSheet!$M47="I (Incomplete)"), 0, IF(BA52&gt;=65%, 1, 0))</f>
        <v>0</v>
      </c>
      <c r="BN52" s="132">
        <f>IF(OR(GradeSheet!$M47="W (Withdrawn)", GradeSheet!$M47="I (Incomplete)"), 0, IF(BB52&gt;=65%, 1, 0))</f>
        <v>0</v>
      </c>
      <c r="BO52" s="132">
        <f>IF(OR(GradeSheet!$M47="W (Withdrawn)", GradeSheet!$M47="I (Incomplete)"), 0, IF(BC52&gt;=65%, 1, 0))</f>
        <v>0</v>
      </c>
      <c r="BP52" s="132">
        <f>IF(OR(GradeSheet!$M47="W (Withdrawn)", GradeSheet!$M47="I (Incomplete)"), 0, IF(BD52&gt;=65%, 1, 0))</f>
        <v>0</v>
      </c>
      <c r="BQ52" s="132">
        <f>IF(OR(GradeSheet!$M47="W (Withdrawn)", GradeSheet!$M47="I (Incomplete)"), 0, IF(BE52&gt;=65%, 1, 0))</f>
        <v>0</v>
      </c>
      <c r="BR52" s="132">
        <f>IF(OR(GradeSheet!$M47="W (Withdrawn)", GradeSheet!$M47="I (Incomplete)"), 0, IF(BF52&gt;=65%, 1, 0))</f>
        <v>0</v>
      </c>
    </row>
    <row r="53" spans="1:70" ht="15.75" customHeight="1">
      <c r="A53" s="128">
        <v>39</v>
      </c>
      <c r="B53" s="178">
        <f>GradeSheet!X48</f>
        <v>0</v>
      </c>
      <c r="C53" s="178">
        <f>GradeSheet!W48</f>
        <v>0</v>
      </c>
      <c r="D53" s="177">
        <v>0</v>
      </c>
      <c r="E53" s="177">
        <v>0</v>
      </c>
      <c r="F53" s="177">
        <v>0</v>
      </c>
      <c r="G53" s="177">
        <v>0</v>
      </c>
      <c r="H53" s="177">
        <v>0</v>
      </c>
      <c r="I53" s="177">
        <v>0</v>
      </c>
      <c r="J53" s="177">
        <v>0</v>
      </c>
      <c r="K53" s="177">
        <v>0</v>
      </c>
      <c r="L53" s="177">
        <v>0</v>
      </c>
      <c r="M53" s="177">
        <v>0</v>
      </c>
      <c r="N53" s="177">
        <v>0</v>
      </c>
      <c r="O53" s="177">
        <v>0</v>
      </c>
      <c r="P53" s="177">
        <v>0</v>
      </c>
      <c r="Q53" s="177">
        <v>0</v>
      </c>
      <c r="R53" s="177">
        <v>0</v>
      </c>
      <c r="S53" s="177">
        <v>0</v>
      </c>
      <c r="T53" s="177">
        <v>0</v>
      </c>
      <c r="U53" s="177">
        <v>0</v>
      </c>
      <c r="V53" s="177">
        <v>0</v>
      </c>
      <c r="W53" s="177">
        <v>0</v>
      </c>
      <c r="X53" s="177">
        <v>0</v>
      </c>
      <c r="Y53" s="177">
        <v>0</v>
      </c>
      <c r="Z53" s="177">
        <v>0</v>
      </c>
      <c r="AA53" s="177">
        <v>0</v>
      </c>
      <c r="AB53" s="129">
        <f t="shared" si="13"/>
        <v>0</v>
      </c>
      <c r="AC53" s="130">
        <f t="shared" si="14"/>
        <v>0</v>
      </c>
      <c r="AD53" s="130">
        <f t="shared" si="15"/>
        <v>0</v>
      </c>
      <c r="AE53" s="130">
        <f t="shared" si="16"/>
        <v>0</v>
      </c>
      <c r="AF53" s="130">
        <f t="shared" si="17"/>
        <v>0</v>
      </c>
      <c r="AG53" s="135">
        <f t="shared" si="18"/>
        <v>0</v>
      </c>
      <c r="AH53" s="131">
        <f t="shared" ref="AH53:AM53" si="56">IF(AB53 = 0, 0, AB53/AB$14)</f>
        <v>0</v>
      </c>
      <c r="AI53" s="131">
        <f t="shared" si="56"/>
        <v>0</v>
      </c>
      <c r="AJ53" s="131">
        <f t="shared" si="56"/>
        <v>0</v>
      </c>
      <c r="AK53" s="131">
        <f t="shared" si="56"/>
        <v>0</v>
      </c>
      <c r="AL53" s="131">
        <f t="shared" si="56"/>
        <v>0</v>
      </c>
      <c r="AM53" s="131">
        <f t="shared" si="56"/>
        <v>0</v>
      </c>
      <c r="AN53" s="132">
        <f>IF(OR(GradeSheet!$M48="W (Withdrawn)", GradeSheet!$M48="I (Incomplete)"), 0, IF(AH53&gt;=55%, 1, 0))</f>
        <v>0</v>
      </c>
      <c r="AO53" s="132">
        <f>IF(OR(GradeSheet!$M48="W (Withdrawn)", GradeSheet!$M48="I (Incomplete)"), 0, IF(AI53&gt;=55%, 1, 0))</f>
        <v>0</v>
      </c>
      <c r="AP53" s="132">
        <f>IF(OR(GradeSheet!$M48="W (Withdrawn)", GradeSheet!$M48="I (Incomplete)"), 0, IF(AJ53&gt;=55%, 1, 0))</f>
        <v>0</v>
      </c>
      <c r="AQ53" s="132">
        <f>IF(OR(GradeSheet!$M48="W (Withdrawn)", GradeSheet!$M48="I (Incomplete)"), 0, IF(AK53&gt;=55%, 1, 0))</f>
        <v>0</v>
      </c>
      <c r="AR53" s="132">
        <f>IF(OR(GradeSheet!$M48="W (Withdrawn)", GradeSheet!$M48="I (Incomplete)"), 0, IF(AL53&gt;=55%, 1, 0))</f>
        <v>0</v>
      </c>
      <c r="AS53" s="132">
        <f>IF(OR(GradeSheet!$M48="W (Withdrawn)", GradeSheet!$M48="I (Incomplete)"), 0, IF(AM53&gt;=55%, 1, 0))</f>
        <v>0</v>
      </c>
      <c r="AT53" s="114"/>
      <c r="AU53" s="133">
        <f t="shared" si="8"/>
        <v>0</v>
      </c>
      <c r="AV53" s="133">
        <f t="shared" si="9"/>
        <v>0</v>
      </c>
      <c r="AW53" s="133">
        <f t="array" ref="AW53">IF($AV$9=0,0,MMULT($AH53:$AM53, AV$3:AV$8)/$AV$9)</f>
        <v>0</v>
      </c>
      <c r="AX53" s="133">
        <f t="array" ref="AX53">IF($AW$9=0,0,MMULT($AH53:$AM53, AW$3:AW$8)/$AW$9)</f>
        <v>0</v>
      </c>
      <c r="AY53" s="133">
        <f t="shared" si="10"/>
        <v>0</v>
      </c>
      <c r="AZ53" s="133">
        <f t="array" ref="AZ53">IF($AY$9=0,0,MMULT($AH53:$AM53, AY$3:AY$8)/$AY$9)</f>
        <v>0</v>
      </c>
      <c r="BA53" s="133">
        <f t="array" ref="BA53">IF($AZ$9=0,0,MMULT($AH53:$AM53, AZ$3:AZ$8)/$AZ$9)</f>
        <v>0</v>
      </c>
      <c r="BB53" s="133">
        <f t="array" ref="BB53">IF($BA$9=0,0,MMULT($AH53:$AM53, BA$3:BA$8)/$BA$9)</f>
        <v>0</v>
      </c>
      <c r="BC53" s="133">
        <f t="array" ref="BC53">IF($BB$9=0,0,MMULT($AH53:$AM53, BB$3:BB$8)/$BB$9)</f>
        <v>0</v>
      </c>
      <c r="BD53" s="133">
        <f t="array" ref="BD53">IF($BC$9=0,0,MMULT($AH53:$AM53, BC$3:BC$8)/$BC$9)</f>
        <v>0</v>
      </c>
      <c r="BE53" s="133">
        <f t="shared" si="11"/>
        <v>0</v>
      </c>
      <c r="BF53" s="133">
        <f t="shared" si="12"/>
        <v>0</v>
      </c>
      <c r="BG53" s="132">
        <f>IF(OR(GradeSheet!$M48="W (Withdrawn)", GradeSheet!$M48="I (Incomplete)"), 0, IF(AU53&gt;=65%, 1, 0))</f>
        <v>0</v>
      </c>
      <c r="BH53" s="132">
        <f>IF(OR(GradeSheet!$M48="W (Withdrawn)", GradeSheet!$M48="I (Incomplete)"), 0, IF(AV53&gt;=65%, 1, 0))</f>
        <v>0</v>
      </c>
      <c r="BI53" s="132">
        <f>IF(OR(GradeSheet!$M48="W (Withdrawn)", GradeSheet!$M48="I (Incomplete)"), 0, IF(AW53&gt;=65%, 1, 0))</f>
        <v>0</v>
      </c>
      <c r="BJ53" s="132">
        <f>IF(OR(GradeSheet!$M48="W (Withdrawn)", GradeSheet!$M48="I (Incomplete)"), 0, IF(AX53&gt;=65%, 1, 0))</f>
        <v>0</v>
      </c>
      <c r="BK53" s="132">
        <f>IF(OR(GradeSheet!$M48="W (Withdrawn)", GradeSheet!$M48="I (Incomplete)"), 0, IF(AY53&gt;=65%, 1, 0))</f>
        <v>0</v>
      </c>
      <c r="BL53" s="132">
        <f>IF(OR(GradeSheet!$M48="W (Withdrawn)", GradeSheet!$M48="I (Incomplete)"), 0, IF(AZ53&gt;=65%, 1, 0))</f>
        <v>0</v>
      </c>
      <c r="BM53" s="132">
        <f>IF(OR(GradeSheet!$M48="W (Withdrawn)", GradeSheet!$M48="I (Incomplete)"), 0, IF(BA53&gt;=65%, 1, 0))</f>
        <v>0</v>
      </c>
      <c r="BN53" s="132">
        <f>IF(OR(GradeSheet!$M48="W (Withdrawn)", GradeSheet!$M48="I (Incomplete)"), 0, IF(BB53&gt;=65%, 1, 0))</f>
        <v>0</v>
      </c>
      <c r="BO53" s="132">
        <f>IF(OR(GradeSheet!$M48="W (Withdrawn)", GradeSheet!$M48="I (Incomplete)"), 0, IF(BC53&gt;=65%, 1, 0))</f>
        <v>0</v>
      </c>
      <c r="BP53" s="132">
        <f>IF(OR(GradeSheet!$M48="W (Withdrawn)", GradeSheet!$M48="I (Incomplete)"), 0, IF(BD53&gt;=65%, 1, 0))</f>
        <v>0</v>
      </c>
      <c r="BQ53" s="132">
        <f>IF(OR(GradeSheet!$M48="W (Withdrawn)", GradeSheet!$M48="I (Incomplete)"), 0, IF(BE53&gt;=65%, 1, 0))</f>
        <v>0</v>
      </c>
      <c r="BR53" s="132">
        <f>IF(OR(GradeSheet!$M48="W (Withdrawn)", GradeSheet!$M48="I (Incomplete)"), 0, IF(BF53&gt;=65%, 1, 0))</f>
        <v>0</v>
      </c>
    </row>
    <row r="54" spans="1:70" ht="15.75" customHeight="1">
      <c r="A54" s="134">
        <v>40</v>
      </c>
      <c r="B54" s="178">
        <f>GradeSheet!X49</f>
        <v>0</v>
      </c>
      <c r="C54" s="178">
        <f>GradeSheet!W49</f>
        <v>0</v>
      </c>
      <c r="D54" s="177">
        <v>0</v>
      </c>
      <c r="E54" s="177">
        <v>0</v>
      </c>
      <c r="F54" s="177">
        <v>0</v>
      </c>
      <c r="G54" s="177">
        <v>0</v>
      </c>
      <c r="H54" s="177">
        <v>0</v>
      </c>
      <c r="I54" s="177">
        <v>0</v>
      </c>
      <c r="J54" s="177">
        <v>0</v>
      </c>
      <c r="K54" s="177">
        <v>0</v>
      </c>
      <c r="L54" s="177">
        <v>0</v>
      </c>
      <c r="M54" s="177">
        <v>0</v>
      </c>
      <c r="N54" s="177">
        <v>0</v>
      </c>
      <c r="O54" s="177">
        <v>0</v>
      </c>
      <c r="P54" s="177">
        <v>0</v>
      </c>
      <c r="Q54" s="177">
        <v>0</v>
      </c>
      <c r="R54" s="177">
        <v>0</v>
      </c>
      <c r="S54" s="177">
        <v>0</v>
      </c>
      <c r="T54" s="177">
        <v>0</v>
      </c>
      <c r="U54" s="177">
        <v>0</v>
      </c>
      <c r="V54" s="177">
        <v>0</v>
      </c>
      <c r="W54" s="177">
        <v>0</v>
      </c>
      <c r="X54" s="177">
        <v>0</v>
      </c>
      <c r="Y54" s="177">
        <v>0</v>
      </c>
      <c r="Z54" s="177">
        <v>0</v>
      </c>
      <c r="AA54" s="177">
        <v>0</v>
      </c>
      <c r="AB54" s="129">
        <f t="shared" si="13"/>
        <v>0</v>
      </c>
      <c r="AC54" s="130">
        <f t="shared" si="14"/>
        <v>0</v>
      </c>
      <c r="AD54" s="130">
        <f t="shared" si="15"/>
        <v>0</v>
      </c>
      <c r="AE54" s="130">
        <f t="shared" si="16"/>
        <v>0</v>
      </c>
      <c r="AF54" s="130">
        <f t="shared" si="17"/>
        <v>0</v>
      </c>
      <c r="AG54" s="135">
        <f t="shared" si="18"/>
        <v>0</v>
      </c>
      <c r="AH54" s="131">
        <f t="shared" ref="AH54:AM54" si="57">IF(AB54 = 0, 0, AB54/AB$14)</f>
        <v>0</v>
      </c>
      <c r="AI54" s="131">
        <f t="shared" si="57"/>
        <v>0</v>
      </c>
      <c r="AJ54" s="131">
        <f t="shared" si="57"/>
        <v>0</v>
      </c>
      <c r="AK54" s="131">
        <f t="shared" si="57"/>
        <v>0</v>
      </c>
      <c r="AL54" s="131">
        <f t="shared" si="57"/>
        <v>0</v>
      </c>
      <c r="AM54" s="131">
        <f t="shared" si="57"/>
        <v>0</v>
      </c>
      <c r="AN54" s="110">
        <f>IF(OR(GradeSheet!$M49="W (Withdrawn)", GradeSheet!$M49="I (Incomplete)"), 0, IF(AH54&gt;=55%, 1, 0))</f>
        <v>0</v>
      </c>
      <c r="AO54" s="110">
        <f>IF(OR(GradeSheet!$M49="W (Withdrawn)", GradeSheet!$M49="I (Incomplete)"), 0, IF(AI54&gt;=55%, 1, 0))</f>
        <v>0</v>
      </c>
      <c r="AP54" s="110">
        <f>IF(OR(GradeSheet!$M49="W (Withdrawn)", GradeSheet!$M49="I (Incomplete)"), 0, IF(AJ54&gt;=55%, 1, 0))</f>
        <v>0</v>
      </c>
      <c r="AQ54" s="110">
        <f>IF(OR(GradeSheet!$M49="W (Withdrawn)", GradeSheet!$M49="I (Incomplete)"), 0, IF(AK54&gt;=55%, 1, 0))</f>
        <v>0</v>
      </c>
      <c r="AR54" s="110">
        <f>IF(OR(GradeSheet!$M49="W (Withdrawn)", GradeSheet!$M49="I (Incomplete)"), 0, IF(AL54&gt;=55%, 1, 0))</f>
        <v>0</v>
      </c>
      <c r="AS54" s="110">
        <f>IF(OR(GradeSheet!$M49="W (Withdrawn)", GradeSheet!$M49="I (Incomplete)"), 0, IF(AM54&gt;=55%, 1, 0))</f>
        <v>0</v>
      </c>
      <c r="AT54" s="114"/>
      <c r="AU54" s="133">
        <f t="shared" si="8"/>
        <v>0</v>
      </c>
      <c r="AV54" s="133">
        <f t="shared" si="9"/>
        <v>0</v>
      </c>
      <c r="AW54" s="133">
        <f t="array" ref="AW54">IF($AV$9=0,0,MMULT($AH54:$AM54, AV$3:AV$8)/$AV$9)</f>
        <v>0</v>
      </c>
      <c r="AX54" s="133">
        <f t="array" ref="AX54">IF($AW$9=0,0,MMULT($AH54:$AM54, AW$3:AW$8)/$AW$9)</f>
        <v>0</v>
      </c>
      <c r="AY54" s="133">
        <f t="shared" si="10"/>
        <v>0</v>
      </c>
      <c r="AZ54" s="133">
        <f t="array" ref="AZ54">IF($AY$9=0,0,MMULT($AH54:$AM54, AY$3:AY$8)/$AY$9)</f>
        <v>0</v>
      </c>
      <c r="BA54" s="133">
        <f t="array" ref="BA54">IF($AZ$9=0,0,MMULT($AH54:$AM54, AZ$3:AZ$8)/$AZ$9)</f>
        <v>0</v>
      </c>
      <c r="BB54" s="133">
        <f t="array" ref="BB54">IF($BA$9=0,0,MMULT($AH54:$AM54, BA$3:BA$8)/$BA$9)</f>
        <v>0</v>
      </c>
      <c r="BC54" s="133">
        <f t="array" ref="BC54">IF($BB$9=0,0,MMULT($AH54:$AM54, BB$3:BB$8)/$BB$9)</f>
        <v>0</v>
      </c>
      <c r="BD54" s="133">
        <f t="array" ref="BD54">IF($BC$9=0,0,MMULT($AH54:$AM54, BC$3:BC$8)/$BC$9)</f>
        <v>0</v>
      </c>
      <c r="BE54" s="133">
        <f t="shared" si="11"/>
        <v>0</v>
      </c>
      <c r="BF54" s="133">
        <f t="shared" si="12"/>
        <v>0</v>
      </c>
      <c r="BG54" s="110">
        <f>IF(OR(GradeSheet!$M49="W (Withdrawn)", GradeSheet!$M49="I (Incomplete)"), 0, IF(AU54&gt;=65%, 1, 0))</f>
        <v>0</v>
      </c>
      <c r="BH54" s="110">
        <f>IF(OR(GradeSheet!$M49="W (Withdrawn)", GradeSheet!$M49="I (Incomplete)"), 0, IF(AV54&gt;=65%, 1, 0))</f>
        <v>0</v>
      </c>
      <c r="BI54" s="110">
        <f>IF(OR(GradeSheet!$M49="W (Withdrawn)", GradeSheet!$M49="I (Incomplete)"), 0, IF(AW54&gt;=65%, 1, 0))</f>
        <v>0</v>
      </c>
      <c r="BJ54" s="110">
        <f>IF(OR(GradeSheet!$M49="W (Withdrawn)", GradeSheet!$M49="I (Incomplete)"), 0, IF(AX54&gt;=65%, 1, 0))</f>
        <v>0</v>
      </c>
      <c r="BK54" s="110">
        <f>IF(OR(GradeSheet!$M49="W (Withdrawn)", GradeSheet!$M49="I (Incomplete)"), 0, IF(AY54&gt;=65%, 1, 0))</f>
        <v>0</v>
      </c>
      <c r="BL54" s="110">
        <f>IF(OR(GradeSheet!$M49="W (Withdrawn)", GradeSheet!$M49="I (Incomplete)"), 0, IF(AZ54&gt;=65%, 1, 0))</f>
        <v>0</v>
      </c>
      <c r="BM54" s="110">
        <f>IF(OR(GradeSheet!$M49="W (Withdrawn)", GradeSheet!$M49="I (Incomplete)"), 0, IF(BA54&gt;=65%, 1, 0))</f>
        <v>0</v>
      </c>
      <c r="BN54" s="110">
        <f>IF(OR(GradeSheet!$M49="W (Withdrawn)", GradeSheet!$M49="I (Incomplete)"), 0, IF(BB54&gt;=65%, 1, 0))</f>
        <v>0</v>
      </c>
      <c r="BO54" s="110">
        <f>IF(OR(GradeSheet!$M49="W (Withdrawn)", GradeSheet!$M49="I (Incomplete)"), 0, IF(BC54&gt;=65%, 1, 0))</f>
        <v>0</v>
      </c>
      <c r="BP54" s="110">
        <f>IF(OR(GradeSheet!$M49="W (Withdrawn)", GradeSheet!$M49="I (Incomplete)"), 0, IF(BD54&gt;=65%, 1, 0))</f>
        <v>0</v>
      </c>
      <c r="BQ54" s="110">
        <f>IF(OR(GradeSheet!$M49="W (Withdrawn)", GradeSheet!$M49="I (Incomplete)"), 0, IF(BE54&gt;=65%, 1, 0))</f>
        <v>0</v>
      </c>
      <c r="BR54" s="110">
        <f>IF(OR(GradeSheet!$M49="W (Withdrawn)", GradeSheet!$M49="I (Incomplete)"), 0, IF(BF54&gt;=65%, 1, 0))</f>
        <v>0</v>
      </c>
    </row>
    <row r="55" spans="1:70" ht="15.75" customHeight="1">
      <c r="A55" s="134">
        <v>41</v>
      </c>
      <c r="B55" s="178">
        <f>GradeSheet!X50</f>
        <v>0</v>
      </c>
      <c r="C55" s="178">
        <f>GradeSheet!W50</f>
        <v>0</v>
      </c>
      <c r="D55" s="177">
        <v>0</v>
      </c>
      <c r="E55" s="177">
        <v>0</v>
      </c>
      <c r="F55" s="177">
        <v>0</v>
      </c>
      <c r="G55" s="177">
        <v>0</v>
      </c>
      <c r="H55" s="177">
        <v>0</v>
      </c>
      <c r="I55" s="177">
        <v>0</v>
      </c>
      <c r="J55" s="177">
        <v>0</v>
      </c>
      <c r="K55" s="177">
        <v>0</v>
      </c>
      <c r="L55" s="177">
        <v>0</v>
      </c>
      <c r="M55" s="177">
        <v>0</v>
      </c>
      <c r="N55" s="177">
        <v>0</v>
      </c>
      <c r="O55" s="177">
        <v>0</v>
      </c>
      <c r="P55" s="177">
        <v>0</v>
      </c>
      <c r="Q55" s="177">
        <v>0</v>
      </c>
      <c r="R55" s="177">
        <v>0</v>
      </c>
      <c r="S55" s="177">
        <v>0</v>
      </c>
      <c r="T55" s="177">
        <v>0</v>
      </c>
      <c r="U55" s="177">
        <v>0</v>
      </c>
      <c r="V55" s="177">
        <v>0</v>
      </c>
      <c r="W55" s="177">
        <v>0</v>
      </c>
      <c r="X55" s="177">
        <v>0</v>
      </c>
      <c r="Y55" s="177">
        <v>0</v>
      </c>
      <c r="Z55" s="177">
        <v>0</v>
      </c>
      <c r="AA55" s="177">
        <v>0</v>
      </c>
      <c r="AB55" s="129">
        <f t="shared" si="13"/>
        <v>0</v>
      </c>
      <c r="AC55" s="130">
        <f t="shared" si="14"/>
        <v>0</v>
      </c>
      <c r="AD55" s="130">
        <f t="shared" si="15"/>
        <v>0</v>
      </c>
      <c r="AE55" s="130">
        <f t="shared" si="16"/>
        <v>0</v>
      </c>
      <c r="AF55" s="130">
        <f t="shared" si="17"/>
        <v>0</v>
      </c>
      <c r="AG55" s="135">
        <f t="shared" si="18"/>
        <v>0</v>
      </c>
      <c r="AH55" s="131">
        <f t="shared" ref="AH55:AM55" si="58">IF(AB55 = 0, 0, AB55/AB$14)</f>
        <v>0</v>
      </c>
      <c r="AI55" s="131">
        <f t="shared" si="58"/>
        <v>0</v>
      </c>
      <c r="AJ55" s="131">
        <f t="shared" si="58"/>
        <v>0</v>
      </c>
      <c r="AK55" s="131">
        <f t="shared" si="58"/>
        <v>0</v>
      </c>
      <c r="AL55" s="131">
        <f t="shared" si="58"/>
        <v>0</v>
      </c>
      <c r="AM55" s="131">
        <f t="shared" si="58"/>
        <v>0</v>
      </c>
      <c r="AN55" s="110">
        <f>IF(OR(GradeSheet!$M50="W (Withdrawn)", GradeSheet!$M50="I (Incomplete)"), 0, IF(AH55&gt;=55%, 1, 0))</f>
        <v>0</v>
      </c>
      <c r="AO55" s="110">
        <f>IF(OR(GradeSheet!$M50="W (Withdrawn)", GradeSheet!$M50="I (Incomplete)"), 0, IF(AI55&gt;=55%, 1, 0))</f>
        <v>0</v>
      </c>
      <c r="AP55" s="110">
        <f>IF(OR(GradeSheet!$M50="W (Withdrawn)", GradeSheet!$M50="I (Incomplete)"), 0, IF(AJ55&gt;=55%, 1, 0))</f>
        <v>0</v>
      </c>
      <c r="AQ55" s="110">
        <f>IF(OR(GradeSheet!$M50="W (Withdrawn)", GradeSheet!$M50="I (Incomplete)"), 0, IF(AK55&gt;=55%, 1, 0))</f>
        <v>0</v>
      </c>
      <c r="AR55" s="110">
        <f>IF(OR(GradeSheet!$M50="W (Withdrawn)", GradeSheet!$M50="I (Incomplete)"), 0, IF(AL55&gt;=55%, 1, 0))</f>
        <v>0</v>
      </c>
      <c r="AS55" s="110">
        <f>IF(OR(GradeSheet!$M50="W (Withdrawn)", GradeSheet!$M50="I (Incomplete)"), 0, IF(AM55&gt;=55%, 1, 0))</f>
        <v>0</v>
      </c>
      <c r="AT55" s="114"/>
      <c r="AU55" s="133">
        <f t="shared" si="8"/>
        <v>0</v>
      </c>
      <c r="AV55" s="133">
        <f t="shared" si="9"/>
        <v>0</v>
      </c>
      <c r="AW55" s="133">
        <f t="array" ref="AW55">IF($AV$9=0,0,MMULT($AH55:$AM55, AV$3:AV$8)/$AV$9)</f>
        <v>0</v>
      </c>
      <c r="AX55" s="133">
        <f t="array" ref="AX55">IF($AW$9=0,0,MMULT($AH55:$AM55, AW$3:AW$8)/$AW$9)</f>
        <v>0</v>
      </c>
      <c r="AY55" s="133">
        <f t="shared" si="10"/>
        <v>0</v>
      </c>
      <c r="AZ55" s="133">
        <f t="array" ref="AZ55">IF($AY$9=0,0,MMULT($AH55:$AM55, AY$3:AY$8)/$AY$9)</f>
        <v>0</v>
      </c>
      <c r="BA55" s="133">
        <f t="array" ref="BA55">IF($AZ$9=0,0,MMULT($AH55:$AM55, AZ$3:AZ$8)/$AZ$9)</f>
        <v>0</v>
      </c>
      <c r="BB55" s="133">
        <f t="array" ref="BB55">IF($BA$9=0,0,MMULT($AH55:$AM55, BA$3:BA$8)/$BA$9)</f>
        <v>0</v>
      </c>
      <c r="BC55" s="133">
        <f t="array" ref="BC55">IF($BB$9=0,0,MMULT($AH55:$AM55, BB$3:BB$8)/$BB$9)</f>
        <v>0</v>
      </c>
      <c r="BD55" s="133">
        <f t="array" ref="BD55">IF($BC$9=0,0,MMULT($AH55:$AM55, BC$3:BC$8)/$BC$9)</f>
        <v>0</v>
      </c>
      <c r="BE55" s="133">
        <f t="shared" si="11"/>
        <v>0</v>
      </c>
      <c r="BF55" s="133">
        <f t="shared" si="12"/>
        <v>0</v>
      </c>
      <c r="BG55" s="110">
        <f>IF(OR(GradeSheet!$M50="W (Withdrawn)", GradeSheet!$M50="I (Incomplete)"), 0, IF(AU55&gt;=65%, 1, 0))</f>
        <v>0</v>
      </c>
      <c r="BH55" s="110">
        <f>IF(OR(GradeSheet!$M50="W (Withdrawn)", GradeSheet!$M50="I (Incomplete)"), 0, IF(AV55&gt;=65%, 1, 0))</f>
        <v>0</v>
      </c>
      <c r="BI55" s="110">
        <f>IF(OR(GradeSheet!$M50="W (Withdrawn)", GradeSheet!$M50="I (Incomplete)"), 0, IF(AW55&gt;=65%, 1, 0))</f>
        <v>0</v>
      </c>
      <c r="BJ55" s="110">
        <f>IF(OR(GradeSheet!$M50="W (Withdrawn)", GradeSheet!$M50="I (Incomplete)"), 0, IF(AX55&gt;=65%, 1, 0))</f>
        <v>0</v>
      </c>
      <c r="BK55" s="110">
        <f>IF(OR(GradeSheet!$M50="W (Withdrawn)", GradeSheet!$M50="I (Incomplete)"), 0, IF(AY55&gt;=65%, 1, 0))</f>
        <v>0</v>
      </c>
      <c r="BL55" s="110">
        <f>IF(OR(GradeSheet!$M50="W (Withdrawn)", GradeSheet!$M50="I (Incomplete)"), 0, IF(AZ55&gt;=65%, 1, 0))</f>
        <v>0</v>
      </c>
      <c r="BM55" s="110">
        <f>IF(OR(GradeSheet!$M50="W (Withdrawn)", GradeSheet!$M50="I (Incomplete)"), 0, IF(BA55&gt;=65%, 1, 0))</f>
        <v>0</v>
      </c>
      <c r="BN55" s="110">
        <f>IF(OR(GradeSheet!$M50="W (Withdrawn)", GradeSheet!$M50="I (Incomplete)"), 0, IF(BB55&gt;=65%, 1, 0))</f>
        <v>0</v>
      </c>
      <c r="BO55" s="110">
        <f>IF(OR(GradeSheet!$M50="W (Withdrawn)", GradeSheet!$M50="I (Incomplete)"), 0, IF(BC55&gt;=65%, 1, 0))</f>
        <v>0</v>
      </c>
      <c r="BP55" s="110">
        <f>IF(OR(GradeSheet!$M50="W (Withdrawn)", GradeSheet!$M50="I (Incomplete)"), 0, IF(BD55&gt;=65%, 1, 0))</f>
        <v>0</v>
      </c>
      <c r="BQ55" s="110">
        <f>IF(OR(GradeSheet!$M50="W (Withdrawn)", GradeSheet!$M50="I (Incomplete)"), 0, IF(BE55&gt;=65%, 1, 0))</f>
        <v>0</v>
      </c>
      <c r="BR55" s="110">
        <f>IF(OR(GradeSheet!$M50="W (Withdrawn)", GradeSheet!$M50="I (Incomplete)"), 0, IF(BF55&gt;=65%, 1, 0))</f>
        <v>0</v>
      </c>
    </row>
    <row r="56" spans="1:70" ht="15.75" customHeight="1" thickBot="1">
      <c r="A56" s="136">
        <v>42</v>
      </c>
      <c r="B56" s="178">
        <f>GradeSheet!X51</f>
        <v>0</v>
      </c>
      <c r="C56" s="178">
        <f>GradeSheet!W51</f>
        <v>0</v>
      </c>
      <c r="D56" s="177">
        <v>0</v>
      </c>
      <c r="E56" s="177">
        <v>0</v>
      </c>
      <c r="F56" s="177">
        <v>0</v>
      </c>
      <c r="G56" s="177">
        <v>0</v>
      </c>
      <c r="H56" s="177">
        <v>0</v>
      </c>
      <c r="I56" s="177">
        <v>0</v>
      </c>
      <c r="J56" s="177">
        <v>0</v>
      </c>
      <c r="K56" s="177">
        <v>0</v>
      </c>
      <c r="L56" s="177">
        <v>0</v>
      </c>
      <c r="M56" s="177">
        <v>0</v>
      </c>
      <c r="N56" s="177">
        <v>0</v>
      </c>
      <c r="O56" s="177">
        <v>0</v>
      </c>
      <c r="P56" s="177">
        <v>0</v>
      </c>
      <c r="Q56" s="177">
        <v>0</v>
      </c>
      <c r="R56" s="177">
        <v>0</v>
      </c>
      <c r="S56" s="177">
        <v>0</v>
      </c>
      <c r="T56" s="177">
        <v>0</v>
      </c>
      <c r="U56" s="177">
        <v>0</v>
      </c>
      <c r="V56" s="177">
        <v>0</v>
      </c>
      <c r="W56" s="177">
        <v>0</v>
      </c>
      <c r="X56" s="177">
        <v>0</v>
      </c>
      <c r="Y56" s="177">
        <v>0</v>
      </c>
      <c r="Z56" s="177">
        <v>0</v>
      </c>
      <c r="AA56" s="177">
        <v>0</v>
      </c>
      <c r="AB56" s="129">
        <f t="shared" si="13"/>
        <v>0</v>
      </c>
      <c r="AC56" s="130">
        <f t="shared" si="14"/>
        <v>0</v>
      </c>
      <c r="AD56" s="130">
        <f t="shared" si="15"/>
        <v>0</v>
      </c>
      <c r="AE56" s="130">
        <f t="shared" si="16"/>
        <v>0</v>
      </c>
      <c r="AF56" s="137">
        <f t="shared" si="17"/>
        <v>0</v>
      </c>
      <c r="AG56" s="137">
        <f t="shared" si="18"/>
        <v>0</v>
      </c>
      <c r="AH56" s="131">
        <f t="shared" ref="AH56:AM56" si="59">IF(AB56 = 0, 0, AB56/AB$14)</f>
        <v>0</v>
      </c>
      <c r="AI56" s="138">
        <f t="shared" si="59"/>
        <v>0</v>
      </c>
      <c r="AJ56" s="138">
        <f t="shared" si="59"/>
        <v>0</v>
      </c>
      <c r="AK56" s="138">
        <f t="shared" si="59"/>
        <v>0</v>
      </c>
      <c r="AL56" s="138">
        <f t="shared" si="59"/>
        <v>0</v>
      </c>
      <c r="AM56" s="138">
        <f t="shared" si="59"/>
        <v>0</v>
      </c>
      <c r="AN56" s="139">
        <f>IF(OR(GradeSheet!$M51="W (Withdrawn)", GradeSheet!$M51="I (Incomplete)"), 0, IF(AH56&gt;=55%, 1, 0))</f>
        <v>0</v>
      </c>
      <c r="AO56" s="139">
        <f>IF(OR(GradeSheet!$M51="W (Withdrawn)", GradeSheet!$M51="I (Incomplete)"), 0, IF(AI56&gt;=55%, 1, 0))</f>
        <v>0</v>
      </c>
      <c r="AP56" s="139">
        <f>IF(OR(GradeSheet!$M51="W (Withdrawn)", GradeSheet!$M51="I (Incomplete)"), 0, IF(AJ56&gt;=55%, 1, 0))</f>
        <v>0</v>
      </c>
      <c r="AQ56" s="139">
        <f>IF(OR(GradeSheet!$M51="W (Withdrawn)", GradeSheet!$M51="I (Incomplete)"), 0, IF(AK56&gt;=55%, 1, 0))</f>
        <v>0</v>
      </c>
      <c r="AR56" s="139">
        <f>IF(OR(GradeSheet!$M51="W (Withdrawn)", GradeSheet!$M51="I (Incomplete)"), 0, IF(AL56&gt;=55%, 1, 0))</f>
        <v>0</v>
      </c>
      <c r="AS56" s="140">
        <f>IF(OR(GradeSheet!$M51="W (Withdrawn)", GradeSheet!$M51="I (Incomplete)"), 0, IF(AM56&gt;=55%, 1, 0))</f>
        <v>0</v>
      </c>
      <c r="AT56" s="141"/>
      <c r="AU56" s="142">
        <f t="array" ref="AU56">IF($AT$9=0,0,MMULT($AH56:$AM56, AT$3:AT$8)/$AT$9)</f>
        <v>0</v>
      </c>
      <c r="AV56" s="142">
        <f t="array" ref="AV56">IF($AU$9=0,0,MMULT($AH56:$AM56, AU$3:AU$8)/$AU$9)</f>
        <v>0</v>
      </c>
      <c r="AW56" s="142">
        <f t="array" ref="AW56">IF($AV$9=0,0,MMULT($AH56:$AM56, AV$3:AV$8)/$AV$9)</f>
        <v>0</v>
      </c>
      <c r="AX56" s="142">
        <f t="array" ref="AX56">IF($AW$9=0,0,MMULT($AH56:$AM56, AW$3:AW$8)/$AW$9)</f>
        <v>0</v>
      </c>
      <c r="AY56" s="142">
        <f t="array" ref="AY56">IF($AX$9=0,0,MMULT($AH56:$AM56, AX$3:AX$8)/$AX$9)</f>
        <v>0</v>
      </c>
      <c r="AZ56" s="142">
        <f t="array" ref="AZ56">IF($AY$9=0,0,MMULT($AH56:$AM56, AY$3:AY$8)/$AY$9)</f>
        <v>0</v>
      </c>
      <c r="BA56" s="142">
        <f t="array" ref="BA56">IF($AZ$9=0,0,MMULT($AH56:$AM56, AZ$3:AZ$8)/$AZ$9)</f>
        <v>0</v>
      </c>
      <c r="BB56" s="142">
        <f t="array" ref="BB56">IF($BA$9=0,0,MMULT($AH56:$AM56, BA$3:BA$8)/$BA$9)</f>
        <v>0</v>
      </c>
      <c r="BC56" s="142">
        <f t="array" ref="BC56">IF($BB$9=0,0,MMULT($AH56:$AM56, BB$3:BB$8)/$BB$9)</f>
        <v>0</v>
      </c>
      <c r="BD56" s="142">
        <f t="array" ref="BD56">IF($BC$9=0,0,MMULT($AH56:$AM56, BC$3:BC$8)/$BC$9)</f>
        <v>0</v>
      </c>
      <c r="BE56" s="142">
        <f t="array" ref="BE56">IF($BD$9=0,0,MMULT($AH56:$AM56, BD$3:BD$8)/$BD$9)</f>
        <v>0</v>
      </c>
      <c r="BF56" s="142">
        <f t="array" ref="BF56">IF($BE$9=0,0,MMULT($AH56:$AM56, BE$3:BE$8)/$BE$9)</f>
        <v>0</v>
      </c>
      <c r="BG56" s="139">
        <f>IF(OR(GradeSheet!$M51="W (Withdrawn)", GradeSheet!$M51="I (Incomplete)"), 0, IF(AU56&gt;=65%, 1, 0))</f>
        <v>0</v>
      </c>
      <c r="BH56" s="139">
        <f>IF(OR(GradeSheet!$M51="W (Withdrawn)", GradeSheet!$M51="I (Incomplete)"), 0, IF(AV56&gt;=65%, 1, 0))</f>
        <v>0</v>
      </c>
      <c r="BI56" s="139">
        <f>IF(OR(GradeSheet!$M51="W (Withdrawn)", GradeSheet!$M51="I (Incomplete)"), 0, IF(AW56&gt;=65%, 1, 0))</f>
        <v>0</v>
      </c>
      <c r="BJ56" s="139">
        <f>IF(OR(GradeSheet!$M51="W (Withdrawn)", GradeSheet!$M51="I (Incomplete)"), 0, IF(AX56&gt;=65%, 1, 0))</f>
        <v>0</v>
      </c>
      <c r="BK56" s="139">
        <f>IF(OR(GradeSheet!$M51="W (Withdrawn)", GradeSheet!$M51="I (Incomplete)"), 0, IF(AY56&gt;=65%, 1, 0))</f>
        <v>0</v>
      </c>
      <c r="BL56" s="139">
        <f>IF(OR(GradeSheet!$M51="W (Withdrawn)", GradeSheet!$M51="I (Incomplete)"), 0, IF(AZ56&gt;=65%, 1, 0))</f>
        <v>0</v>
      </c>
      <c r="BM56" s="139">
        <f>IF(OR(GradeSheet!$M51="W (Withdrawn)", GradeSheet!$M51="I (Incomplete)"), 0, IF(BA56&gt;=65%, 1, 0))</f>
        <v>0</v>
      </c>
      <c r="BN56" s="139">
        <f>IF(OR(GradeSheet!$M51="W (Withdrawn)", GradeSheet!$M51="I (Incomplete)"), 0, IF(BB56&gt;=65%, 1, 0))</f>
        <v>0</v>
      </c>
      <c r="BO56" s="139">
        <f>IF(OR(GradeSheet!$M51="W (Withdrawn)", GradeSheet!$M51="I (Incomplete)"), 0, IF(BC56&gt;=65%, 1, 0))</f>
        <v>0</v>
      </c>
      <c r="BP56" s="139">
        <f>IF(OR(GradeSheet!$M51="W (Withdrawn)", GradeSheet!$M51="I (Incomplete)"), 0, IF(BD56&gt;=65%, 1, 0))</f>
        <v>0</v>
      </c>
      <c r="BQ56" s="139">
        <f>IF(OR(GradeSheet!$M51="W (Withdrawn)", GradeSheet!$M51="I (Incomplete)"), 0, IF(BE56&gt;=65%, 1, 0))</f>
        <v>0</v>
      </c>
      <c r="BR56" s="140">
        <f>IF(OR(GradeSheet!$M51="W (Withdrawn)", GradeSheet!$M51="I (Incomplete)"), 0, IF(BF56&gt;=65%, 1, 0))</f>
        <v>0</v>
      </c>
    </row>
    <row r="57" spans="1:70" ht="15.75" customHeight="1" thickBot="1">
      <c r="A57" s="136">
        <v>43</v>
      </c>
      <c r="B57" s="178">
        <f>GradeSheet!X52</f>
        <v>0</v>
      </c>
      <c r="C57" s="178">
        <f>GradeSheet!W52</f>
        <v>0</v>
      </c>
      <c r="D57" s="177">
        <v>0</v>
      </c>
      <c r="E57" s="177">
        <v>0</v>
      </c>
      <c r="F57" s="177">
        <v>0</v>
      </c>
      <c r="G57" s="177">
        <v>0</v>
      </c>
      <c r="H57" s="177">
        <v>0</v>
      </c>
      <c r="I57" s="177">
        <v>0</v>
      </c>
      <c r="J57" s="177">
        <v>0</v>
      </c>
      <c r="K57" s="177">
        <v>0</v>
      </c>
      <c r="L57" s="177">
        <v>0</v>
      </c>
      <c r="M57" s="177">
        <v>0</v>
      </c>
      <c r="N57" s="177">
        <v>0</v>
      </c>
      <c r="O57" s="177">
        <v>0</v>
      </c>
      <c r="P57" s="177">
        <v>0</v>
      </c>
      <c r="Q57" s="177">
        <v>0</v>
      </c>
      <c r="R57" s="177">
        <v>0</v>
      </c>
      <c r="S57" s="177">
        <v>0</v>
      </c>
      <c r="T57" s="177">
        <v>0</v>
      </c>
      <c r="U57" s="177">
        <v>0</v>
      </c>
      <c r="V57" s="177">
        <v>0</v>
      </c>
      <c r="W57" s="177">
        <v>0</v>
      </c>
      <c r="X57" s="177">
        <v>0</v>
      </c>
      <c r="Y57" s="177">
        <v>0</v>
      </c>
      <c r="Z57" s="177">
        <v>0</v>
      </c>
      <c r="AA57" s="177">
        <v>0</v>
      </c>
      <c r="AB57" s="129">
        <f t="shared" si="13"/>
        <v>0</v>
      </c>
      <c r="AC57" s="130">
        <f t="shared" si="14"/>
        <v>0</v>
      </c>
      <c r="AD57" s="130">
        <f t="shared" si="15"/>
        <v>0</v>
      </c>
      <c r="AE57" s="130">
        <f t="shared" si="16"/>
        <v>0</v>
      </c>
      <c r="AF57" s="137">
        <f t="shared" ref="AF57:AF64" si="60">SUM(T57,H57,N57)</f>
        <v>0</v>
      </c>
      <c r="AG57" s="137">
        <f t="shared" ref="AG57:AG64" si="61">SUM(AA57,I57,O57)</f>
        <v>0</v>
      </c>
      <c r="AH57" s="131">
        <f t="shared" ref="AH57:AH64" si="62">IF(AB57 = 0, 0, AB57/AB$14)</f>
        <v>0</v>
      </c>
      <c r="AI57" s="138">
        <f t="shared" ref="AI57:AI64" si="63">IF(AC57 = 0, 0, AC57/AC$14)</f>
        <v>0</v>
      </c>
      <c r="AJ57" s="138">
        <f t="shared" ref="AJ57:AJ64" si="64">IF(AD57 = 0, 0, AD57/AD$14)</f>
        <v>0</v>
      </c>
      <c r="AK57" s="138">
        <f t="shared" ref="AK57:AK64" si="65">IF(AE57 = 0, 0, AE57/AE$14)</f>
        <v>0</v>
      </c>
      <c r="AL57" s="138">
        <f t="shared" ref="AL57:AL64" si="66">IF(AF57 = 0, 0, AF57/AF$14)</f>
        <v>0</v>
      </c>
      <c r="AM57" s="138">
        <f t="shared" ref="AM57:AM64" si="67">IF(AG57 = 0, 0, AG57/AG$14)</f>
        <v>0</v>
      </c>
      <c r="AN57" s="139">
        <f>IF(OR(GradeSheet!$M52="W (Withdrawn)", GradeSheet!$M52="I (Incomplete)"), 0, IF(AH57&gt;=55%, 1, 0))</f>
        <v>0</v>
      </c>
      <c r="AO57" s="139">
        <f>IF(OR(GradeSheet!$M52="W (Withdrawn)", GradeSheet!$M52="I (Incomplete)"), 0, IF(AI57&gt;=55%, 1, 0))</f>
        <v>0</v>
      </c>
      <c r="AP57" s="139">
        <f>IF(OR(GradeSheet!$M52="W (Withdrawn)", GradeSheet!$M52="I (Incomplete)"), 0, IF(AJ57&gt;=55%, 1, 0))</f>
        <v>0</v>
      </c>
      <c r="AQ57" s="139">
        <f>IF(OR(GradeSheet!$M52="W (Withdrawn)", GradeSheet!$M52="I (Incomplete)"), 0, IF(AK57&gt;=55%, 1, 0))</f>
        <v>0</v>
      </c>
      <c r="AR57" s="139">
        <f>IF(OR(GradeSheet!$M52="W (Withdrawn)", GradeSheet!$M52="I (Incomplete)"), 0, IF(AL57&gt;=55%, 1, 0))</f>
        <v>0</v>
      </c>
      <c r="AS57" s="140">
        <f>IF(OR(GradeSheet!$M52="W (Withdrawn)", GradeSheet!$M52="I (Incomplete)"), 0, IF(AM57&gt;=55%, 1, 0))</f>
        <v>0</v>
      </c>
      <c r="AT57" s="143"/>
      <c r="AU57" s="142">
        <f t="array" ref="AU57">IF($AT$9=0,0,MMULT($AH57:$AM57, AT$3:AT$8)/$AT$9)</f>
        <v>0</v>
      </c>
      <c r="AV57" s="142">
        <f t="array" ref="AV57">IF($AU$9=0,0,MMULT($AH57:$AM57, AU$3:AU$8)/$AU$9)</f>
        <v>0</v>
      </c>
      <c r="AW57" s="142">
        <f t="array" ref="AW57">IF($AV$9=0,0,MMULT($AH57:$AM57, AV$3:AV$8)/$AV$9)</f>
        <v>0</v>
      </c>
      <c r="AX57" s="142">
        <f t="array" ref="AX57">IF($AW$9=0,0,MMULT($AH57:$AM57, AW$3:AW$8)/$AW$9)</f>
        <v>0</v>
      </c>
      <c r="AY57" s="142">
        <f t="array" ref="AY57">IF($AX$9=0,0,MMULT($AH57:$AM57, AX$3:AX$8)/$AX$9)</f>
        <v>0</v>
      </c>
      <c r="AZ57" s="142">
        <f t="array" ref="AZ57">IF($AY$9=0,0,MMULT($AH57:$AM57, AY$3:AY$8)/$AY$9)</f>
        <v>0</v>
      </c>
      <c r="BA57" s="142">
        <f t="array" ref="BA57">IF($AZ$9=0,0,MMULT($AH57:$AM57, AZ$3:AZ$8)/$AZ$9)</f>
        <v>0</v>
      </c>
      <c r="BB57" s="142">
        <f t="array" ref="BB57">IF($BA$9=0,0,MMULT($AH57:$AM57, BA$3:BA$8)/$BA$9)</f>
        <v>0</v>
      </c>
      <c r="BC57" s="142">
        <f t="array" ref="BC57">IF($BB$9=0,0,MMULT($AH57:$AM57, BB$3:BB$8)/$BB$9)</f>
        <v>0</v>
      </c>
      <c r="BD57" s="142">
        <f t="array" ref="BD57">IF($BC$9=0,0,MMULT($AH57:$AM57, BC$3:BC$8)/$BC$9)</f>
        <v>0</v>
      </c>
      <c r="BE57" s="142">
        <f t="array" ref="BE57">IF($BD$9=0,0,MMULT($AH57:$AM57, BD$3:BD$8)/$BD$9)</f>
        <v>0</v>
      </c>
      <c r="BF57" s="142">
        <f t="array" ref="BF57">IF($BE$9=0,0,MMULT($AH57:$AM57, BE$3:BE$8)/$BE$9)</f>
        <v>0</v>
      </c>
      <c r="BG57" s="139">
        <f>IF(OR(GradeSheet!$M52="W (Withdrawn)", GradeSheet!$M52="I (Incomplete)"), 0, IF(AU57&gt;=65%, 1, 0))</f>
        <v>0</v>
      </c>
      <c r="BH57" s="139">
        <f>IF(OR(GradeSheet!$M52="W (Withdrawn)", GradeSheet!$M52="I (Incomplete)"), 0, IF(AV57&gt;=65%, 1, 0))</f>
        <v>0</v>
      </c>
      <c r="BI57" s="139">
        <f>IF(OR(GradeSheet!$M52="W (Withdrawn)", GradeSheet!$M52="I (Incomplete)"), 0, IF(AW57&gt;=65%, 1, 0))</f>
        <v>0</v>
      </c>
      <c r="BJ57" s="139">
        <f>IF(OR(GradeSheet!$M52="W (Withdrawn)", GradeSheet!$M52="I (Incomplete)"), 0, IF(AX57&gt;=65%, 1, 0))</f>
        <v>0</v>
      </c>
      <c r="BK57" s="139">
        <f>IF(OR(GradeSheet!$M52="W (Withdrawn)", GradeSheet!$M52="I (Incomplete)"), 0, IF(AY57&gt;=65%, 1, 0))</f>
        <v>0</v>
      </c>
      <c r="BL57" s="139">
        <f>IF(OR(GradeSheet!$M52="W (Withdrawn)", GradeSheet!$M52="I (Incomplete)"), 0, IF(AZ57&gt;=65%, 1, 0))</f>
        <v>0</v>
      </c>
      <c r="BM57" s="139">
        <f>IF(OR(GradeSheet!$M52="W (Withdrawn)", GradeSheet!$M52="I (Incomplete)"), 0, IF(BA57&gt;=65%, 1, 0))</f>
        <v>0</v>
      </c>
      <c r="BN57" s="139">
        <f>IF(OR(GradeSheet!$M52="W (Withdrawn)", GradeSheet!$M52="I (Incomplete)"), 0, IF(BB57&gt;=65%, 1, 0))</f>
        <v>0</v>
      </c>
      <c r="BO57" s="139">
        <f>IF(OR(GradeSheet!$M52="W (Withdrawn)", GradeSheet!$M52="I (Incomplete)"), 0, IF(BC57&gt;=65%, 1, 0))</f>
        <v>0</v>
      </c>
      <c r="BP57" s="139">
        <f>IF(OR(GradeSheet!$M52="W (Withdrawn)", GradeSheet!$M52="I (Incomplete)"), 0, IF(BD57&gt;=65%, 1, 0))</f>
        <v>0</v>
      </c>
      <c r="BQ57" s="139">
        <f>IF(OR(GradeSheet!$M52="W (Withdrawn)", GradeSheet!$M52="I (Incomplete)"), 0, IF(BE57&gt;=65%, 1, 0))</f>
        <v>0</v>
      </c>
      <c r="BR57" s="140">
        <f>IF(OR(GradeSheet!$M52="W (Withdrawn)", GradeSheet!$M52="I (Incomplete)"), 0, IF(BF57&gt;=65%, 1, 0))</f>
        <v>0</v>
      </c>
    </row>
    <row r="58" spans="1:70" ht="15.75" customHeight="1" thickBot="1">
      <c r="A58" s="136">
        <v>44</v>
      </c>
      <c r="B58" s="178">
        <f>GradeSheet!X53</f>
        <v>0</v>
      </c>
      <c r="C58" s="178">
        <f>GradeSheet!W53</f>
        <v>0</v>
      </c>
      <c r="D58" s="177">
        <v>0</v>
      </c>
      <c r="E58" s="177">
        <v>0</v>
      </c>
      <c r="F58" s="177">
        <v>0</v>
      </c>
      <c r="G58" s="177">
        <v>0</v>
      </c>
      <c r="H58" s="177">
        <v>0</v>
      </c>
      <c r="I58" s="177">
        <v>0</v>
      </c>
      <c r="J58" s="177">
        <v>0</v>
      </c>
      <c r="K58" s="177">
        <v>0</v>
      </c>
      <c r="L58" s="177">
        <v>0</v>
      </c>
      <c r="M58" s="177">
        <v>0</v>
      </c>
      <c r="N58" s="177">
        <v>0</v>
      </c>
      <c r="O58" s="177">
        <v>0</v>
      </c>
      <c r="P58" s="177">
        <v>0</v>
      </c>
      <c r="Q58" s="177">
        <v>0</v>
      </c>
      <c r="R58" s="177">
        <v>0</v>
      </c>
      <c r="S58" s="177">
        <v>0</v>
      </c>
      <c r="T58" s="177">
        <v>0</v>
      </c>
      <c r="U58" s="177">
        <v>0</v>
      </c>
      <c r="V58" s="177">
        <v>0</v>
      </c>
      <c r="W58" s="177">
        <v>0</v>
      </c>
      <c r="X58" s="177">
        <v>0</v>
      </c>
      <c r="Y58" s="177">
        <v>0</v>
      </c>
      <c r="Z58" s="177">
        <v>0</v>
      </c>
      <c r="AA58" s="177">
        <v>0</v>
      </c>
      <c r="AB58" s="129">
        <f t="shared" si="13"/>
        <v>0</v>
      </c>
      <c r="AC58" s="130">
        <f t="shared" si="14"/>
        <v>0</v>
      </c>
      <c r="AD58" s="130">
        <f t="shared" si="15"/>
        <v>0</v>
      </c>
      <c r="AE58" s="130">
        <f t="shared" si="16"/>
        <v>0</v>
      </c>
      <c r="AF58" s="137">
        <f t="shared" si="60"/>
        <v>0</v>
      </c>
      <c r="AG58" s="137">
        <f t="shared" si="61"/>
        <v>0</v>
      </c>
      <c r="AH58" s="131">
        <f t="shared" si="62"/>
        <v>0</v>
      </c>
      <c r="AI58" s="138">
        <f t="shared" si="63"/>
        <v>0</v>
      </c>
      <c r="AJ58" s="138">
        <f t="shared" si="64"/>
        <v>0</v>
      </c>
      <c r="AK58" s="138">
        <f t="shared" si="65"/>
        <v>0</v>
      </c>
      <c r="AL58" s="138">
        <f t="shared" si="66"/>
        <v>0</v>
      </c>
      <c r="AM58" s="138">
        <f t="shared" si="67"/>
        <v>0</v>
      </c>
      <c r="AN58" s="139">
        <f>IF(OR(GradeSheet!$M53="W (Withdrawn)", GradeSheet!$M53="I (Incomplete)"), 0, IF(AH58&gt;=55%, 1, 0))</f>
        <v>0</v>
      </c>
      <c r="AO58" s="139">
        <f>IF(OR(GradeSheet!$M53="W (Withdrawn)", GradeSheet!$M53="I (Incomplete)"), 0, IF(AI58&gt;=55%, 1, 0))</f>
        <v>0</v>
      </c>
      <c r="AP58" s="139">
        <f>IF(OR(GradeSheet!$M53="W (Withdrawn)", GradeSheet!$M53="I (Incomplete)"), 0, IF(AJ58&gt;=55%, 1, 0))</f>
        <v>0</v>
      </c>
      <c r="AQ58" s="139">
        <f>IF(OR(GradeSheet!$M53="W (Withdrawn)", GradeSheet!$M53="I (Incomplete)"), 0, IF(AK58&gt;=55%, 1, 0))</f>
        <v>0</v>
      </c>
      <c r="AR58" s="139">
        <f>IF(OR(GradeSheet!$M53="W (Withdrawn)", GradeSheet!$M53="I (Incomplete)"), 0, IF(AL58&gt;=55%, 1, 0))</f>
        <v>0</v>
      </c>
      <c r="AS58" s="140">
        <f>IF(OR(GradeSheet!$M53="W (Withdrawn)", GradeSheet!$M53="I (Incomplete)"), 0, IF(AM58&gt;=55%, 1, 0))</f>
        <v>0</v>
      </c>
      <c r="AU58" s="142">
        <f t="array" ref="AU58">IF($AT$9=0,0,MMULT($AH58:$AM58, AT$3:AT$8)/$AT$9)</f>
        <v>0</v>
      </c>
      <c r="AV58" s="142">
        <f t="array" ref="AV58">IF($AU$9=0,0,MMULT($AH58:$AM58, AU$3:AU$8)/$AU$9)</f>
        <v>0</v>
      </c>
      <c r="AW58" s="142">
        <f t="array" ref="AW58">IF($AV$9=0,0,MMULT($AH58:$AM58, AV$3:AV$8)/$AV$9)</f>
        <v>0</v>
      </c>
      <c r="AX58" s="142">
        <f t="array" ref="AX58">IF($AW$9=0,0,MMULT($AH58:$AM58, AW$3:AW$8)/$AW$9)</f>
        <v>0</v>
      </c>
      <c r="AY58" s="142">
        <f t="array" ref="AY58">IF($AX$9=0,0,MMULT($AH58:$AM58, AX$3:AX$8)/$AX$9)</f>
        <v>0</v>
      </c>
      <c r="AZ58" s="142">
        <f t="array" ref="AZ58">IF($AY$9=0,0,MMULT($AH58:$AM58, AY$3:AY$8)/$AY$9)</f>
        <v>0</v>
      </c>
      <c r="BA58" s="142">
        <f t="array" ref="BA58">IF($AZ$9=0,0,MMULT($AH58:$AM58, AZ$3:AZ$8)/$AZ$9)</f>
        <v>0</v>
      </c>
      <c r="BB58" s="142">
        <f t="array" ref="BB58">IF($BA$9=0,0,MMULT($AH58:$AM58, BA$3:BA$8)/$BA$9)</f>
        <v>0</v>
      </c>
      <c r="BC58" s="142">
        <f t="array" ref="BC58">IF($BB$9=0,0,MMULT($AH58:$AM58, BB$3:BB$8)/$BB$9)</f>
        <v>0</v>
      </c>
      <c r="BD58" s="142">
        <f t="array" ref="BD58">IF($BC$9=0,0,MMULT($AH58:$AM58, BC$3:BC$8)/$BC$9)</f>
        <v>0</v>
      </c>
      <c r="BE58" s="142">
        <f t="array" ref="BE58">IF($BD$9=0,0,MMULT($AH58:$AM58, BD$3:BD$8)/$BD$9)</f>
        <v>0</v>
      </c>
      <c r="BF58" s="142">
        <f t="array" ref="BF58">IF($BE$9=0,0,MMULT($AH58:$AM58, BE$3:BE$8)/$BE$9)</f>
        <v>0</v>
      </c>
      <c r="BG58" s="139">
        <f>IF(OR(GradeSheet!$M53="W (Withdrawn)", GradeSheet!$M53="I (Incomplete)"), 0, IF(AU58&gt;=65%, 1, 0))</f>
        <v>0</v>
      </c>
      <c r="BH58" s="139">
        <f>IF(OR(GradeSheet!$M53="W (Withdrawn)", GradeSheet!$M53="I (Incomplete)"), 0, IF(AV58&gt;=65%, 1, 0))</f>
        <v>0</v>
      </c>
      <c r="BI58" s="139">
        <f>IF(OR(GradeSheet!$M53="W (Withdrawn)", GradeSheet!$M53="I (Incomplete)"), 0, IF(AW58&gt;=65%, 1, 0))</f>
        <v>0</v>
      </c>
      <c r="BJ58" s="139">
        <f>IF(OR(GradeSheet!$M53="W (Withdrawn)", GradeSheet!$M53="I (Incomplete)"), 0, IF(AX58&gt;=65%, 1, 0))</f>
        <v>0</v>
      </c>
      <c r="BK58" s="139">
        <f>IF(OR(GradeSheet!$M53="W (Withdrawn)", GradeSheet!$M53="I (Incomplete)"), 0, IF(AY58&gt;=65%, 1, 0))</f>
        <v>0</v>
      </c>
      <c r="BL58" s="139">
        <f>IF(OR(GradeSheet!$M53="W (Withdrawn)", GradeSheet!$M53="I (Incomplete)"), 0, IF(AZ58&gt;=65%, 1, 0))</f>
        <v>0</v>
      </c>
      <c r="BM58" s="139">
        <f>IF(OR(GradeSheet!$M53="W (Withdrawn)", GradeSheet!$M53="I (Incomplete)"), 0, IF(BA58&gt;=65%, 1, 0))</f>
        <v>0</v>
      </c>
      <c r="BN58" s="139">
        <f>IF(OR(GradeSheet!$M53="W (Withdrawn)", GradeSheet!$M53="I (Incomplete)"), 0, IF(BB58&gt;=65%, 1, 0))</f>
        <v>0</v>
      </c>
      <c r="BO58" s="139">
        <f>IF(OR(GradeSheet!$M53="W (Withdrawn)", GradeSheet!$M53="I (Incomplete)"), 0, IF(BC58&gt;=65%, 1, 0))</f>
        <v>0</v>
      </c>
      <c r="BP58" s="139">
        <f>IF(OR(GradeSheet!$M53="W (Withdrawn)", GradeSheet!$M53="I (Incomplete)"), 0, IF(BD58&gt;=65%, 1, 0))</f>
        <v>0</v>
      </c>
      <c r="BQ58" s="139">
        <f>IF(OR(GradeSheet!$M53="W (Withdrawn)", GradeSheet!$M53="I (Incomplete)"), 0, IF(BE58&gt;=65%, 1, 0))</f>
        <v>0</v>
      </c>
      <c r="BR58" s="140">
        <f>IF(OR(GradeSheet!$M53="W (Withdrawn)", GradeSheet!$M53="I (Incomplete)"), 0, IF(BF58&gt;=65%, 1, 0))</f>
        <v>0</v>
      </c>
    </row>
    <row r="59" spans="1:70" ht="15.75" customHeight="1" thickBot="1">
      <c r="A59" s="136">
        <v>45</v>
      </c>
      <c r="B59" s="178">
        <f>GradeSheet!X54</f>
        <v>0</v>
      </c>
      <c r="C59" s="178">
        <f>GradeSheet!W54</f>
        <v>0</v>
      </c>
      <c r="D59" s="177">
        <v>0</v>
      </c>
      <c r="E59" s="177">
        <v>0</v>
      </c>
      <c r="F59" s="177">
        <v>0</v>
      </c>
      <c r="G59" s="177">
        <v>0</v>
      </c>
      <c r="H59" s="177">
        <v>0</v>
      </c>
      <c r="I59" s="177">
        <v>0</v>
      </c>
      <c r="J59" s="177">
        <v>0</v>
      </c>
      <c r="K59" s="177">
        <v>0</v>
      </c>
      <c r="L59" s="177">
        <v>0</v>
      </c>
      <c r="M59" s="177">
        <v>0</v>
      </c>
      <c r="N59" s="177">
        <v>0</v>
      </c>
      <c r="O59" s="177">
        <v>0</v>
      </c>
      <c r="P59" s="177">
        <v>0</v>
      </c>
      <c r="Q59" s="177">
        <v>0</v>
      </c>
      <c r="R59" s="177">
        <v>0</v>
      </c>
      <c r="S59" s="177">
        <v>0</v>
      </c>
      <c r="T59" s="177">
        <v>0</v>
      </c>
      <c r="U59" s="177">
        <v>0</v>
      </c>
      <c r="V59" s="177">
        <v>0</v>
      </c>
      <c r="W59" s="177">
        <v>0</v>
      </c>
      <c r="X59" s="177">
        <v>0</v>
      </c>
      <c r="Y59" s="177">
        <v>0</v>
      </c>
      <c r="Z59" s="177">
        <v>0</v>
      </c>
      <c r="AA59" s="177">
        <v>0</v>
      </c>
      <c r="AB59" s="129">
        <f t="shared" si="13"/>
        <v>0</v>
      </c>
      <c r="AC59" s="130">
        <f t="shared" si="14"/>
        <v>0</v>
      </c>
      <c r="AD59" s="130">
        <f t="shared" si="15"/>
        <v>0</v>
      </c>
      <c r="AE59" s="130">
        <f t="shared" si="16"/>
        <v>0</v>
      </c>
      <c r="AF59" s="137">
        <f t="shared" si="60"/>
        <v>0</v>
      </c>
      <c r="AG59" s="137">
        <f t="shared" si="61"/>
        <v>0</v>
      </c>
      <c r="AH59" s="131">
        <f t="shared" si="62"/>
        <v>0</v>
      </c>
      <c r="AI59" s="138">
        <f t="shared" si="63"/>
        <v>0</v>
      </c>
      <c r="AJ59" s="138">
        <f t="shared" si="64"/>
        <v>0</v>
      </c>
      <c r="AK59" s="138">
        <f t="shared" si="65"/>
        <v>0</v>
      </c>
      <c r="AL59" s="138">
        <f t="shared" si="66"/>
        <v>0</v>
      </c>
      <c r="AM59" s="138">
        <f t="shared" si="67"/>
        <v>0</v>
      </c>
      <c r="AN59" s="139">
        <f>IF(OR(GradeSheet!$M54="W (Withdrawn)", GradeSheet!$M54="I (Incomplete)"), 0, IF(AH59&gt;=55%, 1, 0))</f>
        <v>0</v>
      </c>
      <c r="AO59" s="139">
        <f>IF(OR(GradeSheet!$M54="W (Withdrawn)", GradeSheet!$M54="I (Incomplete)"), 0, IF(AI59&gt;=55%, 1, 0))</f>
        <v>0</v>
      </c>
      <c r="AP59" s="139">
        <f>IF(OR(GradeSheet!$M54="W (Withdrawn)", GradeSheet!$M54="I (Incomplete)"), 0, IF(AJ59&gt;=55%, 1, 0))</f>
        <v>0</v>
      </c>
      <c r="AQ59" s="139">
        <f>IF(OR(GradeSheet!$M54="W (Withdrawn)", GradeSheet!$M54="I (Incomplete)"), 0, IF(AK59&gt;=55%, 1, 0))</f>
        <v>0</v>
      </c>
      <c r="AR59" s="139">
        <f>IF(OR(GradeSheet!$M54="W (Withdrawn)", GradeSheet!$M54="I (Incomplete)"), 0, IF(AL59&gt;=55%, 1, 0))</f>
        <v>0</v>
      </c>
      <c r="AS59" s="140">
        <f>IF(OR(GradeSheet!$M54="W (Withdrawn)", GradeSheet!$M54="I (Incomplete)"), 0, IF(AM59&gt;=55%, 1, 0))</f>
        <v>0</v>
      </c>
      <c r="AU59" s="142">
        <f t="array" ref="AU59">IF($AT$9=0,0,MMULT($AH59:$AM59, AT$3:AT$8)/$AT$9)</f>
        <v>0</v>
      </c>
      <c r="AV59" s="142">
        <f t="array" ref="AV59">IF($AU$9=0,0,MMULT($AH59:$AM59, AU$3:AU$8)/$AU$9)</f>
        <v>0</v>
      </c>
      <c r="AW59" s="142">
        <f t="array" ref="AW59">IF($AV$9=0,0,MMULT($AH59:$AM59, AV$3:AV$8)/$AV$9)</f>
        <v>0</v>
      </c>
      <c r="AX59" s="142">
        <f t="array" ref="AX59">IF($AW$9=0,0,MMULT($AH59:$AM59, AW$3:AW$8)/$AW$9)</f>
        <v>0</v>
      </c>
      <c r="AY59" s="142">
        <f t="array" ref="AY59">IF($AX$9=0,0,MMULT($AH59:$AM59, AX$3:AX$8)/$AX$9)</f>
        <v>0</v>
      </c>
      <c r="AZ59" s="142">
        <f t="array" ref="AZ59">IF($AY$9=0,0,MMULT($AH59:$AM59, AY$3:AY$8)/$AY$9)</f>
        <v>0</v>
      </c>
      <c r="BA59" s="142">
        <f t="array" ref="BA59">IF($AZ$9=0,0,MMULT($AH59:$AM59, AZ$3:AZ$8)/$AZ$9)</f>
        <v>0</v>
      </c>
      <c r="BB59" s="142">
        <f t="array" ref="BB59">IF($BA$9=0,0,MMULT($AH59:$AM59, BA$3:BA$8)/$BA$9)</f>
        <v>0</v>
      </c>
      <c r="BC59" s="142">
        <f t="array" ref="BC59">IF($BB$9=0,0,MMULT($AH59:$AM59, BB$3:BB$8)/$BB$9)</f>
        <v>0</v>
      </c>
      <c r="BD59" s="142">
        <f t="array" ref="BD59">IF($BC$9=0,0,MMULT($AH59:$AM59, BC$3:BC$8)/$BC$9)</f>
        <v>0</v>
      </c>
      <c r="BE59" s="142">
        <f t="array" ref="BE59">IF($BD$9=0,0,MMULT($AH59:$AM59, BD$3:BD$8)/$BD$9)</f>
        <v>0</v>
      </c>
      <c r="BF59" s="142">
        <f t="array" ref="BF59">IF($BE$9=0,0,MMULT($AH59:$AM59, BE$3:BE$8)/$BE$9)</f>
        <v>0</v>
      </c>
      <c r="BG59" s="139">
        <f>IF(OR(GradeSheet!$M54="W (Withdrawn)", GradeSheet!$M54="I (Incomplete)"), 0, IF(AU59&gt;=65%, 1, 0))</f>
        <v>0</v>
      </c>
      <c r="BH59" s="139">
        <f>IF(OR(GradeSheet!$M54="W (Withdrawn)", GradeSheet!$M54="I (Incomplete)"), 0, IF(AV59&gt;=65%, 1, 0))</f>
        <v>0</v>
      </c>
      <c r="BI59" s="139">
        <f>IF(OR(GradeSheet!$M54="W (Withdrawn)", GradeSheet!$M54="I (Incomplete)"), 0, IF(AW59&gt;=65%, 1, 0))</f>
        <v>0</v>
      </c>
      <c r="BJ59" s="139">
        <f>IF(OR(GradeSheet!$M54="W (Withdrawn)", GradeSheet!$M54="I (Incomplete)"), 0, IF(AX59&gt;=65%, 1, 0))</f>
        <v>0</v>
      </c>
      <c r="BK59" s="139">
        <f>IF(OR(GradeSheet!$M54="W (Withdrawn)", GradeSheet!$M54="I (Incomplete)"), 0, IF(AY59&gt;=65%, 1, 0))</f>
        <v>0</v>
      </c>
      <c r="BL59" s="139">
        <f>IF(OR(GradeSheet!$M54="W (Withdrawn)", GradeSheet!$M54="I (Incomplete)"), 0, IF(AZ59&gt;=65%, 1, 0))</f>
        <v>0</v>
      </c>
      <c r="BM59" s="139">
        <f>IF(OR(GradeSheet!$M54="W (Withdrawn)", GradeSheet!$M54="I (Incomplete)"), 0, IF(BA59&gt;=65%, 1, 0))</f>
        <v>0</v>
      </c>
      <c r="BN59" s="139">
        <f>IF(OR(GradeSheet!$M54="W (Withdrawn)", GradeSheet!$M54="I (Incomplete)"), 0, IF(BB59&gt;=65%, 1, 0))</f>
        <v>0</v>
      </c>
      <c r="BO59" s="139">
        <f>IF(OR(GradeSheet!$M54="W (Withdrawn)", GradeSheet!$M54="I (Incomplete)"), 0, IF(BC59&gt;=65%, 1, 0))</f>
        <v>0</v>
      </c>
      <c r="BP59" s="139">
        <f>IF(OR(GradeSheet!$M54="W (Withdrawn)", GradeSheet!$M54="I (Incomplete)"), 0, IF(BD59&gt;=65%, 1, 0))</f>
        <v>0</v>
      </c>
      <c r="BQ59" s="139">
        <f>IF(OR(GradeSheet!$M54="W (Withdrawn)", GradeSheet!$M54="I (Incomplete)"), 0, IF(BE59&gt;=65%, 1, 0))</f>
        <v>0</v>
      </c>
      <c r="BR59" s="140">
        <f>IF(OR(GradeSheet!$M54="W (Withdrawn)", GradeSheet!$M54="I (Incomplete)"), 0, IF(BF59&gt;=65%, 1, 0))</f>
        <v>0</v>
      </c>
    </row>
    <row r="60" spans="1:70" ht="15.75" customHeight="1" thickBot="1">
      <c r="A60" s="136">
        <v>46</v>
      </c>
      <c r="B60" s="178">
        <f>GradeSheet!X55</f>
        <v>0</v>
      </c>
      <c r="C60" s="178">
        <f>GradeSheet!W55</f>
        <v>0</v>
      </c>
      <c r="D60" s="177">
        <v>0</v>
      </c>
      <c r="E60" s="177">
        <v>0</v>
      </c>
      <c r="F60" s="177">
        <v>0</v>
      </c>
      <c r="G60" s="177">
        <v>0</v>
      </c>
      <c r="H60" s="177">
        <v>0</v>
      </c>
      <c r="I60" s="177">
        <v>0</v>
      </c>
      <c r="J60" s="177">
        <v>0</v>
      </c>
      <c r="K60" s="177">
        <v>0</v>
      </c>
      <c r="L60" s="177">
        <v>0</v>
      </c>
      <c r="M60" s="177">
        <v>0</v>
      </c>
      <c r="N60" s="177">
        <v>0</v>
      </c>
      <c r="O60" s="177">
        <v>0</v>
      </c>
      <c r="P60" s="177">
        <v>0</v>
      </c>
      <c r="Q60" s="177">
        <v>0</v>
      </c>
      <c r="R60" s="177">
        <v>0</v>
      </c>
      <c r="S60" s="177">
        <v>0</v>
      </c>
      <c r="T60" s="177">
        <v>0</v>
      </c>
      <c r="U60" s="177">
        <v>0</v>
      </c>
      <c r="V60" s="177">
        <v>0</v>
      </c>
      <c r="W60" s="177">
        <v>0</v>
      </c>
      <c r="X60" s="177">
        <v>0</v>
      </c>
      <c r="Y60" s="177">
        <v>0</v>
      </c>
      <c r="Z60" s="177">
        <v>0</v>
      </c>
      <c r="AA60" s="177">
        <v>0</v>
      </c>
      <c r="AB60" s="129">
        <f t="shared" si="13"/>
        <v>0</v>
      </c>
      <c r="AC60" s="130">
        <f t="shared" si="14"/>
        <v>0</v>
      </c>
      <c r="AD60" s="130">
        <f t="shared" si="15"/>
        <v>0</v>
      </c>
      <c r="AE60" s="130">
        <f t="shared" si="16"/>
        <v>0</v>
      </c>
      <c r="AF60" s="137">
        <f t="shared" si="60"/>
        <v>0</v>
      </c>
      <c r="AG60" s="137">
        <f t="shared" si="61"/>
        <v>0</v>
      </c>
      <c r="AH60" s="131">
        <f t="shared" si="62"/>
        <v>0</v>
      </c>
      <c r="AI60" s="138">
        <f t="shared" si="63"/>
        <v>0</v>
      </c>
      <c r="AJ60" s="138">
        <f t="shared" si="64"/>
        <v>0</v>
      </c>
      <c r="AK60" s="138">
        <f t="shared" si="65"/>
        <v>0</v>
      </c>
      <c r="AL60" s="138">
        <f t="shared" si="66"/>
        <v>0</v>
      </c>
      <c r="AM60" s="138">
        <f t="shared" si="67"/>
        <v>0</v>
      </c>
      <c r="AN60" s="139">
        <f>IF(OR(GradeSheet!$M55="W (Withdrawn)", GradeSheet!$M55="I (Incomplete)"), 0, IF(AH60&gt;=55%, 1, 0))</f>
        <v>0</v>
      </c>
      <c r="AO60" s="139">
        <f>IF(OR(GradeSheet!$M55="W (Withdrawn)", GradeSheet!$M55="I (Incomplete)"), 0, IF(AI60&gt;=55%, 1, 0))</f>
        <v>0</v>
      </c>
      <c r="AP60" s="139">
        <f>IF(OR(GradeSheet!$M55="W (Withdrawn)", GradeSheet!$M55="I (Incomplete)"), 0, IF(AJ60&gt;=55%, 1, 0))</f>
        <v>0</v>
      </c>
      <c r="AQ60" s="139">
        <f>IF(OR(GradeSheet!$M55="W (Withdrawn)", GradeSheet!$M55="I (Incomplete)"), 0, IF(AK60&gt;=55%, 1, 0))</f>
        <v>0</v>
      </c>
      <c r="AR60" s="139">
        <f>IF(OR(GradeSheet!$M55="W (Withdrawn)", GradeSheet!$M55="I (Incomplete)"), 0, IF(AL60&gt;=55%, 1, 0))</f>
        <v>0</v>
      </c>
      <c r="AS60" s="140">
        <f>IF(OR(GradeSheet!$M55="W (Withdrawn)", GradeSheet!$M55="I (Incomplete)"), 0, IF(AM60&gt;=55%, 1, 0))</f>
        <v>0</v>
      </c>
      <c r="AU60" s="142">
        <f t="array" ref="AU60">IF($AT$9=0,0,MMULT($AH60:$AM60, AT$3:AT$8)/$AT$9)</f>
        <v>0</v>
      </c>
      <c r="AV60" s="142">
        <f t="array" ref="AV60">IF($AU$9=0,0,MMULT($AH60:$AM60, AU$3:AU$8)/$AU$9)</f>
        <v>0</v>
      </c>
      <c r="AW60" s="142">
        <f t="array" ref="AW60">IF($AV$9=0,0,MMULT($AH60:$AM60, AV$3:AV$8)/$AV$9)</f>
        <v>0</v>
      </c>
      <c r="AX60" s="142">
        <f t="array" ref="AX60">IF($AW$9=0,0,MMULT($AH60:$AM60, AW$3:AW$8)/$AW$9)</f>
        <v>0</v>
      </c>
      <c r="AY60" s="142">
        <f t="array" ref="AY60">IF($AX$9=0,0,MMULT($AH60:$AM60, AX$3:AX$8)/$AX$9)</f>
        <v>0</v>
      </c>
      <c r="AZ60" s="142">
        <f t="array" ref="AZ60">IF($AY$9=0,0,MMULT($AH60:$AM60, AY$3:AY$8)/$AY$9)</f>
        <v>0</v>
      </c>
      <c r="BA60" s="142">
        <f t="array" ref="BA60">IF($AZ$9=0,0,MMULT($AH60:$AM60, AZ$3:AZ$8)/$AZ$9)</f>
        <v>0</v>
      </c>
      <c r="BB60" s="142">
        <f t="array" ref="BB60">IF($BA$9=0,0,MMULT($AH60:$AM60, BA$3:BA$8)/$BA$9)</f>
        <v>0</v>
      </c>
      <c r="BC60" s="142">
        <f t="array" ref="BC60">IF($BB$9=0,0,MMULT($AH60:$AM60, BB$3:BB$8)/$BB$9)</f>
        <v>0</v>
      </c>
      <c r="BD60" s="142">
        <f t="array" ref="BD60">IF($BC$9=0,0,MMULT($AH60:$AM60, BC$3:BC$8)/$BC$9)</f>
        <v>0</v>
      </c>
      <c r="BE60" s="142">
        <f t="array" ref="BE60">IF($BD$9=0,0,MMULT($AH60:$AM60, BD$3:BD$8)/$BD$9)</f>
        <v>0</v>
      </c>
      <c r="BF60" s="142">
        <f t="array" ref="BF60">IF($BE$9=0,0,MMULT($AH60:$AM60, BE$3:BE$8)/$BE$9)</f>
        <v>0</v>
      </c>
      <c r="BG60" s="139">
        <f>IF(OR(GradeSheet!$M55="W (Withdrawn)", GradeSheet!$M55="I (Incomplete)"), 0, IF(AU60&gt;=65%, 1, 0))</f>
        <v>0</v>
      </c>
      <c r="BH60" s="139">
        <f>IF(OR(GradeSheet!$M55="W (Withdrawn)", GradeSheet!$M55="I (Incomplete)"), 0, IF(AV60&gt;=65%, 1, 0))</f>
        <v>0</v>
      </c>
      <c r="BI60" s="139">
        <f>IF(OR(GradeSheet!$M55="W (Withdrawn)", GradeSheet!$M55="I (Incomplete)"), 0, IF(AW60&gt;=65%, 1, 0))</f>
        <v>0</v>
      </c>
      <c r="BJ60" s="139">
        <f>IF(OR(GradeSheet!$M55="W (Withdrawn)", GradeSheet!$M55="I (Incomplete)"), 0, IF(AX60&gt;=65%, 1, 0))</f>
        <v>0</v>
      </c>
      <c r="BK60" s="139">
        <f>IF(OR(GradeSheet!$M55="W (Withdrawn)", GradeSheet!$M55="I (Incomplete)"), 0, IF(AY60&gt;=65%, 1, 0))</f>
        <v>0</v>
      </c>
      <c r="BL60" s="139">
        <f>IF(OR(GradeSheet!$M55="W (Withdrawn)", GradeSheet!$M55="I (Incomplete)"), 0, IF(AZ60&gt;=65%, 1, 0))</f>
        <v>0</v>
      </c>
      <c r="BM60" s="139">
        <f>IF(OR(GradeSheet!$M55="W (Withdrawn)", GradeSheet!$M55="I (Incomplete)"), 0, IF(BA60&gt;=65%, 1, 0))</f>
        <v>0</v>
      </c>
      <c r="BN60" s="139">
        <f>IF(OR(GradeSheet!$M55="W (Withdrawn)", GradeSheet!$M55="I (Incomplete)"), 0, IF(BB60&gt;=65%, 1, 0))</f>
        <v>0</v>
      </c>
      <c r="BO60" s="139">
        <f>IF(OR(GradeSheet!$M55="W (Withdrawn)", GradeSheet!$M55="I (Incomplete)"), 0, IF(BC60&gt;=65%, 1, 0))</f>
        <v>0</v>
      </c>
      <c r="BP60" s="139">
        <f>IF(OR(GradeSheet!$M55="W (Withdrawn)", GradeSheet!$M55="I (Incomplete)"), 0, IF(BD60&gt;=65%, 1, 0))</f>
        <v>0</v>
      </c>
      <c r="BQ60" s="139">
        <f>IF(OR(GradeSheet!$M55="W (Withdrawn)", GradeSheet!$M55="I (Incomplete)"), 0, IF(BE60&gt;=65%, 1, 0))</f>
        <v>0</v>
      </c>
      <c r="BR60" s="140">
        <f>IF(OR(GradeSheet!$M55="W (Withdrawn)", GradeSheet!$M55="I (Incomplete)"), 0, IF(BF60&gt;=65%, 1, 0))</f>
        <v>0</v>
      </c>
    </row>
    <row r="61" spans="1:70" ht="15.75" customHeight="1" thickBot="1">
      <c r="A61" s="136">
        <v>47</v>
      </c>
      <c r="B61" s="178">
        <f>GradeSheet!X56</f>
        <v>0</v>
      </c>
      <c r="C61" s="178">
        <f>GradeSheet!W56</f>
        <v>0</v>
      </c>
      <c r="D61" s="177">
        <v>0</v>
      </c>
      <c r="E61" s="177">
        <v>0</v>
      </c>
      <c r="F61" s="177">
        <v>0</v>
      </c>
      <c r="G61" s="177">
        <v>0</v>
      </c>
      <c r="H61" s="177">
        <v>0</v>
      </c>
      <c r="I61" s="177">
        <v>0</v>
      </c>
      <c r="J61" s="177">
        <v>0</v>
      </c>
      <c r="K61" s="177">
        <v>0</v>
      </c>
      <c r="L61" s="177">
        <v>0</v>
      </c>
      <c r="M61" s="177">
        <v>0</v>
      </c>
      <c r="N61" s="177">
        <v>0</v>
      </c>
      <c r="O61" s="177">
        <v>0</v>
      </c>
      <c r="P61" s="177">
        <v>0</v>
      </c>
      <c r="Q61" s="177">
        <v>0</v>
      </c>
      <c r="R61" s="177">
        <v>0</v>
      </c>
      <c r="S61" s="177">
        <v>0</v>
      </c>
      <c r="T61" s="177">
        <v>0</v>
      </c>
      <c r="U61" s="177">
        <v>0</v>
      </c>
      <c r="V61" s="177">
        <v>0</v>
      </c>
      <c r="W61" s="177">
        <v>0</v>
      </c>
      <c r="X61" s="177">
        <v>0</v>
      </c>
      <c r="Y61" s="177">
        <v>0</v>
      </c>
      <c r="Z61" s="177">
        <v>0</v>
      </c>
      <c r="AA61" s="177">
        <v>0</v>
      </c>
      <c r="AB61" s="129">
        <f t="shared" si="13"/>
        <v>0</v>
      </c>
      <c r="AC61" s="130">
        <f t="shared" si="14"/>
        <v>0</v>
      </c>
      <c r="AD61" s="130">
        <f t="shared" si="15"/>
        <v>0</v>
      </c>
      <c r="AE61" s="130">
        <f t="shared" si="16"/>
        <v>0</v>
      </c>
      <c r="AF61" s="137">
        <f t="shared" si="60"/>
        <v>0</v>
      </c>
      <c r="AG61" s="137">
        <f t="shared" si="61"/>
        <v>0</v>
      </c>
      <c r="AH61" s="131">
        <f t="shared" si="62"/>
        <v>0</v>
      </c>
      <c r="AI61" s="138">
        <f t="shared" si="63"/>
        <v>0</v>
      </c>
      <c r="AJ61" s="138">
        <f t="shared" si="64"/>
        <v>0</v>
      </c>
      <c r="AK61" s="138">
        <f t="shared" si="65"/>
        <v>0</v>
      </c>
      <c r="AL61" s="138">
        <f t="shared" si="66"/>
        <v>0</v>
      </c>
      <c r="AM61" s="138">
        <f t="shared" si="67"/>
        <v>0</v>
      </c>
      <c r="AN61" s="139">
        <f>IF(OR(GradeSheet!$M56="W (Withdrawn)", GradeSheet!$M56="I (Incomplete)"), 0, IF(AH61&gt;=55%, 1, 0))</f>
        <v>0</v>
      </c>
      <c r="AO61" s="139">
        <f>IF(OR(GradeSheet!$M56="W (Withdrawn)", GradeSheet!$M56="I (Incomplete)"), 0, IF(AI61&gt;=55%, 1, 0))</f>
        <v>0</v>
      </c>
      <c r="AP61" s="139">
        <f>IF(OR(GradeSheet!$M56="W (Withdrawn)", GradeSheet!$M56="I (Incomplete)"), 0, IF(AJ61&gt;=55%, 1, 0))</f>
        <v>0</v>
      </c>
      <c r="AQ61" s="139">
        <f>IF(OR(GradeSheet!$M56="W (Withdrawn)", GradeSheet!$M56="I (Incomplete)"), 0, IF(AK61&gt;=55%, 1, 0))</f>
        <v>0</v>
      </c>
      <c r="AR61" s="139">
        <f>IF(OR(GradeSheet!$M56="W (Withdrawn)", GradeSheet!$M56="I (Incomplete)"), 0, IF(AL61&gt;=55%, 1, 0))</f>
        <v>0</v>
      </c>
      <c r="AS61" s="140">
        <f>IF(OR(GradeSheet!$M56="W (Withdrawn)", GradeSheet!$M56="I (Incomplete)"), 0, IF(AM61&gt;=55%, 1, 0))</f>
        <v>0</v>
      </c>
      <c r="AU61" s="142">
        <f t="array" ref="AU61">IF($AT$9=0,0,MMULT($AH61:$AM61, AT$3:AT$8)/$AT$9)</f>
        <v>0</v>
      </c>
      <c r="AV61" s="142">
        <f t="array" ref="AV61">IF($AU$9=0,0,MMULT($AH61:$AM61, AU$3:AU$8)/$AU$9)</f>
        <v>0</v>
      </c>
      <c r="AW61" s="142">
        <f t="array" ref="AW61">IF($AV$9=0,0,MMULT($AH61:$AM61, AV$3:AV$8)/$AV$9)</f>
        <v>0</v>
      </c>
      <c r="AX61" s="142">
        <f t="array" ref="AX61">IF($AW$9=0,0,MMULT($AH61:$AM61, AW$3:AW$8)/$AW$9)</f>
        <v>0</v>
      </c>
      <c r="AY61" s="142">
        <f t="array" ref="AY61">IF($AX$9=0,0,MMULT($AH61:$AM61, AX$3:AX$8)/$AX$9)</f>
        <v>0</v>
      </c>
      <c r="AZ61" s="142">
        <f t="array" ref="AZ61">IF($AY$9=0,0,MMULT($AH61:$AM61, AY$3:AY$8)/$AY$9)</f>
        <v>0</v>
      </c>
      <c r="BA61" s="142">
        <f t="array" ref="BA61">IF($AZ$9=0,0,MMULT($AH61:$AM61, AZ$3:AZ$8)/$AZ$9)</f>
        <v>0</v>
      </c>
      <c r="BB61" s="142">
        <f t="array" ref="BB61">IF($BA$9=0,0,MMULT($AH61:$AM61, BA$3:BA$8)/$BA$9)</f>
        <v>0</v>
      </c>
      <c r="BC61" s="142">
        <f t="array" ref="BC61">IF($BB$9=0,0,MMULT($AH61:$AM61, BB$3:BB$8)/$BB$9)</f>
        <v>0</v>
      </c>
      <c r="BD61" s="142">
        <f t="array" ref="BD61">IF($BC$9=0,0,MMULT($AH61:$AM61, BC$3:BC$8)/$BC$9)</f>
        <v>0</v>
      </c>
      <c r="BE61" s="142">
        <f t="array" ref="BE61">IF($BD$9=0,0,MMULT($AH61:$AM61, BD$3:BD$8)/$BD$9)</f>
        <v>0</v>
      </c>
      <c r="BF61" s="142">
        <f t="array" ref="BF61">IF($BE$9=0,0,MMULT($AH61:$AM61, BE$3:BE$8)/$BE$9)</f>
        <v>0</v>
      </c>
      <c r="BG61" s="139">
        <f>IF(OR(GradeSheet!$M56="W (Withdrawn)", GradeSheet!$M56="I (Incomplete)"), 0, IF(AU61&gt;=65%, 1, 0))</f>
        <v>0</v>
      </c>
      <c r="BH61" s="139">
        <f>IF(OR(GradeSheet!$M56="W (Withdrawn)", GradeSheet!$M56="I (Incomplete)"), 0, IF(AV61&gt;=65%, 1, 0))</f>
        <v>0</v>
      </c>
      <c r="BI61" s="139">
        <f>IF(OR(GradeSheet!$M56="W (Withdrawn)", GradeSheet!$M56="I (Incomplete)"), 0, IF(AW61&gt;=65%, 1, 0))</f>
        <v>0</v>
      </c>
      <c r="BJ61" s="139">
        <f>IF(OR(GradeSheet!$M56="W (Withdrawn)", GradeSheet!$M56="I (Incomplete)"), 0, IF(AX61&gt;=65%, 1, 0))</f>
        <v>0</v>
      </c>
      <c r="BK61" s="139">
        <f>IF(OR(GradeSheet!$M56="W (Withdrawn)", GradeSheet!$M56="I (Incomplete)"), 0, IF(AY61&gt;=65%, 1, 0))</f>
        <v>0</v>
      </c>
      <c r="BL61" s="139">
        <f>IF(OR(GradeSheet!$M56="W (Withdrawn)", GradeSheet!$M56="I (Incomplete)"), 0, IF(AZ61&gt;=65%, 1, 0))</f>
        <v>0</v>
      </c>
      <c r="BM61" s="139">
        <f>IF(OR(GradeSheet!$M56="W (Withdrawn)", GradeSheet!$M56="I (Incomplete)"), 0, IF(BA61&gt;=65%, 1, 0))</f>
        <v>0</v>
      </c>
      <c r="BN61" s="139">
        <f>IF(OR(GradeSheet!$M56="W (Withdrawn)", GradeSheet!$M56="I (Incomplete)"), 0, IF(BB61&gt;=65%, 1, 0))</f>
        <v>0</v>
      </c>
      <c r="BO61" s="139">
        <f>IF(OR(GradeSheet!$M56="W (Withdrawn)", GradeSheet!$M56="I (Incomplete)"), 0, IF(BC61&gt;=65%, 1, 0))</f>
        <v>0</v>
      </c>
      <c r="BP61" s="139">
        <f>IF(OR(GradeSheet!$M56="W (Withdrawn)", GradeSheet!$M56="I (Incomplete)"), 0, IF(BD61&gt;=65%, 1, 0))</f>
        <v>0</v>
      </c>
      <c r="BQ61" s="139">
        <f>IF(OR(GradeSheet!$M56="W (Withdrawn)", GradeSheet!$M56="I (Incomplete)"), 0, IF(BE61&gt;=65%, 1, 0))</f>
        <v>0</v>
      </c>
      <c r="BR61" s="140">
        <f>IF(OR(GradeSheet!$M56="W (Withdrawn)", GradeSheet!$M56="I (Incomplete)"), 0, IF(BF61&gt;=65%, 1, 0))</f>
        <v>0</v>
      </c>
    </row>
    <row r="62" spans="1:70" ht="15.75" customHeight="1" thickBot="1">
      <c r="A62" s="136">
        <v>48</v>
      </c>
      <c r="B62" s="178">
        <f>GradeSheet!X57</f>
        <v>0</v>
      </c>
      <c r="C62" s="178">
        <f>GradeSheet!W57</f>
        <v>0</v>
      </c>
      <c r="D62" s="177">
        <v>0</v>
      </c>
      <c r="E62" s="177">
        <v>0</v>
      </c>
      <c r="F62" s="177">
        <v>0</v>
      </c>
      <c r="G62" s="177">
        <v>0</v>
      </c>
      <c r="H62" s="177">
        <v>0</v>
      </c>
      <c r="I62" s="177">
        <v>0</v>
      </c>
      <c r="J62" s="177">
        <v>0</v>
      </c>
      <c r="K62" s="177">
        <v>0</v>
      </c>
      <c r="L62" s="177">
        <v>0</v>
      </c>
      <c r="M62" s="177">
        <v>0</v>
      </c>
      <c r="N62" s="177">
        <v>0</v>
      </c>
      <c r="O62" s="177">
        <v>0</v>
      </c>
      <c r="P62" s="177">
        <v>0</v>
      </c>
      <c r="Q62" s="177">
        <v>0</v>
      </c>
      <c r="R62" s="177">
        <v>0</v>
      </c>
      <c r="S62" s="177">
        <v>0</v>
      </c>
      <c r="T62" s="177">
        <v>0</v>
      </c>
      <c r="U62" s="177">
        <v>0</v>
      </c>
      <c r="V62" s="177">
        <v>0</v>
      </c>
      <c r="W62" s="177">
        <v>0</v>
      </c>
      <c r="X62" s="177">
        <v>0</v>
      </c>
      <c r="Y62" s="177">
        <v>0</v>
      </c>
      <c r="Z62" s="177">
        <v>0</v>
      </c>
      <c r="AA62" s="177">
        <v>0</v>
      </c>
      <c r="AB62" s="129">
        <f t="shared" si="13"/>
        <v>0</v>
      </c>
      <c r="AC62" s="130">
        <f t="shared" si="14"/>
        <v>0</v>
      </c>
      <c r="AD62" s="130">
        <f t="shared" si="15"/>
        <v>0</v>
      </c>
      <c r="AE62" s="130">
        <f t="shared" si="16"/>
        <v>0</v>
      </c>
      <c r="AF62" s="137">
        <f t="shared" si="60"/>
        <v>0</v>
      </c>
      <c r="AG62" s="137">
        <f t="shared" si="61"/>
        <v>0</v>
      </c>
      <c r="AH62" s="131">
        <f t="shared" si="62"/>
        <v>0</v>
      </c>
      <c r="AI62" s="138">
        <f t="shared" si="63"/>
        <v>0</v>
      </c>
      <c r="AJ62" s="138">
        <f t="shared" si="64"/>
        <v>0</v>
      </c>
      <c r="AK62" s="138">
        <f t="shared" si="65"/>
        <v>0</v>
      </c>
      <c r="AL62" s="138">
        <f t="shared" si="66"/>
        <v>0</v>
      </c>
      <c r="AM62" s="138">
        <f t="shared" si="67"/>
        <v>0</v>
      </c>
      <c r="AN62" s="139">
        <f>IF(OR(GradeSheet!$M57="W (Withdrawn)", GradeSheet!$M57="I (Incomplete)"), 0, IF(AH62&gt;=55%, 1, 0))</f>
        <v>0</v>
      </c>
      <c r="AO62" s="139">
        <f>IF(OR(GradeSheet!$M57="W (Withdrawn)", GradeSheet!$M57="I (Incomplete)"), 0, IF(AI62&gt;=55%, 1, 0))</f>
        <v>0</v>
      </c>
      <c r="AP62" s="139">
        <f>IF(OR(GradeSheet!$M57="W (Withdrawn)", GradeSheet!$M57="I (Incomplete)"), 0, IF(AJ62&gt;=55%, 1, 0))</f>
        <v>0</v>
      </c>
      <c r="AQ62" s="139">
        <f>IF(OR(GradeSheet!$M57="W (Withdrawn)", GradeSheet!$M57="I (Incomplete)"), 0, IF(AK62&gt;=55%, 1, 0))</f>
        <v>0</v>
      </c>
      <c r="AR62" s="139">
        <f>IF(OR(GradeSheet!$M57="W (Withdrawn)", GradeSheet!$M57="I (Incomplete)"), 0, IF(AL62&gt;=55%, 1, 0))</f>
        <v>0</v>
      </c>
      <c r="AS62" s="140">
        <f>IF(OR(GradeSheet!$M57="W (Withdrawn)", GradeSheet!$M57="I (Incomplete)"), 0, IF(AM62&gt;=55%, 1, 0))</f>
        <v>0</v>
      </c>
      <c r="AU62" s="142">
        <f t="array" ref="AU62">IF($AT$9=0,0,MMULT($AH62:$AM62, AT$3:AT$8)/$AT$9)</f>
        <v>0</v>
      </c>
      <c r="AV62" s="142">
        <f t="array" ref="AV62">IF($AU$9=0,0,MMULT($AH62:$AM62, AU$3:AU$8)/$AU$9)</f>
        <v>0</v>
      </c>
      <c r="AW62" s="142">
        <f t="array" ref="AW62">IF($AV$9=0,0,MMULT($AH62:$AM62, AV$3:AV$8)/$AV$9)</f>
        <v>0</v>
      </c>
      <c r="AX62" s="142">
        <f t="array" ref="AX62">IF($AW$9=0,0,MMULT($AH62:$AM62, AW$3:AW$8)/$AW$9)</f>
        <v>0</v>
      </c>
      <c r="AY62" s="142">
        <f t="array" ref="AY62">IF($AX$9=0,0,MMULT($AH62:$AM62, AX$3:AX$8)/$AX$9)</f>
        <v>0</v>
      </c>
      <c r="AZ62" s="142">
        <f t="array" ref="AZ62">IF($AY$9=0,0,MMULT($AH62:$AM62, AY$3:AY$8)/$AY$9)</f>
        <v>0</v>
      </c>
      <c r="BA62" s="142">
        <f t="array" ref="BA62">IF($AZ$9=0,0,MMULT($AH62:$AM62, AZ$3:AZ$8)/$AZ$9)</f>
        <v>0</v>
      </c>
      <c r="BB62" s="142">
        <f t="array" ref="BB62">IF($BA$9=0,0,MMULT($AH62:$AM62, BA$3:BA$8)/$BA$9)</f>
        <v>0</v>
      </c>
      <c r="BC62" s="142">
        <f t="array" ref="BC62">IF($BB$9=0,0,MMULT($AH62:$AM62, BB$3:BB$8)/$BB$9)</f>
        <v>0</v>
      </c>
      <c r="BD62" s="142">
        <f t="array" ref="BD62">IF($BC$9=0,0,MMULT($AH62:$AM62, BC$3:BC$8)/$BC$9)</f>
        <v>0</v>
      </c>
      <c r="BE62" s="142">
        <f t="array" ref="BE62">IF($BD$9=0,0,MMULT($AH62:$AM62, BD$3:BD$8)/$BD$9)</f>
        <v>0</v>
      </c>
      <c r="BF62" s="142">
        <f t="array" ref="BF62">IF($BE$9=0,0,MMULT($AH62:$AM62, BE$3:BE$8)/$BE$9)</f>
        <v>0</v>
      </c>
      <c r="BG62" s="139">
        <f>IF(OR(GradeSheet!$M57="W (Withdrawn)", GradeSheet!$M57="I (Incomplete)"), 0, IF(AU62&gt;=65%, 1, 0))</f>
        <v>0</v>
      </c>
      <c r="BH62" s="139">
        <f>IF(OR(GradeSheet!$M57="W (Withdrawn)", GradeSheet!$M57="I (Incomplete)"), 0, IF(AV62&gt;=65%, 1, 0))</f>
        <v>0</v>
      </c>
      <c r="BI62" s="139">
        <f>IF(OR(GradeSheet!$M57="W (Withdrawn)", GradeSheet!$M57="I (Incomplete)"), 0, IF(AW62&gt;=65%, 1, 0))</f>
        <v>0</v>
      </c>
      <c r="BJ62" s="139">
        <f>IF(OR(GradeSheet!$M57="W (Withdrawn)", GradeSheet!$M57="I (Incomplete)"), 0, IF(AX62&gt;=65%, 1, 0))</f>
        <v>0</v>
      </c>
      <c r="BK62" s="139">
        <f>IF(OR(GradeSheet!$M57="W (Withdrawn)", GradeSheet!$M57="I (Incomplete)"), 0, IF(AY62&gt;=65%, 1, 0))</f>
        <v>0</v>
      </c>
      <c r="BL62" s="139">
        <f>IF(OR(GradeSheet!$M57="W (Withdrawn)", GradeSheet!$M57="I (Incomplete)"), 0, IF(AZ62&gt;=65%, 1, 0))</f>
        <v>0</v>
      </c>
      <c r="BM62" s="139">
        <f>IF(OR(GradeSheet!$M57="W (Withdrawn)", GradeSheet!$M57="I (Incomplete)"), 0, IF(BA62&gt;=65%, 1, 0))</f>
        <v>0</v>
      </c>
      <c r="BN62" s="139">
        <f>IF(OR(GradeSheet!$M57="W (Withdrawn)", GradeSheet!$M57="I (Incomplete)"), 0, IF(BB62&gt;=65%, 1, 0))</f>
        <v>0</v>
      </c>
      <c r="BO62" s="139">
        <f>IF(OR(GradeSheet!$M57="W (Withdrawn)", GradeSheet!$M57="I (Incomplete)"), 0, IF(BC62&gt;=65%, 1, 0))</f>
        <v>0</v>
      </c>
      <c r="BP62" s="139">
        <f>IF(OR(GradeSheet!$M57="W (Withdrawn)", GradeSheet!$M57="I (Incomplete)"), 0, IF(BD62&gt;=65%, 1, 0))</f>
        <v>0</v>
      </c>
      <c r="BQ62" s="139">
        <f>IF(OR(GradeSheet!$M57="W (Withdrawn)", GradeSheet!$M57="I (Incomplete)"), 0, IF(BE62&gt;=65%, 1, 0))</f>
        <v>0</v>
      </c>
      <c r="BR62" s="140">
        <f>IF(OR(GradeSheet!$M57="W (Withdrawn)", GradeSheet!$M57="I (Incomplete)"), 0, IF(BF62&gt;=65%, 1, 0))</f>
        <v>0</v>
      </c>
    </row>
    <row r="63" spans="1:70" ht="15.75" customHeight="1" thickBot="1">
      <c r="A63" s="136">
        <v>49</v>
      </c>
      <c r="B63" s="178">
        <f>GradeSheet!X58</f>
        <v>0</v>
      </c>
      <c r="C63" s="178">
        <f>GradeSheet!W58</f>
        <v>0</v>
      </c>
      <c r="D63" s="177">
        <v>0</v>
      </c>
      <c r="E63" s="177">
        <v>0</v>
      </c>
      <c r="F63" s="177">
        <v>0</v>
      </c>
      <c r="G63" s="177">
        <v>0</v>
      </c>
      <c r="H63" s="177">
        <v>0</v>
      </c>
      <c r="I63" s="177">
        <v>0</v>
      </c>
      <c r="J63" s="177">
        <v>0</v>
      </c>
      <c r="K63" s="177">
        <v>0</v>
      </c>
      <c r="L63" s="177">
        <v>0</v>
      </c>
      <c r="M63" s="177">
        <v>0</v>
      </c>
      <c r="N63" s="177">
        <v>0</v>
      </c>
      <c r="O63" s="177">
        <v>0</v>
      </c>
      <c r="P63" s="177">
        <v>0</v>
      </c>
      <c r="Q63" s="177">
        <v>0</v>
      </c>
      <c r="R63" s="177">
        <v>0</v>
      </c>
      <c r="S63" s="177">
        <v>0</v>
      </c>
      <c r="T63" s="177">
        <v>0</v>
      </c>
      <c r="U63" s="177">
        <v>0</v>
      </c>
      <c r="V63" s="177">
        <v>0</v>
      </c>
      <c r="W63" s="177">
        <v>0</v>
      </c>
      <c r="X63" s="177">
        <v>0</v>
      </c>
      <c r="Y63" s="177">
        <v>0</v>
      </c>
      <c r="Z63" s="177">
        <v>0</v>
      </c>
      <c r="AA63" s="177">
        <v>0</v>
      </c>
      <c r="AB63" s="129">
        <f t="shared" si="13"/>
        <v>0</v>
      </c>
      <c r="AC63" s="130">
        <f t="shared" si="14"/>
        <v>0</v>
      </c>
      <c r="AD63" s="130">
        <f t="shared" si="15"/>
        <v>0</v>
      </c>
      <c r="AE63" s="130">
        <f t="shared" si="16"/>
        <v>0</v>
      </c>
      <c r="AF63" s="137">
        <f t="shared" si="60"/>
        <v>0</v>
      </c>
      <c r="AG63" s="137">
        <f t="shared" si="61"/>
        <v>0</v>
      </c>
      <c r="AH63" s="131">
        <f t="shared" si="62"/>
        <v>0</v>
      </c>
      <c r="AI63" s="138">
        <f t="shared" si="63"/>
        <v>0</v>
      </c>
      <c r="AJ63" s="138">
        <f t="shared" si="64"/>
        <v>0</v>
      </c>
      <c r="AK63" s="138">
        <f t="shared" si="65"/>
        <v>0</v>
      </c>
      <c r="AL63" s="138">
        <f t="shared" si="66"/>
        <v>0</v>
      </c>
      <c r="AM63" s="138">
        <f t="shared" si="67"/>
        <v>0</v>
      </c>
      <c r="AN63" s="139">
        <f>IF(OR(GradeSheet!$M58="W (Withdrawn)", GradeSheet!$M58="I (Incomplete)"), 0, IF(AH63&gt;=55%, 1, 0))</f>
        <v>0</v>
      </c>
      <c r="AO63" s="139">
        <f>IF(OR(GradeSheet!$M58="W (Withdrawn)", GradeSheet!$M58="I (Incomplete)"), 0, IF(AI63&gt;=55%, 1, 0))</f>
        <v>0</v>
      </c>
      <c r="AP63" s="139">
        <f>IF(OR(GradeSheet!$M58="W (Withdrawn)", GradeSheet!$M58="I (Incomplete)"), 0, IF(AJ63&gt;=55%, 1, 0))</f>
        <v>0</v>
      </c>
      <c r="AQ63" s="139">
        <f>IF(OR(GradeSheet!$M58="W (Withdrawn)", GradeSheet!$M58="I (Incomplete)"), 0, IF(AK63&gt;=55%, 1, 0))</f>
        <v>0</v>
      </c>
      <c r="AR63" s="139">
        <f>IF(OR(GradeSheet!$M58="W (Withdrawn)", GradeSheet!$M58="I (Incomplete)"), 0, IF(AL63&gt;=55%, 1, 0))</f>
        <v>0</v>
      </c>
      <c r="AS63" s="140">
        <f>IF(OR(GradeSheet!$M58="W (Withdrawn)", GradeSheet!$M58="I (Incomplete)"), 0, IF(AM63&gt;=55%, 1, 0))</f>
        <v>0</v>
      </c>
      <c r="AU63" s="142">
        <f t="array" ref="AU63">IF($AT$9=0,0,MMULT($AH63:$AM63, AT$3:AT$8)/$AT$9)</f>
        <v>0</v>
      </c>
      <c r="AV63" s="142">
        <f t="array" ref="AV63">IF($AU$9=0,0,MMULT($AH63:$AM63, AU$3:AU$8)/$AU$9)</f>
        <v>0</v>
      </c>
      <c r="AW63" s="142">
        <f t="array" ref="AW63">IF($AV$9=0,0,MMULT($AH63:$AM63, AV$3:AV$8)/$AV$9)</f>
        <v>0</v>
      </c>
      <c r="AX63" s="142">
        <f t="array" ref="AX63">IF($AW$9=0,0,MMULT($AH63:$AM63, AW$3:AW$8)/$AW$9)</f>
        <v>0</v>
      </c>
      <c r="AY63" s="142">
        <f t="array" ref="AY63">IF($AX$9=0,0,MMULT($AH63:$AM63, AX$3:AX$8)/$AX$9)</f>
        <v>0</v>
      </c>
      <c r="AZ63" s="142">
        <f t="array" ref="AZ63">IF($AY$9=0,0,MMULT($AH63:$AM63, AY$3:AY$8)/$AY$9)</f>
        <v>0</v>
      </c>
      <c r="BA63" s="142">
        <f t="array" ref="BA63">IF($AZ$9=0,0,MMULT($AH63:$AM63, AZ$3:AZ$8)/$AZ$9)</f>
        <v>0</v>
      </c>
      <c r="BB63" s="142">
        <f t="array" ref="BB63">IF($BA$9=0,0,MMULT($AH63:$AM63, BA$3:BA$8)/$BA$9)</f>
        <v>0</v>
      </c>
      <c r="BC63" s="142">
        <f t="array" ref="BC63">IF($BB$9=0,0,MMULT($AH63:$AM63, BB$3:BB$8)/$BB$9)</f>
        <v>0</v>
      </c>
      <c r="BD63" s="142">
        <f t="array" ref="BD63">IF($BC$9=0,0,MMULT($AH63:$AM63, BC$3:BC$8)/$BC$9)</f>
        <v>0</v>
      </c>
      <c r="BE63" s="142">
        <f t="array" ref="BE63">IF($BD$9=0,0,MMULT($AH63:$AM63, BD$3:BD$8)/$BD$9)</f>
        <v>0</v>
      </c>
      <c r="BF63" s="142">
        <f t="array" ref="BF63">IF($BE$9=0,0,MMULT($AH63:$AM63, BE$3:BE$8)/$BE$9)</f>
        <v>0</v>
      </c>
      <c r="BG63" s="139">
        <f>IF(OR(GradeSheet!$M58="W (Withdrawn)", GradeSheet!$M58="I (Incomplete)"), 0, IF(AU63&gt;=65%, 1, 0))</f>
        <v>0</v>
      </c>
      <c r="BH63" s="139">
        <f>IF(OR(GradeSheet!$M58="W (Withdrawn)", GradeSheet!$M58="I (Incomplete)"), 0, IF(AV63&gt;=65%, 1, 0))</f>
        <v>0</v>
      </c>
      <c r="BI63" s="139">
        <f>IF(OR(GradeSheet!$M58="W (Withdrawn)", GradeSheet!$M58="I (Incomplete)"), 0, IF(AW63&gt;=65%, 1, 0))</f>
        <v>0</v>
      </c>
      <c r="BJ63" s="139">
        <f>IF(OR(GradeSheet!$M58="W (Withdrawn)", GradeSheet!$M58="I (Incomplete)"), 0, IF(AX63&gt;=65%, 1, 0))</f>
        <v>0</v>
      </c>
      <c r="BK63" s="139">
        <f>IF(OR(GradeSheet!$M58="W (Withdrawn)", GradeSheet!$M58="I (Incomplete)"), 0, IF(AY63&gt;=65%, 1, 0))</f>
        <v>0</v>
      </c>
      <c r="BL63" s="139">
        <f>IF(OR(GradeSheet!$M58="W (Withdrawn)", GradeSheet!$M58="I (Incomplete)"), 0, IF(AZ63&gt;=65%, 1, 0))</f>
        <v>0</v>
      </c>
      <c r="BM63" s="139">
        <f>IF(OR(GradeSheet!$M58="W (Withdrawn)", GradeSheet!$M58="I (Incomplete)"), 0, IF(BA63&gt;=65%, 1, 0))</f>
        <v>0</v>
      </c>
      <c r="BN63" s="139">
        <f>IF(OR(GradeSheet!$M58="W (Withdrawn)", GradeSheet!$M58="I (Incomplete)"), 0, IF(BB63&gt;=65%, 1, 0))</f>
        <v>0</v>
      </c>
      <c r="BO63" s="139">
        <f>IF(OR(GradeSheet!$M58="W (Withdrawn)", GradeSheet!$M58="I (Incomplete)"), 0, IF(BC63&gt;=65%, 1, 0))</f>
        <v>0</v>
      </c>
      <c r="BP63" s="139">
        <f>IF(OR(GradeSheet!$M58="W (Withdrawn)", GradeSheet!$M58="I (Incomplete)"), 0, IF(BD63&gt;=65%, 1, 0))</f>
        <v>0</v>
      </c>
      <c r="BQ63" s="139">
        <f>IF(OR(GradeSheet!$M58="W (Withdrawn)", GradeSheet!$M58="I (Incomplete)"), 0, IF(BE63&gt;=65%, 1, 0))</f>
        <v>0</v>
      </c>
      <c r="BR63" s="140">
        <f>IF(OR(GradeSheet!$M58="W (Withdrawn)", GradeSheet!$M58="I (Incomplete)"), 0, IF(BF63&gt;=65%, 1, 0))</f>
        <v>0</v>
      </c>
    </row>
    <row r="64" spans="1:70" ht="15.75" customHeight="1" thickBot="1">
      <c r="A64" s="136">
        <v>50</v>
      </c>
      <c r="B64" s="178">
        <f>GradeSheet!X59</f>
        <v>0</v>
      </c>
      <c r="C64" s="178">
        <f>GradeSheet!W59</f>
        <v>0</v>
      </c>
      <c r="D64" s="177">
        <v>0</v>
      </c>
      <c r="E64" s="177">
        <v>0</v>
      </c>
      <c r="F64" s="177">
        <v>0</v>
      </c>
      <c r="G64" s="177">
        <v>0</v>
      </c>
      <c r="H64" s="177">
        <v>0</v>
      </c>
      <c r="I64" s="177">
        <v>0</v>
      </c>
      <c r="J64" s="177">
        <v>0</v>
      </c>
      <c r="K64" s="177">
        <v>0</v>
      </c>
      <c r="L64" s="177">
        <v>0</v>
      </c>
      <c r="M64" s="177">
        <v>0</v>
      </c>
      <c r="N64" s="177">
        <v>0</v>
      </c>
      <c r="O64" s="177">
        <v>0</v>
      </c>
      <c r="P64" s="177">
        <v>0</v>
      </c>
      <c r="Q64" s="177">
        <v>0</v>
      </c>
      <c r="R64" s="177">
        <v>0</v>
      </c>
      <c r="S64" s="177">
        <v>0</v>
      </c>
      <c r="T64" s="177">
        <v>0</v>
      </c>
      <c r="U64" s="177">
        <v>0</v>
      </c>
      <c r="V64" s="177">
        <v>0</v>
      </c>
      <c r="W64" s="177">
        <v>0</v>
      </c>
      <c r="X64" s="177">
        <v>0</v>
      </c>
      <c r="Y64" s="177">
        <v>0</v>
      </c>
      <c r="Z64" s="177">
        <v>0</v>
      </c>
      <c r="AA64" s="177">
        <v>0</v>
      </c>
      <c r="AB64" s="129">
        <f t="shared" si="13"/>
        <v>0</v>
      </c>
      <c r="AC64" s="130">
        <f t="shared" si="14"/>
        <v>0</v>
      </c>
      <c r="AD64" s="130">
        <f t="shared" si="15"/>
        <v>0</v>
      </c>
      <c r="AE64" s="130">
        <f t="shared" si="16"/>
        <v>0</v>
      </c>
      <c r="AF64" s="137">
        <f t="shared" si="60"/>
        <v>0</v>
      </c>
      <c r="AG64" s="137">
        <f t="shared" si="61"/>
        <v>0</v>
      </c>
      <c r="AH64" s="131">
        <f t="shared" si="62"/>
        <v>0</v>
      </c>
      <c r="AI64" s="138">
        <f t="shared" si="63"/>
        <v>0</v>
      </c>
      <c r="AJ64" s="138">
        <f t="shared" si="64"/>
        <v>0</v>
      </c>
      <c r="AK64" s="138">
        <f t="shared" si="65"/>
        <v>0</v>
      </c>
      <c r="AL64" s="138">
        <f t="shared" si="66"/>
        <v>0</v>
      </c>
      <c r="AM64" s="138">
        <f t="shared" si="67"/>
        <v>0</v>
      </c>
      <c r="AN64" s="139">
        <f>IF(OR(GradeSheet!$M59="W (Withdrawn)", GradeSheet!$M59="I (Incomplete)"), 0, IF(AH64&gt;=55%, 1, 0))</f>
        <v>0</v>
      </c>
      <c r="AO64" s="139">
        <f>IF(OR(GradeSheet!$M59="W (Withdrawn)", GradeSheet!$M59="I (Incomplete)"), 0, IF(AI64&gt;=55%, 1, 0))</f>
        <v>0</v>
      </c>
      <c r="AP64" s="139">
        <f>IF(OR(GradeSheet!$M59="W (Withdrawn)", GradeSheet!$M59="I (Incomplete)"), 0, IF(AJ64&gt;=55%, 1, 0))</f>
        <v>0</v>
      </c>
      <c r="AQ64" s="139">
        <f>IF(OR(GradeSheet!$M59="W (Withdrawn)", GradeSheet!$M59="I (Incomplete)"), 0, IF(AK64&gt;=55%, 1, 0))</f>
        <v>0</v>
      </c>
      <c r="AR64" s="139">
        <f>IF(OR(GradeSheet!$M59="W (Withdrawn)", GradeSheet!$M59="I (Incomplete)"), 0, IF(AL64&gt;=55%, 1, 0))</f>
        <v>0</v>
      </c>
      <c r="AS64" s="140">
        <f>IF(OR(GradeSheet!$M59="W (Withdrawn)", GradeSheet!$M59="I (Incomplete)"), 0, IF(AM64&gt;=55%, 1, 0))</f>
        <v>0</v>
      </c>
      <c r="AU64" s="142">
        <f t="array" ref="AU64">IF($AT$9=0,0,MMULT($AH64:$AM64, AT$3:AT$8)/$AT$9)</f>
        <v>0</v>
      </c>
      <c r="AV64" s="142">
        <f t="array" ref="AV64">IF($AU$9=0,0,MMULT($AH64:$AM64, AU$3:AU$8)/$AU$9)</f>
        <v>0</v>
      </c>
      <c r="AW64" s="142">
        <f t="array" ref="AW64">IF($AV$9=0,0,MMULT($AH64:$AM64, AV$3:AV$8)/$AV$9)</f>
        <v>0</v>
      </c>
      <c r="AX64" s="142">
        <f t="array" ref="AX64">IF($AW$9=0,0,MMULT($AH64:$AM64, AW$3:AW$8)/$AW$9)</f>
        <v>0</v>
      </c>
      <c r="AY64" s="142">
        <f t="array" ref="AY64">IF($AX$9=0,0,MMULT($AH64:$AM64, AX$3:AX$8)/$AX$9)</f>
        <v>0</v>
      </c>
      <c r="AZ64" s="142">
        <f t="array" ref="AZ64">IF($AY$9=0,0,MMULT($AH64:$AM64, AY$3:AY$8)/$AY$9)</f>
        <v>0</v>
      </c>
      <c r="BA64" s="142">
        <f t="array" ref="BA64">IF($AZ$9=0,0,MMULT($AH64:$AM64, AZ$3:AZ$8)/$AZ$9)</f>
        <v>0</v>
      </c>
      <c r="BB64" s="142">
        <f t="array" ref="BB64">IF($BA$9=0,0,MMULT($AH64:$AM64, BA$3:BA$8)/$BA$9)</f>
        <v>0</v>
      </c>
      <c r="BC64" s="142">
        <f t="array" ref="BC64">IF($BB$9=0,0,MMULT($AH64:$AM64, BB$3:BB$8)/$BB$9)</f>
        <v>0</v>
      </c>
      <c r="BD64" s="142">
        <f t="array" ref="BD64">IF($BC$9=0,0,MMULT($AH64:$AM64, BC$3:BC$8)/$BC$9)</f>
        <v>0</v>
      </c>
      <c r="BE64" s="142">
        <f t="array" ref="BE64">IF($BD$9=0,0,MMULT($AH64:$AM64, BD$3:BD$8)/$BD$9)</f>
        <v>0</v>
      </c>
      <c r="BF64" s="142">
        <f t="array" ref="BF64">IF($BE$9=0,0,MMULT($AH64:$AM64, BE$3:BE$8)/$BE$9)</f>
        <v>0</v>
      </c>
      <c r="BG64" s="139">
        <f>IF(OR(GradeSheet!$M59="W (Withdrawn)", GradeSheet!$M59="I (Incomplete)"), 0, IF(AU64&gt;=65%, 1, 0))</f>
        <v>0</v>
      </c>
      <c r="BH64" s="139">
        <f>IF(OR(GradeSheet!$M59="W (Withdrawn)", GradeSheet!$M59="I (Incomplete)"), 0, IF(AV64&gt;=65%, 1, 0))</f>
        <v>0</v>
      </c>
      <c r="BI64" s="139">
        <f>IF(OR(GradeSheet!$M59="W (Withdrawn)", GradeSheet!$M59="I (Incomplete)"), 0, IF(AW64&gt;=65%, 1, 0))</f>
        <v>0</v>
      </c>
      <c r="BJ64" s="139">
        <f>IF(OR(GradeSheet!$M59="W (Withdrawn)", GradeSheet!$M59="I (Incomplete)"), 0, IF(AX64&gt;=65%, 1, 0))</f>
        <v>0</v>
      </c>
      <c r="BK64" s="139">
        <f>IF(OR(GradeSheet!$M59="W (Withdrawn)", GradeSheet!$M59="I (Incomplete)"), 0, IF(AY64&gt;=65%, 1, 0))</f>
        <v>0</v>
      </c>
      <c r="BL64" s="139">
        <f>IF(OR(GradeSheet!$M59="W (Withdrawn)", GradeSheet!$M59="I (Incomplete)"), 0, IF(AZ64&gt;=65%, 1, 0))</f>
        <v>0</v>
      </c>
      <c r="BM64" s="139">
        <f>IF(OR(GradeSheet!$M59="W (Withdrawn)", GradeSheet!$M59="I (Incomplete)"), 0, IF(BA64&gt;=65%, 1, 0))</f>
        <v>0</v>
      </c>
      <c r="BN64" s="139">
        <f>IF(OR(GradeSheet!$M59="W (Withdrawn)", GradeSheet!$M59="I (Incomplete)"), 0, IF(BB64&gt;=65%, 1, 0))</f>
        <v>0</v>
      </c>
      <c r="BO64" s="139">
        <f>IF(OR(GradeSheet!$M59="W (Withdrawn)", GradeSheet!$M59="I (Incomplete)"), 0, IF(BC64&gt;=65%, 1, 0))</f>
        <v>0</v>
      </c>
      <c r="BP64" s="139">
        <f>IF(OR(GradeSheet!$M59="W (Withdrawn)", GradeSheet!$M59="I (Incomplete)"), 0, IF(BD64&gt;=65%, 1, 0))</f>
        <v>0</v>
      </c>
      <c r="BQ64" s="139">
        <f>IF(OR(GradeSheet!$M59="W (Withdrawn)", GradeSheet!$M59="I (Incomplete)"), 0, IF(BE64&gt;=65%, 1, 0))</f>
        <v>0</v>
      </c>
      <c r="BR64" s="140">
        <f>IF(OR(GradeSheet!$M59="W (Withdrawn)", GradeSheet!$M59="I (Incomplete)"), 0, IF(BF64&gt;=65%, 1, 0))</f>
        <v>0</v>
      </c>
    </row>
    <row r="65" spans="1:70" ht="15.75" customHeight="1"/>
    <row r="66" spans="1:70" ht="15.75" customHeight="1" thickBot="1"/>
    <row r="67" spans="1:70" ht="15.75" customHeight="1" thickBot="1">
      <c r="A67" s="144">
        <v>42</v>
      </c>
      <c r="B67" s="182" t="s">
        <v>145</v>
      </c>
      <c r="C67" s="181"/>
      <c r="D67" s="145">
        <f>AVERAGE(D15:D64)</f>
        <v>0</v>
      </c>
      <c r="E67" s="145">
        <f t="shared" ref="E67:AA67" si="68">AVERAGE(E15:E64)</f>
        <v>0</v>
      </c>
      <c r="F67" s="145">
        <f t="shared" si="68"/>
        <v>0</v>
      </c>
      <c r="G67" s="145">
        <f t="shared" si="68"/>
        <v>0</v>
      </c>
      <c r="H67" s="145">
        <f t="shared" si="68"/>
        <v>0</v>
      </c>
      <c r="I67" s="145">
        <f t="shared" si="68"/>
        <v>0</v>
      </c>
      <c r="J67" s="145">
        <f t="shared" si="68"/>
        <v>0</v>
      </c>
      <c r="K67" s="145">
        <f t="shared" si="68"/>
        <v>0</v>
      </c>
      <c r="L67" s="145">
        <f t="shared" si="68"/>
        <v>0</v>
      </c>
      <c r="M67" s="145">
        <f t="shared" si="68"/>
        <v>0</v>
      </c>
      <c r="N67" s="145">
        <f t="shared" si="68"/>
        <v>0</v>
      </c>
      <c r="O67" s="145">
        <f t="shared" si="68"/>
        <v>0</v>
      </c>
      <c r="P67" s="145">
        <f t="shared" si="68"/>
        <v>0</v>
      </c>
      <c r="Q67" s="145">
        <f t="shared" si="68"/>
        <v>0</v>
      </c>
      <c r="R67" s="145">
        <f t="shared" si="68"/>
        <v>0</v>
      </c>
      <c r="S67" s="145">
        <f t="shared" si="68"/>
        <v>0</v>
      </c>
      <c r="T67" s="145">
        <f t="shared" si="68"/>
        <v>0</v>
      </c>
      <c r="U67" s="145">
        <f t="shared" si="68"/>
        <v>0</v>
      </c>
      <c r="V67" s="145">
        <f t="shared" si="68"/>
        <v>0</v>
      </c>
      <c r="W67" s="145">
        <f t="shared" si="68"/>
        <v>0</v>
      </c>
      <c r="X67" s="145">
        <f t="shared" si="68"/>
        <v>0</v>
      </c>
      <c r="Y67" s="145">
        <f t="shared" si="68"/>
        <v>0</v>
      </c>
      <c r="Z67" s="145">
        <f t="shared" si="68"/>
        <v>0</v>
      </c>
      <c r="AA67" s="145">
        <f t="shared" si="68"/>
        <v>0</v>
      </c>
      <c r="AB67" s="145">
        <f ca="1">AVERAGE(AB15:INDEX(AB:AB,GradeSheet!$H$76))</f>
        <v>3</v>
      </c>
      <c r="AC67" s="145">
        <f ca="1">AVERAGE(AC15:INDEX(AC:AC,GradeSheet!$H$76))</f>
        <v>1.5</v>
      </c>
      <c r="AD67" s="145">
        <f ca="1">AVERAGE(AD15:INDEX(AD:AD,GradeSheet!$H$76))</f>
        <v>0</v>
      </c>
      <c r="AE67" s="145">
        <f ca="1">AVERAGE(AE15:INDEX(AE:AE,GradeSheet!$H$76))</f>
        <v>0</v>
      </c>
      <c r="AF67" s="145">
        <f ca="1">AVERAGE(AF15:INDEX(AF:AF,GradeSheet!$H$76))</f>
        <v>0</v>
      </c>
      <c r="AG67" s="145">
        <f ca="1">AVERAGE(AG15:INDEX(AG:AG,GradeSheet!$H$76))</f>
        <v>0</v>
      </c>
      <c r="AH67" s="145">
        <f ca="1">AVERAGE(AH15:INDEX(AH:AH,GradeSheet!$H$76))</f>
        <v>0.5</v>
      </c>
      <c r="AI67" s="145">
        <f ca="1">AVERAGE(AI15:INDEX(AI:AI,GradeSheet!$H$76))</f>
        <v>0.5</v>
      </c>
      <c r="AJ67" s="145">
        <f ca="1">AVERAGE(AJ15:INDEX(AJ:AJ,GradeSheet!$H$76))</f>
        <v>0.5</v>
      </c>
      <c r="AK67" s="145">
        <f ca="1">AVERAGE(AK15:INDEX(AK:AK,GradeSheet!$H$76))</f>
        <v>0.5</v>
      </c>
      <c r="AL67" s="145">
        <f ca="1">AVERAGE(AL15:INDEX(AL:AL,GradeSheet!$H$76))</f>
        <v>0.5</v>
      </c>
      <c r="AM67" s="145">
        <f ca="1">AVERAGE(AM15:INDEX(AM:AM,GradeSheet!$H$76))</f>
        <v>0.5</v>
      </c>
      <c r="AN67" s="145">
        <f ca="1">AVERAGE(AN15:INDEX(AN:AN,GradeSheet!$H$76))</f>
        <v>0</v>
      </c>
      <c r="AO67" s="145">
        <f ca="1">AVERAGE(AO15:INDEX(AO:AO,GradeSheet!$H$76))</f>
        <v>0</v>
      </c>
      <c r="AP67" s="145">
        <f ca="1">AVERAGE(AP15:INDEX(AP:AP,GradeSheet!$H$76))</f>
        <v>0</v>
      </c>
      <c r="AQ67" s="145">
        <f ca="1">AVERAGE(AQ15:INDEX(AQ:AQ,GradeSheet!$H$76))</f>
        <v>0</v>
      </c>
      <c r="AR67" s="145">
        <f ca="1">AVERAGE(AR15:INDEX(AR:AR,GradeSheet!$H$76))</f>
        <v>0</v>
      </c>
      <c r="AS67" s="145">
        <f ca="1">AVERAGE(AS15:INDEX(AS:AS,GradeSheet!$H$76))</f>
        <v>0</v>
      </c>
      <c r="AT67" s="114"/>
      <c r="AU67" s="121" t="e">
        <f>(SUMIFS(AU15:AU64,GradeSheet!M10:M59,"&lt;&gt;W (Withdrawn)",GradeSheet!M10:M59,"&lt;&gt;I (Incomplete)"))/(COUNTIFS(B15:B64,"&lt;&gt;0")-GradeSheet!$H$74-GradeSheet!$H$75)</f>
        <v>#DIV/0!</v>
      </c>
      <c r="AV67" s="121" t="e">
        <f>(SUMIFS(AV15:AV64,GradeSheet!N10:N59,"&lt;&gt;W (Withdrawn)",GradeSheet!N10:N59,"&lt;&gt;I (Incomplete)"))/(COUNTIFS(C15:C64,"&lt;&gt;0")-GradeSheet!$H$74-GradeSheet!$H$75)</f>
        <v>#DIV/0!</v>
      </c>
      <c r="AW67" s="121" t="e">
        <f>(SUMIFS(AW15:AW64,GradeSheet!O10:O59,"&lt;&gt;W (Withdrawn)",GradeSheet!O10:O59,"&lt;&gt;I (Incomplete)"))/(COUNTIFS(D15:D64,"&lt;&gt;0")-GradeSheet!$H$74-GradeSheet!$H$75)</f>
        <v>#DIV/0!</v>
      </c>
      <c r="AX67" s="121" t="e">
        <f>(SUMIFS(AX15:AX64,GradeSheet!P10:P59,"&lt;&gt;W (Withdrawn)",GradeSheet!P10:P59,"&lt;&gt;I (Incomplete)"))/(COUNTIFS(E15:E64,"&lt;&gt;0")-GradeSheet!$H$74-GradeSheet!$H$75)</f>
        <v>#DIV/0!</v>
      </c>
      <c r="AY67" s="121" t="e">
        <f>(SUMIFS(AY15:AY64,GradeSheet!Q10:Q59,"&lt;&gt;W (Withdrawn)",GradeSheet!Q10:Q59,"&lt;&gt;I (Incomplete)"))/(COUNTIFS(F15:F64,"&lt;&gt;0")-GradeSheet!$H$74-GradeSheet!$H$75)</f>
        <v>#DIV/0!</v>
      </c>
      <c r="AZ67" s="121" t="e">
        <f>(SUMIFS(AZ15:AZ64,GradeSheet!R10:R59,"&lt;&gt;W (Withdrawn)",GradeSheet!R10:R59,"&lt;&gt;I (Incomplete)"))/(COUNTIFS(G15:G64,"&lt;&gt;0")-GradeSheet!$H$74-GradeSheet!$H$75)</f>
        <v>#DIV/0!</v>
      </c>
      <c r="BA67" s="121" t="e">
        <f>(SUMIFS(BA15:BA64,GradeSheet!S10:S59,"&lt;&gt;W (Withdrawn)",GradeSheet!S10:S59,"&lt;&gt;I (Incomplete)"))/(COUNTIFS(H15:H64,"&lt;&gt;0")-GradeSheet!$H$74-GradeSheet!$H$75)</f>
        <v>#DIV/0!</v>
      </c>
      <c r="BB67" s="121" t="e">
        <f>(SUMIFS(BB15:BB64,GradeSheet!T10:T59,"&lt;&gt;W (Withdrawn)",GradeSheet!T10:T59,"&lt;&gt;I (Incomplete)"))/(COUNTIFS(I15:I64,"&lt;&gt;0")-GradeSheet!$H$74-GradeSheet!$H$75)</f>
        <v>#DIV/0!</v>
      </c>
      <c r="BC67" s="121" t="e">
        <f>(SUMIFS(BC15:BC64,GradeSheet!U10:U59,"&lt;&gt;W (Withdrawn)",GradeSheet!U10:U59,"&lt;&gt;I (Incomplete)"))/(COUNTIFS(J15:J64,"&lt;&gt;0")-GradeSheet!$H$74-GradeSheet!$H$75)</f>
        <v>#DIV/0!</v>
      </c>
      <c r="BD67" s="121" t="e">
        <f>(SUMIFS(BD15:BD64,GradeSheet!V10:V59,"&lt;&gt;W (Withdrawn)",GradeSheet!V10:V59,"&lt;&gt;I (Incomplete)"))/(COUNTIFS(K15:K64,"&lt;&gt;0")-GradeSheet!$H$74-GradeSheet!$H$75)</f>
        <v>#DIV/0!</v>
      </c>
      <c r="BE67" s="121" t="e">
        <f>(SUMIFS(BE15:BE64,GradeSheet!W10:W59,"&lt;&gt;W (Withdrawn)",GradeSheet!W10:W59,"&lt;&gt;I (Incomplete)"))/(COUNTIFS(L15:L64,"&lt;&gt;0")-GradeSheet!$H$74-GradeSheet!$H$75)</f>
        <v>#DIV/0!</v>
      </c>
      <c r="BF67" s="121" t="e">
        <f>(SUMIFS(BF15:BF64,GradeSheet!X10:X59,"&lt;&gt;W (Withdrawn)",GradeSheet!X10:X59,"&lt;&gt;I (Incomplete)"))/(COUNTIFS(M15:M64,"&lt;&gt;0")-GradeSheet!$H$74-GradeSheet!$H$75)</f>
        <v>#DIV/0!</v>
      </c>
      <c r="BG67" s="118">
        <f t="shared" ref="BG67:BR67" si="69">SUM(BG15:BG54)</f>
        <v>0</v>
      </c>
      <c r="BH67" s="119">
        <f t="shared" si="69"/>
        <v>0</v>
      </c>
      <c r="BI67" s="119">
        <f t="shared" si="69"/>
        <v>0</v>
      </c>
      <c r="BJ67" s="119">
        <f t="shared" si="69"/>
        <v>0</v>
      </c>
      <c r="BK67" s="119">
        <f t="shared" si="69"/>
        <v>0</v>
      </c>
      <c r="BL67" s="119">
        <f t="shared" si="69"/>
        <v>0</v>
      </c>
      <c r="BM67" s="119">
        <f t="shared" si="69"/>
        <v>0</v>
      </c>
      <c r="BN67" s="119">
        <f t="shared" si="69"/>
        <v>0</v>
      </c>
      <c r="BO67" s="119">
        <f t="shared" si="69"/>
        <v>0</v>
      </c>
      <c r="BP67" s="119">
        <f t="shared" si="69"/>
        <v>0</v>
      </c>
      <c r="BQ67" s="119">
        <f t="shared" si="69"/>
        <v>0</v>
      </c>
      <c r="BR67" s="146">
        <f t="shared" si="69"/>
        <v>0</v>
      </c>
    </row>
    <row r="68" spans="1:70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</row>
    <row r="69" spans="1:70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147"/>
      <c r="AI69" s="147"/>
      <c r="AJ69" s="147"/>
      <c r="AK69" s="147"/>
      <c r="AL69" s="147"/>
      <c r="AM69" s="147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</row>
    <row r="70" spans="1:70" ht="15.75" customHeight="1">
      <c r="A70" s="78"/>
      <c r="B70" s="78"/>
      <c r="C70" s="14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147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</row>
    <row r="71" spans="1:70" ht="15.75" customHeight="1">
      <c r="A71" s="78"/>
      <c r="B71" s="3" t="str">
        <f>GradeSheet!$H$5</f>
        <v>Rubaiya Hafiz</v>
      </c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</row>
    <row r="72" spans="1:70" ht="15.75" customHeight="1">
      <c r="A72" s="78"/>
      <c r="B72" s="3" t="s">
        <v>55</v>
      </c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</row>
    <row r="73" spans="1:70" ht="15.75" customHeight="1">
      <c r="A73" s="78"/>
      <c r="B73" s="3" t="str">
        <f>GradeSheet!$B$77</f>
        <v>Department of CSE, ULAB</v>
      </c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</row>
    <row r="74" spans="1:70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147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</row>
    <row r="75" spans="1:70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147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</row>
    <row r="76" spans="1:70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</row>
    <row r="77" spans="1:70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</row>
    <row r="78" spans="1:70" ht="15.75" customHeight="1"/>
    <row r="79" spans="1:70" ht="15.75" customHeight="1"/>
    <row r="80" spans="1:70" ht="15.75" customHeight="1"/>
    <row r="81" spans="1:70" ht="15.75" customHeight="1"/>
    <row r="82" spans="1:70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</row>
    <row r="83" spans="1:70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</row>
    <row r="84" spans="1:70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</row>
    <row r="85" spans="1:70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</row>
    <row r="86" spans="1:70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</row>
    <row r="87" spans="1:70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</row>
    <row r="88" spans="1:70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</row>
    <row r="89" spans="1:70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</row>
    <row r="90" spans="1:7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</row>
    <row r="91" spans="1:70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</row>
    <row r="92" spans="1:70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</row>
    <row r="93" spans="1:70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</row>
    <row r="94" spans="1:70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</row>
    <row r="95" spans="1:70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</row>
    <row r="96" spans="1:70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</row>
    <row r="97" spans="1:70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</row>
    <row r="98" spans="1:70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</row>
    <row r="99" spans="1:70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</row>
    <row r="100" spans="1:7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</row>
    <row r="101" spans="1:70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</row>
    <row r="102" spans="1:70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</row>
    <row r="103" spans="1:70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</row>
    <row r="104" spans="1:70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</row>
    <row r="105" spans="1:70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</row>
    <row r="106" spans="1:70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</row>
    <row r="107" spans="1:70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</row>
    <row r="108" spans="1:70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</row>
    <row r="109" spans="1:70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</row>
    <row r="110" spans="1:7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</row>
    <row r="111" spans="1:70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</row>
    <row r="112" spans="1:70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</row>
    <row r="113" spans="1:70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</row>
    <row r="114" spans="1:70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</row>
    <row r="115" spans="1:70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</row>
    <row r="116" spans="1:70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</row>
    <row r="117" spans="1:70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</row>
    <row r="118" spans="1:70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</row>
    <row r="119" spans="1:70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</row>
    <row r="120" spans="1:7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</row>
    <row r="121" spans="1:70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</row>
    <row r="122" spans="1:70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</row>
    <row r="123" spans="1:70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</row>
    <row r="124" spans="1:70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</row>
    <row r="125" spans="1:70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</row>
    <row r="126" spans="1:70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</row>
    <row r="127" spans="1:70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</row>
    <row r="128" spans="1:70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</row>
    <row r="129" spans="1:70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</row>
    <row r="130" spans="1:7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</row>
    <row r="131" spans="1:70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</row>
    <row r="132" spans="1:70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</row>
    <row r="133" spans="1:70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</row>
    <row r="134" spans="1:70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</row>
    <row r="135" spans="1:70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</row>
    <row r="136" spans="1:70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</row>
    <row r="137" spans="1:70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</row>
    <row r="138" spans="1:70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</row>
    <row r="139" spans="1:70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</row>
    <row r="140" spans="1:7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</row>
    <row r="141" spans="1:70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</row>
    <row r="142" spans="1:70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</row>
    <row r="143" spans="1:70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</row>
    <row r="144" spans="1:70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</row>
    <row r="145" spans="1:70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</row>
    <row r="146" spans="1:70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</row>
    <row r="147" spans="1:70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</row>
    <row r="148" spans="1:70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</row>
    <row r="149" spans="1:70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</row>
    <row r="150" spans="1:7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</row>
    <row r="151" spans="1:70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</row>
    <row r="152" spans="1:70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</row>
    <row r="153" spans="1:70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</row>
    <row r="154" spans="1:70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</row>
    <row r="155" spans="1:70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</row>
    <row r="156" spans="1:70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</row>
    <row r="157" spans="1:70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</row>
    <row r="158" spans="1:70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</row>
    <row r="159" spans="1:70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</row>
    <row r="160" spans="1:7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</row>
    <row r="161" spans="1:70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</row>
    <row r="162" spans="1:70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</row>
    <row r="163" spans="1:70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</row>
    <row r="164" spans="1:70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</row>
    <row r="165" spans="1:70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</row>
    <row r="166" spans="1:70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</row>
    <row r="167" spans="1:70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</row>
    <row r="168" spans="1:70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</row>
    <row r="169" spans="1:70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</row>
    <row r="170" spans="1: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</row>
    <row r="171" spans="1:70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</row>
    <row r="172" spans="1:70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</row>
    <row r="173" spans="1:70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</row>
    <row r="174" spans="1:70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</row>
    <row r="175" spans="1:70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</row>
    <row r="176" spans="1:70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</row>
    <row r="177" spans="1:70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</row>
    <row r="178" spans="1:70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</row>
    <row r="179" spans="1:70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</row>
    <row r="180" spans="1:7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</row>
    <row r="181" spans="1:70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</row>
    <row r="182" spans="1:70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</row>
    <row r="183" spans="1:70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</row>
    <row r="184" spans="1:70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</row>
    <row r="185" spans="1:70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</row>
    <row r="186" spans="1:70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</row>
    <row r="187" spans="1:70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</row>
    <row r="188" spans="1:70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</row>
    <row r="189" spans="1:70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</row>
    <row r="190" spans="1:7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</row>
    <row r="191" spans="1:70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</row>
    <row r="192" spans="1:70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</row>
    <row r="193" spans="1:70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</row>
    <row r="194" spans="1:70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</row>
    <row r="195" spans="1:70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</row>
    <row r="196" spans="1:70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</row>
    <row r="197" spans="1:70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</row>
    <row r="198" spans="1:70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</row>
    <row r="199" spans="1:70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</row>
    <row r="200" spans="1:7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</row>
    <row r="201" spans="1:70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</row>
    <row r="202" spans="1:70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</row>
    <row r="203" spans="1:70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</row>
    <row r="204" spans="1:70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</row>
    <row r="205" spans="1:70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</row>
    <row r="206" spans="1:70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</row>
    <row r="207" spans="1:70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</row>
    <row r="208" spans="1:70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</row>
    <row r="209" spans="1:70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</row>
    <row r="210" spans="1:7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</row>
    <row r="211" spans="1:70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</row>
    <row r="212" spans="1:70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</row>
    <row r="213" spans="1:70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</row>
    <row r="214" spans="1:70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</row>
    <row r="215" spans="1:70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</row>
    <row r="216" spans="1:70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</row>
    <row r="217" spans="1:70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</row>
    <row r="218" spans="1:70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</row>
    <row r="219" spans="1:70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</row>
    <row r="220" spans="1:7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</row>
    <row r="221" spans="1:70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</row>
    <row r="222" spans="1:70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</row>
    <row r="223" spans="1:70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</row>
    <row r="224" spans="1:70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</row>
    <row r="225" spans="1:70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</row>
    <row r="226" spans="1:70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</row>
    <row r="227" spans="1:70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</row>
    <row r="228" spans="1:70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</row>
    <row r="229" spans="1:70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</row>
    <row r="230" spans="1:7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</row>
    <row r="231" spans="1:70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</row>
    <row r="232" spans="1:70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</row>
    <row r="233" spans="1:70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</row>
    <row r="234" spans="1:70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</row>
    <row r="235" spans="1:70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</row>
    <row r="236" spans="1:70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</row>
    <row r="237" spans="1:70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</row>
    <row r="238" spans="1:70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</row>
    <row r="239" spans="1:70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</row>
    <row r="240" spans="1:7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</row>
    <row r="241" spans="1:70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</row>
    <row r="242" spans="1:70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</row>
    <row r="243" spans="1:70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</row>
    <row r="244" spans="1:70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</row>
    <row r="245" spans="1:70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</row>
    <row r="246" spans="1:70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</row>
    <row r="247" spans="1:70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</row>
    <row r="248" spans="1:70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</row>
    <row r="249" spans="1:70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</row>
    <row r="250" spans="1:7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</row>
    <row r="251" spans="1:70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</row>
    <row r="252" spans="1:70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</row>
    <row r="253" spans="1:70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</row>
    <row r="254" spans="1:70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</row>
    <row r="255" spans="1:70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</row>
    <row r="256" spans="1:70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</row>
    <row r="257" spans="1:70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</row>
    <row r="258" spans="1:70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</row>
    <row r="259" spans="1:70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</row>
    <row r="260" spans="1:7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</row>
    <row r="261" spans="1:70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</row>
    <row r="262" spans="1:70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</row>
    <row r="263" spans="1:70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</row>
    <row r="264" spans="1:70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</row>
    <row r="265" spans="1:70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</row>
    <row r="266" spans="1:70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</row>
    <row r="267" spans="1:70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</row>
    <row r="268" spans="1:70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</row>
    <row r="269" spans="1:70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</row>
    <row r="270" spans="1: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</row>
    <row r="271" spans="1:70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</row>
    <row r="272" spans="1:70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</row>
    <row r="273" spans="1:70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</row>
    <row r="274" spans="1:70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</row>
    <row r="275" spans="1:70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</row>
    <row r="276" spans="1:70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</row>
    <row r="277" spans="1:70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</row>
    <row r="278" spans="1:70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</row>
    <row r="279" spans="1:70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</row>
    <row r="280" spans="1:7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</row>
    <row r="281" spans="1:70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</row>
    <row r="282" spans="1:70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</row>
    <row r="283" spans="1:70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</row>
    <row r="284" spans="1:70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</row>
    <row r="285" spans="1:70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</row>
    <row r="286" spans="1:70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</row>
    <row r="287" spans="1:70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</row>
    <row r="288" spans="1:70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</row>
    <row r="289" spans="1:70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</row>
    <row r="290" spans="1:7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</row>
    <row r="291" spans="1:70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</row>
    <row r="292" spans="1:70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</row>
    <row r="293" spans="1:70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</row>
    <row r="294" spans="1:70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</row>
    <row r="295" spans="1:70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</row>
    <row r="296" spans="1:70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</row>
    <row r="297" spans="1:70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</row>
    <row r="298" spans="1:70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</row>
    <row r="299" spans="1:70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</row>
    <row r="300" spans="1:7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</row>
    <row r="301" spans="1:70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</row>
    <row r="302" spans="1:70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</row>
    <row r="303" spans="1:70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</row>
    <row r="304" spans="1:70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</row>
    <row r="305" spans="1:70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</row>
    <row r="306" spans="1:70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</row>
    <row r="307" spans="1:70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</row>
    <row r="308" spans="1:70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</row>
    <row r="309" spans="1:70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</row>
    <row r="310" spans="1:7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</row>
    <row r="311" spans="1:70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</row>
    <row r="312" spans="1:70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</row>
    <row r="313" spans="1:70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</row>
    <row r="314" spans="1:70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</row>
    <row r="315" spans="1:70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</row>
    <row r="316" spans="1:70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</row>
    <row r="317" spans="1:70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</row>
    <row r="318" spans="1:70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</row>
    <row r="319" spans="1:70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</row>
    <row r="320" spans="1:7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</row>
    <row r="321" spans="1:70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</row>
    <row r="322" spans="1:70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</row>
    <row r="323" spans="1:70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</row>
    <row r="324" spans="1:70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</row>
    <row r="325" spans="1:70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</row>
    <row r="326" spans="1:70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</row>
    <row r="327" spans="1:70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</row>
    <row r="328" spans="1:70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</row>
    <row r="329" spans="1:70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</row>
    <row r="330" spans="1:7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</row>
    <row r="331" spans="1:70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</row>
    <row r="332" spans="1:70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</row>
    <row r="333" spans="1:70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</row>
    <row r="334" spans="1:70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</row>
    <row r="335" spans="1:70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</row>
    <row r="336" spans="1:70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</row>
    <row r="337" spans="1:70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</row>
    <row r="338" spans="1:70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</row>
    <row r="339" spans="1:70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</row>
    <row r="340" spans="1:7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</row>
    <row r="341" spans="1:70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</row>
    <row r="342" spans="1:70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</row>
    <row r="343" spans="1:70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</row>
    <row r="344" spans="1:70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</row>
    <row r="345" spans="1:70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</row>
    <row r="346" spans="1:70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</row>
    <row r="347" spans="1:70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</row>
    <row r="348" spans="1:70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</row>
    <row r="349" spans="1:70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</row>
    <row r="350" spans="1:7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</row>
    <row r="351" spans="1:70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</row>
    <row r="352" spans="1:70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</row>
    <row r="353" spans="1:70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</row>
    <row r="354" spans="1:70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</row>
    <row r="355" spans="1:70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</row>
    <row r="356" spans="1:70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</row>
    <row r="357" spans="1:70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</row>
    <row r="358" spans="1:70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</row>
    <row r="359" spans="1:70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</row>
    <row r="360" spans="1:7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</row>
    <row r="361" spans="1:70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</row>
    <row r="362" spans="1:70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</row>
    <row r="363" spans="1:70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</row>
    <row r="364" spans="1:70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</row>
    <row r="365" spans="1:70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</row>
    <row r="366" spans="1:70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</row>
    <row r="367" spans="1:70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</row>
    <row r="368" spans="1:70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</row>
    <row r="369" spans="1:70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</row>
    <row r="370" spans="1: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</row>
    <row r="371" spans="1:70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</row>
    <row r="372" spans="1:70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</row>
    <row r="373" spans="1:70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</row>
    <row r="374" spans="1:70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</row>
    <row r="375" spans="1:70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</row>
    <row r="376" spans="1:70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</row>
    <row r="377" spans="1:70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</row>
    <row r="378" spans="1:70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</row>
    <row r="379" spans="1:70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</row>
    <row r="380" spans="1:7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</row>
    <row r="381" spans="1:70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</row>
    <row r="382" spans="1:70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</row>
    <row r="383" spans="1:70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</row>
    <row r="384" spans="1:70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</row>
    <row r="385" spans="1:70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</row>
    <row r="386" spans="1:70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</row>
    <row r="387" spans="1:70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</row>
    <row r="388" spans="1:70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</row>
    <row r="389" spans="1:70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</row>
    <row r="390" spans="1:7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</row>
    <row r="391" spans="1:70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</row>
    <row r="392" spans="1:70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</row>
    <row r="393" spans="1:70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</row>
    <row r="394" spans="1:70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</row>
    <row r="395" spans="1:70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</row>
    <row r="396" spans="1:70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</row>
    <row r="397" spans="1:70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</row>
    <row r="398" spans="1:70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</row>
    <row r="399" spans="1:70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</row>
    <row r="400" spans="1:7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</row>
    <row r="401" spans="1:70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</row>
    <row r="402" spans="1:70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</row>
    <row r="403" spans="1:70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</row>
    <row r="404" spans="1:70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</row>
    <row r="405" spans="1:70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</row>
    <row r="406" spans="1:70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</row>
    <row r="407" spans="1:70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</row>
    <row r="408" spans="1:70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</row>
    <row r="409" spans="1:70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</row>
    <row r="410" spans="1:7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</row>
    <row r="411" spans="1:70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</row>
    <row r="412" spans="1:70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</row>
    <row r="413" spans="1:70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</row>
    <row r="414" spans="1:70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</row>
    <row r="415" spans="1:70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</row>
    <row r="416" spans="1:70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</row>
    <row r="417" spans="1:70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</row>
    <row r="418" spans="1:70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</row>
    <row r="419" spans="1:70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</row>
    <row r="420" spans="1:7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</row>
    <row r="421" spans="1:70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</row>
    <row r="422" spans="1:70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</row>
    <row r="423" spans="1:70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</row>
    <row r="424" spans="1:70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</row>
    <row r="425" spans="1:70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</row>
    <row r="426" spans="1:70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</row>
    <row r="427" spans="1:70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</row>
    <row r="428" spans="1:70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</row>
    <row r="429" spans="1:70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</row>
    <row r="430" spans="1:7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</row>
    <row r="431" spans="1:70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</row>
    <row r="432" spans="1:70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</row>
    <row r="433" spans="1:70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</row>
    <row r="434" spans="1:70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</row>
    <row r="435" spans="1:70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</row>
    <row r="436" spans="1:70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</row>
    <row r="437" spans="1:70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</row>
    <row r="438" spans="1:70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</row>
    <row r="439" spans="1:70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</row>
    <row r="440" spans="1:7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</row>
    <row r="441" spans="1:70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</row>
    <row r="442" spans="1:70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</row>
    <row r="443" spans="1:70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</row>
    <row r="444" spans="1:70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</row>
    <row r="445" spans="1:70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</row>
    <row r="446" spans="1:70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</row>
    <row r="447" spans="1:70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</row>
    <row r="448" spans="1:70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</row>
    <row r="449" spans="1:70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</row>
    <row r="450" spans="1:7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</row>
    <row r="451" spans="1:70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</row>
    <row r="452" spans="1:70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</row>
    <row r="453" spans="1:70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</row>
    <row r="454" spans="1:70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</row>
    <row r="455" spans="1:70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</row>
    <row r="456" spans="1:70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</row>
    <row r="457" spans="1:70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</row>
    <row r="458" spans="1:70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</row>
    <row r="459" spans="1:70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</row>
    <row r="460" spans="1:7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</row>
    <row r="461" spans="1:70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</row>
    <row r="462" spans="1:70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</row>
    <row r="463" spans="1:70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</row>
    <row r="464" spans="1:70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</row>
    <row r="465" spans="1:70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</row>
    <row r="466" spans="1:70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</row>
    <row r="467" spans="1:70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</row>
    <row r="468" spans="1:70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</row>
    <row r="469" spans="1:70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</row>
    <row r="470" spans="1: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</row>
    <row r="471" spans="1:70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</row>
    <row r="472" spans="1:70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</row>
    <row r="473" spans="1:70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</row>
    <row r="474" spans="1:70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</row>
    <row r="475" spans="1:70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</row>
    <row r="476" spans="1:70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</row>
    <row r="477" spans="1:70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</row>
    <row r="478" spans="1:70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</row>
    <row r="479" spans="1:70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</row>
    <row r="480" spans="1:7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</row>
    <row r="481" spans="1:70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</row>
    <row r="482" spans="1:70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</row>
    <row r="483" spans="1:70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</row>
    <row r="484" spans="1:70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</row>
    <row r="485" spans="1:70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</row>
    <row r="486" spans="1:70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</row>
    <row r="487" spans="1:70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</row>
    <row r="488" spans="1:70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</row>
    <row r="489" spans="1:70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</row>
    <row r="490" spans="1:7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</row>
    <row r="491" spans="1:70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</row>
    <row r="492" spans="1:70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</row>
    <row r="493" spans="1:70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</row>
    <row r="494" spans="1:70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</row>
    <row r="495" spans="1:70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</row>
    <row r="496" spans="1:70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</row>
    <row r="497" spans="1:70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</row>
    <row r="498" spans="1:70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</row>
    <row r="499" spans="1:70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</row>
    <row r="500" spans="1:7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</row>
    <row r="501" spans="1:70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</row>
    <row r="502" spans="1:70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</row>
    <row r="503" spans="1:70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</row>
    <row r="504" spans="1:70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</row>
    <row r="505" spans="1:70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</row>
    <row r="506" spans="1:70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</row>
    <row r="507" spans="1:70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</row>
    <row r="508" spans="1:70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</row>
    <row r="509" spans="1:70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</row>
    <row r="510" spans="1:7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</row>
    <row r="511" spans="1:70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</row>
    <row r="512" spans="1:70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</row>
    <row r="513" spans="1:70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</row>
    <row r="514" spans="1:70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</row>
    <row r="515" spans="1:70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</row>
    <row r="516" spans="1:70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</row>
    <row r="517" spans="1:70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</row>
    <row r="518" spans="1:70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</row>
    <row r="519" spans="1:70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</row>
    <row r="520" spans="1:7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</row>
    <row r="521" spans="1:70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</row>
    <row r="522" spans="1:70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</row>
    <row r="523" spans="1:70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</row>
    <row r="524" spans="1:70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</row>
    <row r="525" spans="1:70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</row>
    <row r="526" spans="1:70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</row>
    <row r="527" spans="1:70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</row>
    <row r="528" spans="1:70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</row>
    <row r="529" spans="1:70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</row>
    <row r="530" spans="1:7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</row>
    <row r="531" spans="1:70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</row>
    <row r="532" spans="1:70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</row>
    <row r="533" spans="1:70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</row>
    <row r="534" spans="1:70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</row>
    <row r="535" spans="1:70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</row>
    <row r="536" spans="1:70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</row>
    <row r="537" spans="1:70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</row>
    <row r="538" spans="1:70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</row>
    <row r="539" spans="1:70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</row>
    <row r="540" spans="1:7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</row>
    <row r="541" spans="1:70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</row>
    <row r="542" spans="1:70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</row>
    <row r="543" spans="1:70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</row>
    <row r="544" spans="1:70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</row>
    <row r="545" spans="1:70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</row>
    <row r="546" spans="1:70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</row>
    <row r="547" spans="1:70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</row>
    <row r="548" spans="1:70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</row>
    <row r="549" spans="1:70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</row>
    <row r="550" spans="1:7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</row>
    <row r="551" spans="1:70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</row>
    <row r="552" spans="1:70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</row>
    <row r="553" spans="1:70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</row>
    <row r="554" spans="1:70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</row>
    <row r="555" spans="1:70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</row>
    <row r="556" spans="1:70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</row>
    <row r="557" spans="1:70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</row>
    <row r="558" spans="1:70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</row>
    <row r="559" spans="1:70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</row>
    <row r="560" spans="1:7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</row>
    <row r="561" spans="1:70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</row>
    <row r="562" spans="1:70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</row>
    <row r="563" spans="1:70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</row>
    <row r="564" spans="1:70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</row>
    <row r="565" spans="1:70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</row>
    <row r="566" spans="1:70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</row>
    <row r="567" spans="1:70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</row>
    <row r="568" spans="1:70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</row>
    <row r="569" spans="1:70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</row>
    <row r="570" spans="1: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</row>
    <row r="571" spans="1:70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</row>
    <row r="572" spans="1:70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</row>
    <row r="573" spans="1:70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</row>
    <row r="574" spans="1:70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</row>
    <row r="575" spans="1:70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</row>
    <row r="576" spans="1:70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</row>
    <row r="577" spans="1:70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</row>
    <row r="578" spans="1:70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</row>
    <row r="579" spans="1:70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</row>
    <row r="580" spans="1:7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</row>
    <row r="581" spans="1:70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</row>
    <row r="582" spans="1:70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</row>
    <row r="583" spans="1:70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</row>
    <row r="584" spans="1:70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</row>
    <row r="585" spans="1:70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</row>
    <row r="586" spans="1:70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</row>
    <row r="587" spans="1:70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</row>
    <row r="588" spans="1:70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</row>
    <row r="589" spans="1:70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</row>
    <row r="590" spans="1:7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</row>
    <row r="591" spans="1:70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</row>
    <row r="592" spans="1:70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</row>
    <row r="593" spans="1:70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</row>
    <row r="594" spans="1:70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</row>
    <row r="595" spans="1:70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</row>
    <row r="596" spans="1:70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</row>
    <row r="597" spans="1:70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</row>
    <row r="598" spans="1:70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</row>
    <row r="599" spans="1:70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</row>
    <row r="600" spans="1:7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</row>
    <row r="601" spans="1:70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</row>
    <row r="602" spans="1:70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</row>
    <row r="603" spans="1:70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</row>
    <row r="604" spans="1:70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</row>
    <row r="605" spans="1:70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</row>
    <row r="606" spans="1:70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</row>
    <row r="607" spans="1:70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</row>
    <row r="608" spans="1:70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</row>
    <row r="609" spans="1:70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</row>
    <row r="610" spans="1:7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</row>
    <row r="611" spans="1:70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</row>
    <row r="612" spans="1:70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</row>
    <row r="613" spans="1:70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</row>
    <row r="614" spans="1:70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</row>
    <row r="615" spans="1:70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</row>
    <row r="616" spans="1:70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</row>
    <row r="617" spans="1:70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</row>
    <row r="618" spans="1:70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</row>
    <row r="619" spans="1:70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</row>
    <row r="620" spans="1:7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</row>
    <row r="621" spans="1:70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</row>
    <row r="622" spans="1:70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</row>
    <row r="623" spans="1:70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</row>
    <row r="624" spans="1:70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</row>
    <row r="625" spans="1:70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</row>
    <row r="626" spans="1:70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</row>
    <row r="627" spans="1:70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</row>
    <row r="628" spans="1:70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</row>
    <row r="629" spans="1:70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</row>
    <row r="630" spans="1:7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</row>
    <row r="631" spans="1:70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</row>
    <row r="632" spans="1:70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</row>
    <row r="633" spans="1:70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</row>
    <row r="634" spans="1:70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</row>
    <row r="635" spans="1:70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</row>
    <row r="636" spans="1:70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</row>
    <row r="637" spans="1:70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</row>
    <row r="638" spans="1:70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</row>
    <row r="639" spans="1:70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</row>
    <row r="640" spans="1:7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</row>
    <row r="641" spans="1:70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</row>
    <row r="642" spans="1:70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</row>
    <row r="643" spans="1:70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</row>
    <row r="644" spans="1:70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</row>
    <row r="645" spans="1:70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</row>
    <row r="646" spans="1:70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</row>
    <row r="647" spans="1:70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</row>
    <row r="648" spans="1:70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</row>
    <row r="649" spans="1:70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</row>
    <row r="650" spans="1:7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</row>
    <row r="651" spans="1:70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</row>
    <row r="652" spans="1:70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</row>
    <row r="653" spans="1:70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</row>
    <row r="654" spans="1:70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</row>
    <row r="655" spans="1:70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</row>
    <row r="656" spans="1:70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</row>
    <row r="657" spans="1:70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</row>
    <row r="658" spans="1:70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</row>
    <row r="659" spans="1:70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</row>
    <row r="660" spans="1:7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</row>
    <row r="661" spans="1:70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</row>
    <row r="662" spans="1:70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</row>
    <row r="663" spans="1:70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</row>
    <row r="664" spans="1:70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</row>
    <row r="665" spans="1:70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</row>
    <row r="666" spans="1:70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</row>
    <row r="667" spans="1:70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</row>
    <row r="668" spans="1:70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</row>
    <row r="669" spans="1:70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</row>
    <row r="670" spans="1: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</row>
    <row r="671" spans="1:70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</row>
    <row r="672" spans="1:70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</row>
    <row r="673" spans="1:70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</row>
    <row r="674" spans="1:70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</row>
    <row r="675" spans="1:70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</row>
    <row r="676" spans="1:70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</row>
    <row r="677" spans="1:70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</row>
    <row r="678" spans="1:70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</row>
    <row r="679" spans="1:70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</row>
    <row r="680" spans="1:7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</row>
    <row r="681" spans="1:70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</row>
    <row r="682" spans="1:70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</row>
    <row r="683" spans="1:70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</row>
    <row r="684" spans="1:70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</row>
    <row r="685" spans="1:70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</row>
    <row r="686" spans="1:70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</row>
    <row r="687" spans="1:70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</row>
    <row r="688" spans="1:70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</row>
    <row r="689" spans="1:70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</row>
    <row r="690" spans="1:7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</row>
    <row r="691" spans="1:70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</row>
    <row r="692" spans="1:70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</row>
    <row r="693" spans="1:70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</row>
    <row r="694" spans="1:70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</row>
    <row r="695" spans="1:70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</row>
    <row r="696" spans="1:70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</row>
    <row r="697" spans="1:70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</row>
    <row r="698" spans="1:70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</row>
    <row r="699" spans="1:70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</row>
    <row r="700" spans="1:7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</row>
    <row r="701" spans="1:70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</row>
    <row r="702" spans="1:70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</row>
    <row r="703" spans="1:70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</row>
    <row r="704" spans="1:70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</row>
    <row r="705" spans="1:70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</row>
    <row r="706" spans="1:70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</row>
    <row r="707" spans="1:70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</row>
    <row r="708" spans="1:70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</row>
    <row r="709" spans="1:70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</row>
    <row r="710" spans="1:7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</row>
    <row r="711" spans="1:70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</row>
    <row r="712" spans="1:70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</row>
    <row r="713" spans="1:70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</row>
    <row r="714" spans="1:70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</row>
    <row r="715" spans="1:70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</row>
    <row r="716" spans="1:70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</row>
    <row r="717" spans="1:70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</row>
    <row r="718" spans="1:70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</row>
    <row r="719" spans="1:70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</row>
    <row r="720" spans="1:7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</row>
    <row r="721" spans="1:70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</row>
    <row r="722" spans="1:70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</row>
    <row r="723" spans="1:70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</row>
    <row r="724" spans="1:70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</row>
    <row r="725" spans="1:70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</row>
    <row r="726" spans="1:70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</row>
    <row r="727" spans="1:70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</row>
    <row r="728" spans="1:70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</row>
    <row r="729" spans="1:70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</row>
    <row r="730" spans="1:7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</row>
    <row r="731" spans="1:70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</row>
    <row r="732" spans="1:70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</row>
    <row r="733" spans="1:70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</row>
    <row r="734" spans="1:70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</row>
    <row r="735" spans="1:70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</row>
    <row r="736" spans="1:70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</row>
    <row r="737" spans="1:70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</row>
    <row r="738" spans="1:70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</row>
    <row r="739" spans="1:70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</row>
    <row r="740" spans="1:7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</row>
    <row r="741" spans="1:70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</row>
    <row r="742" spans="1:70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</row>
    <row r="743" spans="1:70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</row>
    <row r="744" spans="1:70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</row>
    <row r="745" spans="1:70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</row>
    <row r="746" spans="1:70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</row>
    <row r="747" spans="1:70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</row>
    <row r="748" spans="1:70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</row>
    <row r="749" spans="1:70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</row>
    <row r="750" spans="1:7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</row>
    <row r="751" spans="1:70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</row>
    <row r="752" spans="1:70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</row>
    <row r="753" spans="1:70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</row>
    <row r="754" spans="1:70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</row>
    <row r="755" spans="1:70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</row>
    <row r="756" spans="1:70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</row>
    <row r="757" spans="1:70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</row>
    <row r="758" spans="1:70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</row>
    <row r="759" spans="1:70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</row>
    <row r="760" spans="1:7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</row>
    <row r="761" spans="1:70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</row>
    <row r="762" spans="1:70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</row>
    <row r="763" spans="1:70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</row>
    <row r="764" spans="1:70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</row>
    <row r="765" spans="1:70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</row>
    <row r="766" spans="1:70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</row>
    <row r="767" spans="1:70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</row>
    <row r="768" spans="1:70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</row>
    <row r="769" spans="1:70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</row>
    <row r="770" spans="1: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</row>
    <row r="771" spans="1:70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</row>
    <row r="772" spans="1:70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</row>
    <row r="773" spans="1:70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</row>
    <row r="774" spans="1:70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</row>
    <row r="775" spans="1:70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</row>
    <row r="776" spans="1:70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</row>
    <row r="777" spans="1:70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</row>
    <row r="778" spans="1:70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</row>
    <row r="779" spans="1:70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</row>
    <row r="780" spans="1:7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</row>
    <row r="781" spans="1:70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</row>
    <row r="782" spans="1:70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</row>
    <row r="783" spans="1:70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</row>
    <row r="784" spans="1:70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</row>
    <row r="785" spans="1:70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</row>
    <row r="786" spans="1:70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</row>
    <row r="787" spans="1:70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</row>
    <row r="788" spans="1:70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</row>
    <row r="789" spans="1:70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</row>
    <row r="790" spans="1:7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</row>
    <row r="791" spans="1:70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</row>
    <row r="792" spans="1:70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</row>
    <row r="793" spans="1:70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</row>
    <row r="794" spans="1:70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</row>
    <row r="795" spans="1:70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</row>
    <row r="796" spans="1:70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</row>
    <row r="797" spans="1:70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</row>
    <row r="798" spans="1:70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</row>
    <row r="799" spans="1:70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</row>
    <row r="800" spans="1:7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</row>
    <row r="801" spans="1:70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</row>
    <row r="802" spans="1:70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</row>
    <row r="803" spans="1:70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</row>
    <row r="804" spans="1:70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</row>
    <row r="805" spans="1:70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</row>
    <row r="806" spans="1:70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</row>
    <row r="807" spans="1:70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</row>
    <row r="808" spans="1:70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</row>
    <row r="809" spans="1:70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</row>
    <row r="810" spans="1:7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</row>
    <row r="811" spans="1:70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</row>
    <row r="812" spans="1:70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</row>
    <row r="813" spans="1:70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</row>
    <row r="814" spans="1:70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</row>
    <row r="815" spans="1:70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</row>
    <row r="816" spans="1:70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</row>
    <row r="817" spans="1:70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</row>
    <row r="818" spans="1:70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</row>
    <row r="819" spans="1:70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</row>
    <row r="820" spans="1:7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</row>
    <row r="821" spans="1:70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</row>
    <row r="822" spans="1:70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</row>
    <row r="823" spans="1:70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</row>
    <row r="824" spans="1:70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</row>
    <row r="825" spans="1:70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</row>
    <row r="826" spans="1:70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</row>
    <row r="827" spans="1:70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</row>
    <row r="828" spans="1:70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</row>
    <row r="829" spans="1:70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</row>
    <row r="830" spans="1:7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</row>
    <row r="831" spans="1:70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</row>
    <row r="832" spans="1:70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</row>
    <row r="833" spans="1:70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</row>
    <row r="834" spans="1:70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</row>
    <row r="835" spans="1:70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</row>
    <row r="836" spans="1:70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</row>
    <row r="837" spans="1:70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</row>
    <row r="838" spans="1:70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</row>
    <row r="839" spans="1:70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</row>
    <row r="840" spans="1:7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</row>
    <row r="841" spans="1:70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</row>
    <row r="842" spans="1:70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</row>
    <row r="843" spans="1:70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</row>
    <row r="844" spans="1:70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</row>
    <row r="845" spans="1:70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</row>
    <row r="846" spans="1:70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</row>
    <row r="847" spans="1:70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</row>
    <row r="848" spans="1:70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</row>
    <row r="849" spans="1:70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</row>
    <row r="850" spans="1:7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</row>
    <row r="851" spans="1:70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</row>
    <row r="852" spans="1:70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</row>
    <row r="853" spans="1:70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</row>
    <row r="854" spans="1:70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</row>
    <row r="855" spans="1:70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</row>
    <row r="856" spans="1:70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</row>
    <row r="857" spans="1:70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</row>
    <row r="858" spans="1:70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</row>
    <row r="859" spans="1:70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</row>
    <row r="860" spans="1:7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</row>
    <row r="861" spans="1:70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</row>
    <row r="862" spans="1:70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</row>
    <row r="863" spans="1:70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</row>
    <row r="864" spans="1:70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</row>
    <row r="865" spans="1:70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</row>
    <row r="866" spans="1:70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</row>
    <row r="867" spans="1:70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</row>
    <row r="868" spans="1:70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</row>
    <row r="869" spans="1:70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</row>
    <row r="870" spans="1: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</row>
    <row r="871" spans="1:70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</row>
    <row r="872" spans="1:70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</row>
    <row r="873" spans="1:70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</row>
    <row r="874" spans="1:70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</row>
    <row r="875" spans="1:70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</row>
    <row r="876" spans="1:70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</row>
    <row r="877" spans="1:70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</row>
    <row r="878" spans="1:70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</row>
    <row r="879" spans="1:70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</row>
    <row r="880" spans="1:7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</row>
    <row r="881" spans="1:70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</row>
    <row r="882" spans="1:70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</row>
    <row r="883" spans="1:70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</row>
    <row r="884" spans="1:70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</row>
    <row r="885" spans="1:70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</row>
    <row r="886" spans="1:70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</row>
    <row r="887" spans="1:70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</row>
    <row r="888" spans="1:70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</row>
    <row r="889" spans="1:70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</row>
    <row r="890" spans="1:7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</row>
    <row r="891" spans="1:70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</row>
    <row r="892" spans="1:70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</row>
    <row r="893" spans="1:70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</row>
    <row r="894" spans="1:70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</row>
    <row r="895" spans="1:70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</row>
    <row r="896" spans="1:70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</row>
    <row r="897" spans="1:70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</row>
    <row r="898" spans="1:70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</row>
    <row r="899" spans="1:70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</row>
    <row r="900" spans="1:7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</row>
    <row r="901" spans="1:70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</row>
    <row r="902" spans="1:70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</row>
    <row r="903" spans="1:70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</row>
    <row r="904" spans="1:70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</row>
    <row r="905" spans="1:70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</row>
    <row r="906" spans="1:70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</row>
    <row r="907" spans="1:70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</row>
    <row r="908" spans="1:70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</row>
    <row r="909" spans="1:70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</row>
    <row r="910" spans="1:7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</row>
    <row r="911" spans="1:70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</row>
    <row r="912" spans="1:70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</row>
    <row r="913" spans="1:70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</row>
    <row r="914" spans="1:70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</row>
    <row r="915" spans="1:70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</row>
    <row r="916" spans="1:70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</row>
    <row r="917" spans="1:70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</row>
    <row r="918" spans="1:70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</row>
    <row r="919" spans="1:70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</row>
    <row r="920" spans="1:7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</row>
    <row r="921" spans="1:70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</row>
    <row r="922" spans="1:70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</row>
    <row r="923" spans="1:70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</row>
    <row r="924" spans="1:70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</row>
    <row r="925" spans="1:70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</row>
    <row r="926" spans="1:70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</row>
    <row r="927" spans="1:70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</row>
    <row r="928" spans="1:70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</row>
    <row r="929" spans="1:70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</row>
    <row r="930" spans="1:7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</row>
    <row r="931" spans="1:70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</row>
    <row r="932" spans="1:70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</row>
    <row r="933" spans="1:70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</row>
    <row r="934" spans="1:70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</row>
    <row r="935" spans="1:70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</row>
    <row r="936" spans="1:70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</row>
    <row r="937" spans="1:70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</row>
    <row r="938" spans="1:70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</row>
    <row r="939" spans="1:70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</row>
    <row r="940" spans="1:7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</row>
    <row r="941" spans="1:70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</row>
    <row r="942" spans="1:70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</row>
    <row r="943" spans="1:70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</row>
    <row r="944" spans="1:70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</row>
    <row r="945" spans="1:70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</row>
    <row r="946" spans="1:70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</row>
    <row r="947" spans="1:70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</row>
    <row r="948" spans="1:70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</row>
    <row r="949" spans="1:70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</row>
    <row r="950" spans="1:7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</row>
    <row r="951" spans="1:70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</row>
    <row r="952" spans="1:70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</row>
    <row r="953" spans="1:70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</row>
    <row r="954" spans="1:70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</row>
    <row r="955" spans="1:70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</row>
    <row r="956" spans="1:70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</row>
    <row r="957" spans="1:70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</row>
    <row r="958" spans="1:70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</row>
    <row r="959" spans="1:70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</row>
    <row r="960" spans="1:7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</row>
    <row r="961" spans="1:70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</row>
    <row r="962" spans="1:70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</row>
    <row r="963" spans="1:70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</row>
    <row r="964" spans="1:70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</row>
    <row r="965" spans="1:70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</row>
    <row r="966" spans="1:70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</row>
    <row r="967" spans="1:70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</row>
    <row r="968" spans="1:70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</row>
    <row r="969" spans="1:70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</row>
    <row r="970" spans="1: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</row>
    <row r="971" spans="1:70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</row>
    <row r="972" spans="1:70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</row>
    <row r="973" spans="1:70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</row>
    <row r="974" spans="1:70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</row>
    <row r="975" spans="1:70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</row>
    <row r="976" spans="1:70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</row>
    <row r="977" spans="1:70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</row>
    <row r="978" spans="1:70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</row>
    <row r="979" spans="1:70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</row>
    <row r="980" spans="1:7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</row>
    <row r="981" spans="1:70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</row>
    <row r="982" spans="1:70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</row>
    <row r="983" spans="1:70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</row>
    <row r="984" spans="1:70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</row>
    <row r="985" spans="1:70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</row>
    <row r="986" spans="1:70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</row>
    <row r="987" spans="1:70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</row>
    <row r="988" spans="1:70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</row>
    <row r="989" spans="1:70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</row>
    <row r="990" spans="1:7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</row>
    <row r="991" spans="1:70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</row>
    <row r="992" spans="1:70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</row>
    <row r="993" spans="1:70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</row>
    <row r="994" spans="1:70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</row>
    <row r="995" spans="1:70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</row>
    <row r="996" spans="1:70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</row>
    <row r="997" spans="1:70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</row>
    <row r="998" spans="1:70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</row>
    <row r="999" spans="1:70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</row>
    <row r="1000" spans="1:7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</row>
    <row r="1001" spans="1:70" ht="15.75" customHeight="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  <c r="BR1001" s="84"/>
    </row>
    <row r="1002" spans="1:70" ht="15.75" customHeight="1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  <c r="BR1002" s="84"/>
    </row>
  </sheetData>
  <mergeCells count="16">
    <mergeCell ref="P12:U12"/>
    <mergeCell ref="V12:AA12"/>
    <mergeCell ref="BG14:BR14"/>
    <mergeCell ref="C1:I1"/>
    <mergeCell ref="AU1:BG1"/>
    <mergeCell ref="A11:C13"/>
    <mergeCell ref="AB11:AS11"/>
    <mergeCell ref="AU11:BR11"/>
    <mergeCell ref="D12:I12"/>
    <mergeCell ref="J12:O12"/>
    <mergeCell ref="BG12:BR12"/>
    <mergeCell ref="AB12:AG12"/>
    <mergeCell ref="AH12:AM12"/>
    <mergeCell ref="AN12:AS12"/>
    <mergeCell ref="AU12:BF12"/>
    <mergeCell ref="AN14:AS14"/>
  </mergeCells>
  <pageMargins left="0.7" right="0.7" top="0.75" bottom="0.75" header="0" footer="0"/>
  <pageSetup scale="22" orientation="landscape" r:id="rId1"/>
  <headerFooter>
    <oddHeader>&amp;L&amp;12
Department of CSE, ULAB&amp;C&amp;12
CO_POAttainmentAnalysis&amp;R&amp;12
CSE004(00)</oddHeader>
    <oddFooter>&amp;LGenerated on &amp;D &amp;T&amp;RCSE004(00) Page &amp;P of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showGridLines="0" tabSelected="1" topLeftCell="A18" workbookViewId="0">
      <selection sqref="A1:D35"/>
    </sheetView>
  </sheetViews>
  <sheetFormatPr defaultColWidth="14.42578125" defaultRowHeight="15" customHeight="1"/>
  <cols>
    <col min="1" max="1" width="24.42578125" customWidth="1"/>
    <col min="2" max="2" width="32" customWidth="1"/>
    <col min="3" max="3" width="22.7109375" customWidth="1"/>
    <col min="4" max="4" width="16.85546875" customWidth="1"/>
    <col min="5" max="24" width="9.140625" customWidth="1"/>
  </cols>
  <sheetData>
    <row r="1" spans="1:24" ht="35.25" customHeight="1">
      <c r="A1" s="251" t="s">
        <v>146</v>
      </c>
      <c r="B1" s="242"/>
      <c r="C1" s="242"/>
      <c r="D1" s="243"/>
      <c r="E1" s="149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</row>
    <row r="2" spans="1:24" ht="16.5">
      <c r="A2" s="151" t="s">
        <v>0</v>
      </c>
      <c r="B2" s="152" t="str">
        <f>GradeSheet!$H$2</f>
        <v>CSE</v>
      </c>
      <c r="C2" s="153" t="s">
        <v>2</v>
      </c>
      <c r="D2" s="154">
        <f>GradeSheet!$L$2</f>
        <v>1</v>
      </c>
      <c r="E2" s="149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</row>
    <row r="3" spans="1:24" ht="16.5" customHeight="1">
      <c r="A3" s="151" t="s">
        <v>3</v>
      </c>
      <c r="B3" s="152" t="str">
        <f>GradeSheet!$H$3</f>
        <v>Operating Systems</v>
      </c>
      <c r="C3" s="155" t="s">
        <v>5</v>
      </c>
      <c r="D3" s="156" t="str">
        <f>GradeSheet!$L$3</f>
        <v>Spring 2025</v>
      </c>
      <c r="E3" s="149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</row>
    <row r="4" spans="1:24" ht="16.5">
      <c r="A4" s="151" t="s">
        <v>7</v>
      </c>
      <c r="B4" s="157">
        <f>GradeSheet!$H$4</f>
        <v>3</v>
      </c>
      <c r="C4" s="158" t="s">
        <v>147</v>
      </c>
      <c r="D4" s="159">
        <f>GradeSheet!$H$76</f>
        <v>0</v>
      </c>
      <c r="E4" s="149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</row>
    <row r="5" spans="1:24" ht="16.5">
      <c r="A5" s="149"/>
      <c r="B5" s="149"/>
      <c r="C5" s="149"/>
      <c r="D5" s="149"/>
      <c r="E5" s="149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</row>
    <row r="6" spans="1:24" ht="16.5">
      <c r="A6" s="252" t="s">
        <v>148</v>
      </c>
      <c r="B6" s="253"/>
      <c r="C6" s="160" t="s">
        <v>149</v>
      </c>
      <c r="D6" s="161" t="s">
        <v>140</v>
      </c>
      <c r="E6" s="149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</row>
    <row r="7" spans="1:24" ht="16.5">
      <c r="A7" s="249" t="s">
        <v>114</v>
      </c>
      <c r="B7" s="250"/>
      <c r="C7" s="254" t="s">
        <v>150</v>
      </c>
      <c r="D7" s="162">
        <f ca="1">CO_PO_AttainmentAnalysis!AN67/(GradeSheet!H76-GradeSheet!H75-GradeSheet!H74)</f>
        <v>0</v>
      </c>
      <c r="E7" s="149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</row>
    <row r="8" spans="1:24" ht="16.5">
      <c r="A8" s="252" t="s">
        <v>115</v>
      </c>
      <c r="B8" s="242"/>
      <c r="C8" s="255"/>
      <c r="D8" s="162">
        <f ca="1">CO_PO_AttainmentAnalysis!$AO$67/(GradeSheet!H76-GradeSheet!H75-GradeSheet!H74)</f>
        <v>0</v>
      </c>
      <c r="E8" s="149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</row>
    <row r="9" spans="1:24" ht="16.5">
      <c r="A9" s="249" t="s">
        <v>116</v>
      </c>
      <c r="B9" s="250"/>
      <c r="C9" s="255"/>
      <c r="D9" s="162">
        <f ca="1">CO_PO_AttainmentAnalysis!$AP$67/(GradeSheet!H76-GradeSheet!H75-GradeSheet!H74)</f>
        <v>0</v>
      </c>
      <c r="E9" s="149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</row>
    <row r="10" spans="1:24" ht="16.5">
      <c r="A10" s="249" t="s">
        <v>117</v>
      </c>
      <c r="B10" s="250"/>
      <c r="C10" s="255"/>
      <c r="D10" s="162">
        <f ca="1">CO_PO_AttainmentAnalysis!$AQ$67/(GradeSheet!H76-GradeSheet!H75-GradeSheet!H74)</f>
        <v>0</v>
      </c>
      <c r="E10" s="149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</row>
    <row r="11" spans="1:24" ht="16.5">
      <c r="A11" s="249" t="s">
        <v>118</v>
      </c>
      <c r="B11" s="250"/>
      <c r="C11" s="255"/>
      <c r="D11" s="162">
        <f ca="1">CO_PO_AttainmentAnalysis!$AR$67/(GradeSheet!H76-GradeSheet!H75-GradeSheet!H74)</f>
        <v>0</v>
      </c>
      <c r="E11" s="149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</row>
    <row r="12" spans="1:24" ht="16.5">
      <c r="A12" s="249" t="s">
        <v>119</v>
      </c>
      <c r="B12" s="250"/>
      <c r="C12" s="256"/>
      <c r="D12" s="162">
        <f ca="1">CO_PO_AttainmentAnalysis!$AS$67/(GradeSheet!H76-GradeSheet!H75-GradeSheet!H74)</f>
        <v>0</v>
      </c>
      <c r="E12" s="149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</row>
    <row r="13" spans="1:24" ht="16.5">
      <c r="A13" s="149"/>
      <c r="B13" s="149"/>
      <c r="C13" s="149"/>
      <c r="D13" s="149"/>
      <c r="E13" s="149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</row>
    <row r="14" spans="1:24" ht="27" customHeight="1">
      <c r="A14" s="259" t="s">
        <v>151</v>
      </c>
      <c r="B14" s="209"/>
      <c r="C14" s="209"/>
      <c r="D14" s="209"/>
      <c r="E14" s="149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</row>
    <row r="15" spans="1:24" ht="15.75">
      <c r="A15" s="260"/>
      <c r="B15" s="188"/>
      <c r="C15" s="188"/>
      <c r="D15" s="189"/>
      <c r="E15" s="163"/>
      <c r="F15" s="164"/>
      <c r="G15" s="164"/>
      <c r="H15" s="164"/>
      <c r="I15" s="164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</row>
    <row r="16" spans="1:24" ht="16.5" customHeight="1">
      <c r="A16" s="261" t="s">
        <v>152</v>
      </c>
      <c r="B16" s="188"/>
      <c r="C16" s="188"/>
      <c r="D16" s="189"/>
      <c r="E16" s="163"/>
      <c r="F16" s="164"/>
      <c r="G16" s="164"/>
      <c r="H16" s="164"/>
      <c r="I16" s="164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</row>
    <row r="17" spans="1:24" ht="15.75">
      <c r="A17" s="262" t="s">
        <v>153</v>
      </c>
      <c r="B17" s="188"/>
      <c r="C17" s="188"/>
      <c r="D17" s="189"/>
      <c r="E17" s="163"/>
      <c r="F17" s="164"/>
      <c r="G17" s="164"/>
      <c r="H17" s="164"/>
      <c r="I17" s="164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</row>
    <row r="18" spans="1:24" ht="15.75">
      <c r="A18" s="262" t="s">
        <v>154</v>
      </c>
      <c r="B18" s="188"/>
      <c r="C18" s="188"/>
      <c r="D18" s="189"/>
      <c r="E18" s="163"/>
      <c r="F18" s="164"/>
      <c r="G18" s="164"/>
      <c r="H18" s="164"/>
      <c r="I18" s="164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</row>
    <row r="19" spans="1:24" ht="15.75">
      <c r="A19" s="257"/>
      <c r="B19" s="188"/>
      <c r="C19" s="188"/>
      <c r="D19" s="189"/>
      <c r="E19" s="163"/>
      <c r="F19" s="164"/>
      <c r="G19" s="164"/>
      <c r="H19" s="164"/>
      <c r="I19" s="164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</row>
    <row r="20" spans="1:24" ht="15.75">
      <c r="A20" s="257"/>
      <c r="B20" s="188"/>
      <c r="C20" s="188"/>
      <c r="D20" s="189"/>
      <c r="E20" s="163"/>
      <c r="F20" s="164"/>
      <c r="G20" s="164"/>
      <c r="H20" s="164"/>
      <c r="I20" s="164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</row>
    <row r="21" spans="1:24" ht="15.75" customHeight="1">
      <c r="A21" s="165"/>
      <c r="B21" s="166"/>
      <c r="C21" s="166"/>
      <c r="D21" s="167"/>
      <c r="E21" s="163"/>
      <c r="F21" s="164"/>
      <c r="G21" s="164"/>
      <c r="H21" s="164"/>
      <c r="I21" s="164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</row>
    <row r="22" spans="1:24" ht="15.75" customHeight="1">
      <c r="A22" s="257"/>
      <c r="B22" s="188"/>
      <c r="C22" s="188"/>
      <c r="D22" s="189"/>
      <c r="E22" s="163"/>
      <c r="F22" s="164"/>
      <c r="G22" s="164"/>
      <c r="H22" s="164"/>
      <c r="I22" s="164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</row>
    <row r="23" spans="1:24" ht="15.75" customHeight="1">
      <c r="A23" s="258"/>
      <c r="B23" s="188"/>
      <c r="C23" s="188"/>
      <c r="D23" s="189"/>
      <c r="E23" s="149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</row>
    <row r="24" spans="1:24" ht="15.75" customHeight="1">
      <c r="A24" s="258"/>
      <c r="B24" s="188"/>
      <c r="C24" s="188"/>
      <c r="D24" s="189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</row>
    <row r="25" spans="1:24" ht="15.75" customHeight="1">
      <c r="A25" s="258"/>
      <c r="B25" s="188"/>
      <c r="C25" s="188"/>
      <c r="D25" s="189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</row>
    <row r="26" spans="1:24" ht="15.75" customHeight="1">
      <c r="A26" s="150"/>
      <c r="B26" s="150"/>
      <c r="C26" s="150"/>
      <c r="D26" s="168" t="s">
        <v>155</v>
      </c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</row>
    <row r="27" spans="1:24" ht="15.75" customHeight="1">
      <c r="A27" s="150"/>
      <c r="B27" s="150"/>
      <c r="C27" s="150"/>
      <c r="D27" s="168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</row>
    <row r="28" spans="1:24" ht="15.75" customHeight="1">
      <c r="A28" s="150"/>
      <c r="B28" s="150"/>
      <c r="C28" s="150"/>
      <c r="D28" s="168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</row>
    <row r="29" spans="1:24" ht="15.75" customHeight="1">
      <c r="A29" s="150"/>
      <c r="B29" s="150"/>
      <c r="C29" s="150"/>
      <c r="D29" s="168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</row>
    <row r="30" spans="1:24" ht="15.75" customHeight="1">
      <c r="A30" s="150"/>
      <c r="B30" s="150"/>
      <c r="C30" s="150"/>
      <c r="D30" s="168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</row>
    <row r="31" spans="1:24" ht="15.75" customHeight="1">
      <c r="A31" s="150"/>
      <c r="B31" s="150"/>
      <c r="C31" s="150"/>
      <c r="D31" s="168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</row>
    <row r="32" spans="1:24" ht="15.75" customHeight="1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</row>
    <row r="33" spans="1:24" ht="15.75" customHeight="1">
      <c r="A33" s="169" t="s">
        <v>156</v>
      </c>
      <c r="B33" s="17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</row>
    <row r="34" spans="1:24" ht="15.75" customHeight="1">
      <c r="A34" s="169" t="s">
        <v>157</v>
      </c>
      <c r="B34" s="171" t="str">
        <f>GradeSheet!$H$5</f>
        <v>Rubaiya Hafiz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</row>
    <row r="35" spans="1:24" ht="15.75" customHeight="1">
      <c r="A35" s="169" t="s">
        <v>158</v>
      </c>
      <c r="B35" s="172">
        <f ca="1">TODAY()</f>
        <v>46231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</row>
    <row r="36" spans="1:24" ht="15.75" customHeight="1">
      <c r="A36" s="169"/>
      <c r="B36" s="172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</row>
    <row r="37" spans="1:24" ht="15.75" customHeight="1">
      <c r="A37" s="173"/>
      <c r="B37" s="57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</row>
    <row r="38" spans="1:24" ht="15.75" customHeight="1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</row>
    <row r="39" spans="1:24" ht="15.75" customHeight="1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</row>
    <row r="40" spans="1:24" ht="15.75" customHeight="1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</row>
    <row r="41" spans="1:24" ht="15.75" customHeight="1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</row>
    <row r="42" spans="1:24" ht="15.75" customHeight="1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</row>
    <row r="43" spans="1:24" ht="15.75" customHeight="1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</row>
    <row r="44" spans="1:24" ht="15.75" customHeight="1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</row>
    <row r="45" spans="1:24" ht="15.75" customHeight="1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</row>
    <row r="46" spans="1:24" ht="15.75" customHeight="1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</row>
    <row r="47" spans="1:24" ht="15.75" customHeight="1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</row>
    <row r="48" spans="1:24" ht="15.75" customHeight="1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</row>
    <row r="49" spans="1:24" ht="15.75" customHeight="1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</row>
    <row r="50" spans="1:24" ht="15.75" customHeight="1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</row>
    <row r="51" spans="1:24" ht="15.75" customHeight="1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</row>
    <row r="52" spans="1:24" ht="15.75" customHeight="1">
      <c r="A52" s="150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</row>
    <row r="53" spans="1:24" ht="15.75" customHeight="1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</row>
    <row r="54" spans="1:24" ht="15.75" customHeight="1">
      <c r="A54" s="150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</row>
    <row r="55" spans="1:24" ht="15.75" customHeight="1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</row>
    <row r="56" spans="1:24" ht="15.75" customHeight="1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</row>
    <row r="57" spans="1:24" ht="15.75" customHeight="1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</row>
    <row r="58" spans="1:24" ht="15.75" customHeight="1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</row>
    <row r="59" spans="1:24" ht="15.75" customHeight="1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</row>
    <row r="60" spans="1:24" ht="15.75" customHeight="1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</row>
    <row r="61" spans="1:24" ht="15.75" customHeight="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</row>
    <row r="62" spans="1:24" ht="15.75" customHeight="1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</row>
    <row r="63" spans="1:24" ht="15.75" customHeight="1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</row>
    <row r="64" spans="1:24" ht="15.75" customHeight="1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</row>
    <row r="65" spans="1:24" ht="15.75" customHeight="1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</row>
    <row r="66" spans="1:24" ht="15.75" customHeight="1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</row>
    <row r="67" spans="1:24" ht="15.75" customHeight="1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</row>
    <row r="68" spans="1:24" ht="15.75" customHeight="1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</row>
    <row r="69" spans="1:24" ht="15.75" customHeight="1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</row>
    <row r="70" spans="1:24" ht="15.75" customHeight="1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</row>
    <row r="71" spans="1:24" ht="15.75" customHeight="1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</row>
    <row r="72" spans="1:24" ht="15.75" customHeight="1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</row>
    <row r="73" spans="1:24" ht="15.75" customHeight="1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</row>
    <row r="74" spans="1:24" ht="15.75" customHeight="1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</row>
    <row r="75" spans="1:24" ht="15.75" customHeight="1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</row>
    <row r="76" spans="1:24" ht="15.75" customHeight="1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</row>
    <row r="77" spans="1:24" ht="15.75" customHeight="1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</row>
    <row r="78" spans="1:24" ht="15.75" customHeight="1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</row>
    <row r="79" spans="1:24" ht="15.75" customHeight="1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</row>
    <row r="80" spans="1:24" ht="15.75" customHeight="1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</row>
    <row r="81" spans="1:24" ht="15.75" customHeight="1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</row>
    <row r="82" spans="1:24" ht="15.75" customHeight="1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</row>
    <row r="83" spans="1:24" ht="15.75" customHeight="1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</row>
    <row r="84" spans="1:24" ht="15.75" customHeight="1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</row>
    <row r="85" spans="1:24" ht="15.75" customHeight="1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</row>
    <row r="86" spans="1:24" ht="15.75" customHeight="1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</row>
    <row r="87" spans="1:24" ht="15.75" customHeight="1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</row>
    <row r="88" spans="1:24" ht="15.75" customHeight="1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</row>
    <row r="89" spans="1:24" ht="15.75" customHeight="1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</row>
    <row r="90" spans="1:24" ht="15.75" customHeight="1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</row>
    <row r="91" spans="1:24" ht="15.75" customHeight="1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</row>
    <row r="92" spans="1:24" ht="15.75" customHeight="1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</row>
    <row r="93" spans="1:24" ht="15.75" customHeight="1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</row>
    <row r="94" spans="1:24" ht="15.75" customHeight="1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</row>
    <row r="95" spans="1:24" ht="15.75" customHeight="1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</row>
    <row r="96" spans="1:24" ht="15.75" customHeight="1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</row>
    <row r="97" spans="1:24" ht="15.75" customHeight="1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</row>
    <row r="98" spans="1:24" ht="15.75" customHeight="1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</row>
    <row r="99" spans="1:24" ht="15.75" customHeight="1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</row>
    <row r="100" spans="1:24" ht="15.75" customHeight="1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</row>
    <row r="101" spans="1:24" ht="15.75" customHeight="1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</row>
    <row r="102" spans="1:24" ht="15.75" customHeight="1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</row>
    <row r="103" spans="1:24" ht="15.75" customHeight="1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</row>
    <row r="104" spans="1:24" ht="15.75" customHeight="1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</row>
    <row r="105" spans="1:24" ht="15.75" customHeight="1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</row>
    <row r="106" spans="1:24" ht="15.75" customHeight="1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</row>
    <row r="107" spans="1:24" ht="15.75" customHeight="1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</row>
    <row r="108" spans="1:24" ht="15.75" customHeight="1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</row>
    <row r="109" spans="1:24" ht="15.75" customHeight="1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</row>
    <row r="110" spans="1:24" ht="15.75" customHeight="1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</row>
    <row r="111" spans="1:24" ht="15.75" customHeight="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</row>
    <row r="112" spans="1:24" ht="15.75" customHeight="1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</row>
    <row r="113" spans="1:24" ht="15.75" customHeight="1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</row>
    <row r="114" spans="1:24" ht="15.75" customHeight="1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</row>
    <row r="115" spans="1:24" ht="15.75" customHeight="1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</row>
    <row r="116" spans="1:24" ht="15.75" customHeight="1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</row>
    <row r="117" spans="1:24" ht="15.75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</row>
    <row r="118" spans="1:24" ht="15.75" customHeight="1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</row>
    <row r="119" spans="1:24" ht="15.75" customHeight="1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</row>
    <row r="120" spans="1:24" ht="15.75" customHeight="1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</row>
    <row r="121" spans="1:24" ht="15.75" customHeight="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</row>
    <row r="122" spans="1:24" ht="15.75" customHeight="1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</row>
    <row r="123" spans="1:24" ht="15.75" customHeight="1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</row>
    <row r="124" spans="1:24" ht="15.75" customHeight="1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</row>
    <row r="125" spans="1:24" ht="15.75" customHeight="1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</row>
    <row r="126" spans="1:24" ht="15.75" customHeight="1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</row>
    <row r="127" spans="1:24" ht="15.75" customHeight="1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</row>
    <row r="128" spans="1:24" ht="15.75" customHeight="1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</row>
    <row r="129" spans="1:24" ht="15.75" customHeight="1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</row>
    <row r="130" spans="1:24" ht="15.75" customHeight="1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</row>
    <row r="131" spans="1:24" ht="15.75" customHeight="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</row>
    <row r="132" spans="1:24" ht="15.75" customHeight="1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</row>
    <row r="133" spans="1:24" ht="15.75" customHeight="1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</row>
    <row r="134" spans="1:24" ht="15.75" customHeight="1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</row>
    <row r="135" spans="1:24" ht="15.75" customHeight="1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</row>
    <row r="136" spans="1:24" ht="15.75" customHeight="1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</row>
    <row r="137" spans="1:24" ht="15.75" customHeight="1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</row>
    <row r="138" spans="1:24" ht="15.75" customHeight="1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</row>
    <row r="139" spans="1:24" ht="15.75" customHeight="1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</row>
    <row r="140" spans="1:24" ht="15.75" customHeight="1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</row>
    <row r="141" spans="1:24" ht="15.75" customHeight="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</row>
    <row r="142" spans="1:24" ht="15.75" customHeight="1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</row>
    <row r="143" spans="1:24" ht="15.75" customHeight="1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</row>
    <row r="144" spans="1:24" ht="15.75" customHeight="1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</row>
    <row r="145" spans="1:24" ht="15.75" customHeight="1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</row>
    <row r="146" spans="1:24" ht="15.75" customHeight="1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</row>
    <row r="147" spans="1:24" ht="15.75" customHeight="1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</row>
    <row r="148" spans="1:24" ht="15.75" customHeight="1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</row>
    <row r="149" spans="1:24" ht="15.75" customHeight="1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</row>
    <row r="150" spans="1:24" ht="15.75" customHeight="1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</row>
    <row r="151" spans="1:24" ht="15.75" customHeight="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</row>
    <row r="152" spans="1:24" ht="15.75" customHeight="1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</row>
    <row r="153" spans="1:24" ht="15.75" customHeight="1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</row>
    <row r="154" spans="1:24" ht="15.75" customHeight="1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</row>
    <row r="155" spans="1:24" ht="15.75" customHeight="1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</row>
    <row r="156" spans="1:24" ht="15.75" customHeight="1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</row>
    <row r="157" spans="1:24" ht="15.75" customHeight="1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</row>
    <row r="158" spans="1:24" ht="15.75" customHeight="1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</row>
    <row r="159" spans="1:24" ht="15.75" customHeight="1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</row>
    <row r="160" spans="1:24" ht="15.75" customHeight="1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</row>
    <row r="161" spans="1:24" ht="15.75" customHeight="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</row>
    <row r="162" spans="1:24" ht="15.75" customHeight="1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</row>
    <row r="163" spans="1:24" ht="15.75" customHeight="1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</row>
    <row r="164" spans="1:24" ht="15.75" customHeight="1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</row>
    <row r="165" spans="1:24" ht="15.75" customHeight="1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</row>
    <row r="166" spans="1:24" ht="15.75" customHeight="1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</row>
    <row r="167" spans="1:24" ht="15.75" customHeight="1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</row>
    <row r="168" spans="1:24" ht="15.75" customHeight="1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</row>
    <row r="169" spans="1:24" ht="15.75" customHeight="1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</row>
    <row r="170" spans="1:24" ht="15.75" customHeight="1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</row>
    <row r="171" spans="1:24" ht="15.75" customHeight="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</row>
    <row r="172" spans="1:24" ht="15.75" customHeight="1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</row>
    <row r="173" spans="1:24" ht="15.75" customHeight="1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</row>
    <row r="174" spans="1:24" ht="15.75" customHeight="1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</row>
    <row r="175" spans="1:24" ht="15.75" customHeight="1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</row>
    <row r="176" spans="1:24" ht="15.75" customHeight="1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</row>
    <row r="177" spans="1:24" ht="15.75" customHeight="1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</row>
    <row r="178" spans="1:24" ht="15.75" customHeight="1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</row>
    <row r="179" spans="1:24" ht="15.75" customHeight="1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</row>
    <row r="180" spans="1:24" ht="15.75" customHeight="1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</row>
    <row r="181" spans="1:24" ht="15.75" customHeight="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</row>
    <row r="182" spans="1:24" ht="15.75" customHeight="1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</row>
    <row r="183" spans="1:24" ht="15.75" customHeight="1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</row>
    <row r="184" spans="1:24" ht="15.75" customHeight="1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</row>
    <row r="185" spans="1:24" ht="15.75" customHeight="1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</row>
    <row r="186" spans="1:24" ht="15.75" customHeight="1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</row>
    <row r="187" spans="1:24" ht="15.75" customHeight="1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</row>
    <row r="188" spans="1:24" ht="15.75" customHeight="1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</row>
    <row r="189" spans="1:24" ht="15.75" customHeight="1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</row>
    <row r="190" spans="1:24" ht="15.75" customHeight="1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</row>
    <row r="191" spans="1:24" ht="15.75" customHeight="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</row>
    <row r="192" spans="1:24" ht="15.75" customHeight="1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</row>
    <row r="193" spans="1:24" ht="15.75" customHeight="1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</row>
    <row r="194" spans="1:24" ht="15.75" customHeight="1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</row>
    <row r="195" spans="1:24" ht="15.75" customHeight="1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</row>
    <row r="196" spans="1:24" ht="15.75" customHeight="1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</row>
    <row r="197" spans="1:24" ht="15.75" customHeight="1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</row>
    <row r="198" spans="1:24" ht="15.75" customHeight="1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</row>
    <row r="199" spans="1:24" ht="15.75" customHeight="1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</row>
    <row r="200" spans="1:24" ht="15.75" customHeight="1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</row>
    <row r="201" spans="1:24" ht="15.75" customHeight="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</row>
    <row r="202" spans="1:24" ht="15.75" customHeight="1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</row>
    <row r="203" spans="1:24" ht="15.75" customHeight="1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</row>
    <row r="204" spans="1:24" ht="15.75" customHeight="1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</row>
    <row r="205" spans="1:24" ht="15.75" customHeight="1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</row>
    <row r="206" spans="1:24" ht="15.75" customHeight="1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</row>
    <row r="207" spans="1:24" ht="15.75" customHeight="1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</row>
    <row r="208" spans="1:24" ht="15.75" customHeight="1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</row>
    <row r="209" spans="1:24" ht="15.75" customHeight="1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</row>
    <row r="210" spans="1:24" ht="15.75" customHeight="1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</row>
    <row r="211" spans="1:24" ht="15.75" customHeight="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</row>
    <row r="212" spans="1:24" ht="15.75" customHeight="1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</row>
    <row r="213" spans="1:24" ht="15.75" customHeight="1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</row>
    <row r="214" spans="1:24" ht="15.75" customHeight="1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</row>
    <row r="215" spans="1:24" ht="15.75" customHeight="1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</row>
    <row r="216" spans="1:24" ht="15.75" customHeight="1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</row>
    <row r="217" spans="1:24" ht="15.75" customHeight="1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</row>
    <row r="218" spans="1:24" ht="15.75" customHeight="1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</row>
    <row r="219" spans="1:24" ht="15.75" customHeight="1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</row>
    <row r="220" spans="1:24" ht="15.75" customHeight="1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</row>
    <row r="221" spans="1:24" ht="15.75" customHeight="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</row>
    <row r="222" spans="1:24" ht="15.75" customHeight="1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</row>
    <row r="223" spans="1:24" ht="15.75" customHeight="1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</row>
    <row r="224" spans="1:24" ht="15.75" customHeight="1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</row>
    <row r="225" spans="1:24" ht="15.75" customHeight="1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</row>
    <row r="226" spans="1:24" ht="15.75" customHeight="1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</row>
    <row r="227" spans="1:24" ht="15.75" customHeight="1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</row>
    <row r="228" spans="1:24" ht="15.75" customHeight="1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</row>
    <row r="229" spans="1:24" ht="15.75" customHeight="1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</row>
    <row r="230" spans="1:24" ht="15.75" customHeight="1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</row>
    <row r="231" spans="1:24" ht="15.75" customHeight="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</row>
    <row r="232" spans="1:24" ht="15.75" customHeight="1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</row>
    <row r="233" spans="1:24" ht="15.75" customHeight="1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</row>
    <row r="234" spans="1:24" ht="15.75" customHeight="1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</row>
    <row r="235" spans="1:24" ht="15.75" customHeight="1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</row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22:D22"/>
    <mergeCell ref="A23:D23"/>
    <mergeCell ref="A24:D24"/>
    <mergeCell ref="A25:D25"/>
    <mergeCell ref="A14:D14"/>
    <mergeCell ref="A15:D15"/>
    <mergeCell ref="A16:D16"/>
    <mergeCell ref="A17:D17"/>
    <mergeCell ref="A18:D18"/>
    <mergeCell ref="A19:D19"/>
    <mergeCell ref="A20:D20"/>
    <mergeCell ref="A11:B11"/>
    <mergeCell ref="A12:B12"/>
    <mergeCell ref="A1:D1"/>
    <mergeCell ref="A6:B6"/>
    <mergeCell ref="A7:B7"/>
    <mergeCell ref="C7:C12"/>
    <mergeCell ref="A8:B8"/>
    <mergeCell ref="A9:B9"/>
    <mergeCell ref="A10:B10"/>
  </mergeCells>
  <dataValidations count="1">
    <dataValidation type="list" allowBlank="1" showErrorMessage="1" sqref="B2:B3" xr:uid="{00000000-0002-0000-0400-000000000000}">
      <formula1>Course_Code</formula1>
    </dataValidation>
  </dataValidations>
  <pageMargins left="0.7" right="0.7" top="0.75" bottom="0.75" header="0" footer="0"/>
  <pageSetup paperSize="9" orientation="portrait" r:id="rId1"/>
  <headerFooter>
    <oddHeader>&amp;LDepartment of CSE, ULAB&amp;CCQI Form&amp;RCSE005(00)</oddHeader>
    <oddFooter>&amp;LGenerated on &amp;D &amp;T&amp;CPage &amp;P of&amp;RCSE005(00) Page &amp;P of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2" customHeight="1"/>
    <row r="2" ht="12" customHeight="1"/>
    <row r="3" ht="12" customHeight="1"/>
    <row r="4" ht="12" customHeight="1"/>
    <row r="5" ht="12" customHeight="1"/>
    <row r="6" ht="12" customHeight="1"/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GradeSheet</vt:lpstr>
      <vt:lpstr>GradingPolicy</vt:lpstr>
      <vt:lpstr>CourseSummary</vt:lpstr>
      <vt:lpstr>CO_PO_AttainmentAnalysis</vt:lpstr>
      <vt:lpstr>ContinuousQualityImprovement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Muhammad Golam Kibria</dc:creator>
  <cp:lastModifiedBy>Atanu Roy</cp:lastModifiedBy>
  <cp:lastPrinted>2026-07-27T18:42:10Z</cp:lastPrinted>
  <dcterms:created xsi:type="dcterms:W3CDTF">2019-05-06T03:48:27Z</dcterms:created>
  <dcterms:modified xsi:type="dcterms:W3CDTF">2026-07-27T18:42:13Z</dcterms:modified>
</cp:coreProperties>
</file>